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Config" sheetId="2" state="visible" r:id="rId4"/>
    <sheet name="Indicadores" sheetId="3" state="visible" r:id="rId5"/>
    <sheet name="Egresados" sheetId="4" state="visible" r:id="rId6"/>
    <sheet name="Empleadores" sheetId="5" state="visible" r:id="rId7"/>
    <sheet name="Actividades" sheetId="6" state="visible" r:id="rId8"/>
    <sheet name="Por conciliar" sheetId="7" state="visible" r:id="rId9"/>
    <sheet name="Fuentes" sheetId="8" state="visible" r:id="rId10"/>
    <sheet name="Fichas técnicas" sheetId="9" state="visible" r:id="rId11"/>
    <sheet name="Listas" sheetId="10" state="visible" r:id="rId12"/>
  </sheets>
  <definedNames>
    <definedName function="false" hidden="true" localSheetId="3" name="_xlnm._FilterDatabase" vbProcedure="false">Egresados!$A$1:$AB$977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Fecha de egreso registrada por Servicios Académicos. Define los años desde el egreso y el tramo.</t>
        </r>
      </text>
    </comment>
    <comment ref="U1" authorId="0">
      <text>
        <r>
          <rPr>
            <sz val="10"/>
            <rFont val="Arial"/>
            <family val="2"/>
          </rPr>
          <t xml:space="preserve">Se calcula: Sí si la fecha de última actualización está dentro de la vigencia definida en Config (C15). Numerador del indicador 10.1.</t>
        </r>
      </text>
    </comment>
    <comment ref="V1" authorId="0">
      <text>
        <r>
          <rPr>
            <sz val="10"/>
            <rFont val="Arial"/>
            <family val="2"/>
          </rPr>
          <t xml:space="preserve">Fecha de la última respuesta directa del egresado (encuesta, llamada contestada, registro en evento).</t>
        </r>
      </text>
    </comment>
  </commentList>
</comments>
</file>

<file path=xl/sharedStrings.xml><?xml version="1.0" encoding="utf-8"?>
<sst xmlns="http://schemas.openxmlformats.org/spreadsheetml/2006/main" count="9903" uniqueCount="4366">
  <si>
    <t xml:space="preserve">Base de Datos de Seguimiento al Egresado y Graduado – EPMH-UAC</t>
  </si>
  <si>
    <t xml:space="preserve">Procedimiento PSC-S-06 Versión 03 (Res. N.° 072-CU-2025-UAC) · Matriz consolidada al 01/10/2026</t>
  </si>
  <si>
    <t xml:space="preserve">Cómo usar</t>
  </si>
  <si>
    <t xml:space="preserve">1. Hoja Config: semestre, fecha de corte, responsable, metas y vigencia de la actualización. Las metas de 10.1 vienen del Anexo 01; las de 10.2, 10.4 y 10.5 son propuestas a aprobar.</t>
  </si>
  <si>
    <t xml:space="preserve">2. Hoja Egresados: una fila por egresado de la relación oficial de Servicios Académicos (2017-2 a 2025-2). Llene solo las celdas amarillas; las celestes se calculan solas.</t>
  </si>
  <si>
    <t xml:space="preserve">3. 'Datos actualizados' se calcula: Sí cuando la última actualización tiene menos días que la vigencia definida en Config (365 días por defecto).</t>
  </si>
  <si>
    <t xml:space="preserve">4. Hoja Empleadores: una fila por institución. El ID (EMP-###) se usa en la columna 'ID empleador' de Egresados.</t>
  </si>
  <si>
    <t xml:space="preserve">5. Hoja Actividades: una fila por actividad, con su evidencia (numeral 7.18). Marque 'Programada en el Plan' según el Plan de Trabajo aprobado.</t>
  </si>
  <si>
    <t xml:space="preserve">6. Hoja Indicadores: se calcula sola. De aquí se copian las cifras a los informes mensual y final.</t>
  </si>
  <si>
    <t xml:space="preserve">7. Hoja Por conciliar: egresados que respondieron encuestas pero no figuran en la relación oficial (egresaron antes de 2017-2 o en 2026). Verifique su código y agréguelos a Egresados.</t>
  </si>
  <si>
    <t xml:space="preserve">8. El dashboard del Director lee este archivo: no cambie nombres de hojas ni encabezados de columna.</t>
  </si>
  <si>
    <t xml:space="preserve">Convención de colores</t>
  </si>
  <si>
    <t xml:space="preserve">Amarillo = dato que se ingresa</t>
  </si>
  <si>
    <t xml:space="preserve">Celeste = fórmula, no editar</t>
  </si>
  <si>
    <t xml:space="preserve">Tramos (años desde la fecha de egreso a la fecha de corte)</t>
  </si>
  <si>
    <t xml:space="preserve">Tramo 1: hasta 1 año · Tramo 2: más de 1 hasta 3 · Tramo 3: más de 3 hasta 5 · Tramo 4: más de 5. La fecha de egreso es la registrada por Servicios Académicos.</t>
  </si>
  <si>
    <t xml:space="preserve">Fuentes consolidadas (ver hoja Fuentes)</t>
  </si>
  <si>
    <t xml:space="preserve">Relación oficial de egresados 2017-2 a 2025-2; BD 2022-I/II y 2024-II; llamadas de seguimiento may.-jun. 2025; Encuesta egresados 2024-2025; I Encuentro de Egresados; Encuesta primera de egreso; Encuesta a egresados docentes EPMH; Resultados SERUMS 2026-II.</t>
  </si>
  <si>
    <t xml:space="preserve">Criterios de clasificación</t>
  </si>
  <si>
    <t xml:space="preserve">Se usa la respuesta más reciente de cada egresado. 'Me estoy preparando' o 'búsqueda laboral' = Sin empleo. Quien marcó 'Otros' y nombró un hospital se registra como Asistencial con nota para verificar si es residentado.</t>
  </si>
  <si>
    <t xml:space="preserve">Sin información = no hay respuesta directa del egresado. La lista SERUMS 2026-II (MINSA) se registra en la columna SERUMS, no cuenta como actualización de datos.</t>
  </si>
  <si>
    <t xml:space="preserve">Satisfacción con el perfil (1–5) = pregunta 'Satisfacción con la calidad de formación' de la Encuesta primera de egreso: Totalmente de acuerdo 5, De acuerdo 4, Neutral 3, Desacuerdo 2.</t>
  </si>
  <si>
    <t xml:space="preserve">Configuración</t>
  </si>
  <si>
    <t xml:space="preserve">Escuela Profesional</t>
  </si>
  <si>
    <t xml:space="preserve">Medicina Humana</t>
  </si>
  <si>
    <t xml:space="preserve">Semestre en curso</t>
  </si>
  <si>
    <t xml:space="preserve">2026-II</t>
  </si>
  <si>
    <t xml:space="preserve">Fecha de corte</t>
  </si>
  <si>
    <t xml:space="preserve">Docente responsable</t>
  </si>
  <si>
    <t xml:space="preserve">[Nombre]</t>
  </si>
  <si>
    <t xml:space="preserve">Resolución del Plan de Trabajo</t>
  </si>
  <si>
    <t xml:space="preserve">[N.° ___-CF-2026]</t>
  </si>
  <si>
    <t xml:space="preserve">Meta 10.1 – Tramo 1</t>
  </si>
  <si>
    <t xml:space="preserve">Fuente: Anexo 01 del PSC-S-06</t>
  </si>
  <si>
    <t xml:space="preserve">Meta 10.1 – Tramo 2</t>
  </si>
  <si>
    <t xml:space="preserve">Meta 10.1 – Tramo 3</t>
  </si>
  <si>
    <t xml:space="preserve">Meta 10.1 – Tramo 4</t>
  </si>
  <si>
    <t xml:space="preserve">Meta 10.2 – En su especialidad</t>
  </si>
  <si>
    <t xml:space="preserve">Propuesta – aprobar por la Dirección</t>
  </si>
  <si>
    <t xml:space="preserve">Meta 10.4 – Satisfacción perfil de egreso</t>
  </si>
  <si>
    <t xml:space="preserve">Meta 10.5 – Empleabilidad</t>
  </si>
  <si>
    <t xml:space="preserve">Vigencia de la actualización (días)</t>
  </si>
  <si>
    <t xml:space="preserve">Supuesto: datos confirmados en los últimos 12 meses; ajústelo si la Dirección define otro plazo</t>
  </si>
  <si>
    <t xml:space="preserve">Indicadores del PSC-S-06 – EPMH</t>
  </si>
  <si>
    <t xml:space="preserve">10.1  Porcentaje de egresados registrados por tramo</t>
  </si>
  <si>
    <t xml:space="preserve">Tramo</t>
  </si>
  <si>
    <t xml:space="preserve">Universo (egresados en BD)</t>
  </si>
  <si>
    <t xml:space="preserve">Registrados (datos actualizados)</t>
  </si>
  <si>
    <t xml:space="preserve">% logrado</t>
  </si>
  <si>
    <t xml:space="preserve">Meta</t>
  </si>
  <si>
    <t xml:space="preserve">Brecha (pp)</t>
  </si>
  <si>
    <t xml:space="preserve">Semáforo</t>
  </si>
  <si>
    <t xml:space="preserve">Tramo 1</t>
  </si>
  <si>
    <t xml:space="preserve">Tramo 2</t>
  </si>
  <si>
    <t xml:space="preserve">Tramo 3</t>
  </si>
  <si>
    <t xml:space="preserve">Tramo 4</t>
  </si>
  <si>
    <t xml:space="preserve">Total</t>
  </si>
  <si>
    <t xml:space="preserve">10.2 / 10.5  Situación laboral y especialidad (sobre egresados con situación laboral conocida)</t>
  </si>
  <si>
    <t xml:space="preserve">Con situación conocida</t>
  </si>
  <si>
    <t xml:space="preserve">Con empleo</t>
  </si>
  <si>
    <t xml:space="preserve">En su especialidad</t>
  </si>
  <si>
    <t xml:space="preserve">10.5 Empleabilidad</t>
  </si>
  <si>
    <t xml:space="preserve">10.2 En su especialidad</t>
  </si>
  <si>
    <t xml:space="preserve">Sin información</t>
  </si>
  <si>
    <t xml:space="preserve">Resumen de indicadores</t>
  </si>
  <si>
    <t xml:space="preserve">Código</t>
  </si>
  <si>
    <t xml:space="preserve">Indicador</t>
  </si>
  <si>
    <t xml:space="preserve">Resultado</t>
  </si>
  <si>
    <t xml:space="preserve">Base (n)</t>
  </si>
  <si>
    <t xml:space="preserve">10.1</t>
  </si>
  <si>
    <t xml:space="preserve">Egresados registrados (total)</t>
  </si>
  <si>
    <t xml:space="preserve">10.2</t>
  </si>
  <si>
    <t xml:space="preserve">Laborando en su especialidad</t>
  </si>
  <si>
    <t xml:space="preserve">10.4</t>
  </si>
  <si>
    <t xml:space="preserve">Satisfacción con el perfil de egreso (4–5)</t>
  </si>
  <si>
    <t xml:space="preserve">10.5</t>
  </si>
  <si>
    <t xml:space="preserve">Empleabilidad alcanzada</t>
  </si>
  <si>
    <t xml:space="preserve">8.4</t>
  </si>
  <si>
    <t xml:space="preserve">Satisfacción de empleadores (4–5)</t>
  </si>
  <si>
    <t xml:space="preserve">Plan</t>
  </si>
  <si>
    <t xml:space="preserve">Ejecución de actividades programadas</t>
  </si>
  <si>
    <t xml:space="preserve">SERUMS</t>
  </si>
  <si>
    <t xml:space="preserve">Egresados en la lista SERUMS 2026-II (MINSA)</t>
  </si>
  <si>
    <t xml:space="preserve">10.3  Situación laboral por semestre de egreso (% sobre egresados del semestre con situación conocida)</t>
  </si>
  <si>
    <t xml:space="preserve">Semestre de egreso</t>
  </si>
  <si>
    <t xml:space="preserve">Asistencial</t>
  </si>
  <si>
    <t xml:space="preserve">Residentado</t>
  </si>
  <si>
    <t xml:space="preserve">Gestión o docencia en salud</t>
  </si>
  <si>
    <t xml:space="preserve">Otra área</t>
  </si>
  <si>
    <t xml:space="preserve">Posgrado sin laborar</t>
  </si>
  <si>
    <t xml:space="preserve">Sin empleo</t>
  </si>
  <si>
    <t xml:space="preserve">2017-I</t>
  </si>
  <si>
    <t xml:space="preserve">2017-II</t>
  </si>
  <si>
    <t xml:space="preserve">2018-I</t>
  </si>
  <si>
    <t xml:space="preserve">2018-II</t>
  </si>
  <si>
    <t xml:space="preserve">2019-I</t>
  </si>
  <si>
    <t xml:space="preserve">2019-II</t>
  </si>
  <si>
    <t xml:space="preserve">2020-I</t>
  </si>
  <si>
    <t xml:space="preserve">2020-II</t>
  </si>
  <si>
    <t xml:space="preserve">2021-I</t>
  </si>
  <si>
    <t xml:space="preserve">2021-II</t>
  </si>
  <si>
    <t xml:space="preserve">2022-I</t>
  </si>
  <si>
    <t xml:space="preserve">2022-II</t>
  </si>
  <si>
    <t xml:space="preserve">2023-I</t>
  </si>
  <si>
    <t xml:space="preserve">2023-II</t>
  </si>
  <si>
    <t xml:space="preserve">2024-I</t>
  </si>
  <si>
    <t xml:space="preserve">2024-II</t>
  </si>
  <si>
    <t xml:space="preserve">2025-I</t>
  </si>
  <si>
    <t xml:space="preserve">2025-II</t>
  </si>
  <si>
    <t xml:space="preserve">2026-I</t>
  </si>
  <si>
    <t xml:space="preserve">2027-I</t>
  </si>
  <si>
    <t xml:space="preserve">2027-II</t>
  </si>
  <si>
    <t xml:space="preserve">ID</t>
  </si>
  <si>
    <t xml:space="preserve">Código universitario</t>
  </si>
  <si>
    <t xml:space="preserve">Apellidos y nombres</t>
  </si>
  <si>
    <t xml:space="preserve">Sexo</t>
  </si>
  <si>
    <t xml:space="preserve">Sede</t>
  </si>
  <si>
    <t xml:space="preserve">Fecha de egreso</t>
  </si>
  <si>
    <t xml:space="preserve">Años desde egreso</t>
  </si>
  <si>
    <t xml:space="preserve">Condición académica</t>
  </si>
  <si>
    <t xml:space="preserve">N.° CMP</t>
  </si>
  <si>
    <t xml:space="preserve">Correo</t>
  </si>
  <si>
    <t xml:space="preserve">Celular</t>
  </si>
  <si>
    <t xml:space="preserve">Ciudad de residencia</t>
  </si>
  <si>
    <t xml:space="preserve">Situación laboral</t>
  </si>
  <si>
    <t xml:space="preserve">Cargo / puesto</t>
  </si>
  <si>
    <t xml:space="preserve">ID empleador</t>
  </si>
  <si>
    <t xml:space="preserve">Empleador</t>
  </si>
  <si>
    <t xml:space="preserve">Datos actualizados en el semestre</t>
  </si>
  <si>
    <t xml:space="preserve">Fecha última actualización</t>
  </si>
  <si>
    <t xml:space="preserve">Encuesta F1-SSEG-01 respondida</t>
  </si>
  <si>
    <t xml:space="preserve">Satisfacción perfil de egreso (1–5)</t>
  </si>
  <si>
    <t xml:space="preserve">Participa en actividades / asociación</t>
  </si>
  <si>
    <t xml:space="preserve">Observaciones</t>
  </si>
  <si>
    <t xml:space="preserve">SERUMS (último dato)</t>
  </si>
  <si>
    <t xml:space="preserve">Fuente de actualización</t>
  </si>
  <si>
    <t xml:space="preserve">010101145C</t>
  </si>
  <si>
    <t xml:space="preserve">AMADO GALIANO MARIA DEL CARMEN</t>
  </si>
  <si>
    <t xml:space="preserve">F</t>
  </si>
  <si>
    <t xml:space="preserve">Cusco</t>
  </si>
  <si>
    <t xml:space="preserve">Titulado</t>
  </si>
  <si>
    <t xml:space="preserve">carmencitaama@gmail.com</t>
  </si>
  <si>
    <t xml:space="preserve">984933052</t>
  </si>
  <si>
    <t xml:space="preserve">010200048F</t>
  </si>
  <si>
    <t xml:space="preserve">ARROYO ENRIQUEZ LIZ KATHERINE</t>
  </si>
  <si>
    <t xml:space="preserve">lizarroyoenriquez@hotmail.com</t>
  </si>
  <si>
    <t xml:space="preserve">927665525</t>
  </si>
  <si>
    <t xml:space="preserve">010200049B</t>
  </si>
  <si>
    <t xml:space="preserve">BEJAR CHAUCA JOSE CARLOS</t>
  </si>
  <si>
    <t xml:space="preserve">M</t>
  </si>
  <si>
    <t xml:space="preserve">jose_stricker@hotmail.com</t>
  </si>
  <si>
    <t xml:space="preserve">926063485</t>
  </si>
  <si>
    <t xml:space="preserve">010101149I</t>
  </si>
  <si>
    <t xml:space="preserve">CABRERA BERROCAL ROMULO ABRAHAM</t>
  </si>
  <si>
    <t xml:space="preserve">abrahamrcb@hotmail.com</t>
  </si>
  <si>
    <t xml:space="preserve">941555739</t>
  </si>
  <si>
    <t xml:space="preserve">010200051G</t>
  </si>
  <si>
    <t xml:space="preserve">CARDENAS APAZA GIULIANA BRIGITTE</t>
  </si>
  <si>
    <t xml:space="preserve">GIBRITTE_8@HOTMAIL.COM</t>
  </si>
  <si>
    <t xml:space="preserve">987311309</t>
  </si>
  <si>
    <t xml:space="preserve">011200687H</t>
  </si>
  <si>
    <t xml:space="preserve">CASTAÑEDA MONTAÑEZ JOSEPH ABELARDO</t>
  </si>
  <si>
    <t xml:space="preserve">joseph_10717@hotmail.com</t>
  </si>
  <si>
    <t xml:space="preserve">974673666</t>
  </si>
  <si>
    <t xml:space="preserve">010101151C</t>
  </si>
  <si>
    <t xml:space="preserve">CONTRERAS PIZARRO MARX</t>
  </si>
  <si>
    <t xml:space="preserve">Bachiller</t>
  </si>
  <si>
    <t xml:space="preserve">marxcp_1@hotmail.com</t>
  </si>
  <si>
    <t xml:space="preserve">973675813</t>
  </si>
  <si>
    <t xml:space="preserve">010200054F</t>
  </si>
  <si>
    <t xml:space="preserve">CUSIPAUCAR USCAMAITA GUSTAVO</t>
  </si>
  <si>
    <t xml:space="preserve">gus7209@hotmail.com</t>
  </si>
  <si>
    <t xml:space="preserve">941001533</t>
  </si>
  <si>
    <t xml:space="preserve">010101154B</t>
  </si>
  <si>
    <t xml:space="preserve">DIAZ FLOREZ VICTOR IVANNY</t>
  </si>
  <si>
    <t xml:space="preserve">vitovanny@gmail.com</t>
  </si>
  <si>
    <t xml:space="preserve">993609625</t>
  </si>
  <si>
    <t xml:space="preserve">010200055B</t>
  </si>
  <si>
    <t xml:space="preserve">ERQUINIGO MARTINEZ RUSS MERY</t>
  </si>
  <si>
    <t xml:space="preserve">966565152</t>
  </si>
  <si>
    <t xml:space="preserve">EMP-001</t>
  </si>
  <si>
    <t xml:space="preserve">Sí</t>
  </si>
  <si>
    <t xml:space="preserve">Marcó 'Otros' en el Encuentro: verificar si es residentado</t>
  </si>
  <si>
    <t xml:space="preserve">I Encuentro de Egresados</t>
  </si>
  <si>
    <t xml:space="preserve">010101156E</t>
  </si>
  <si>
    <t xml:space="preserve">ESENARRO MEZA FRANCO MARTIN</t>
  </si>
  <si>
    <t xml:space="preserve">francoesenarro@gmail.com</t>
  </si>
  <si>
    <t xml:space="preserve">984162624</t>
  </si>
  <si>
    <t xml:space="preserve">010200056I</t>
  </si>
  <si>
    <t xml:space="preserve">ESPEJO ALENCASTRE CIRO BRYAN</t>
  </si>
  <si>
    <t xml:space="preserve">bryanespejosc4@hotmail.com</t>
  </si>
  <si>
    <t xml:space="preserve">987879717</t>
  </si>
  <si>
    <t xml:space="preserve">010200057E</t>
  </si>
  <si>
    <t xml:space="preserve">ESTRADA GUTIERREZ KARLA STEFANY</t>
  </si>
  <si>
    <t xml:space="preserve">tefy_xd@hotmail.com</t>
  </si>
  <si>
    <t xml:space="preserve">974783160</t>
  </si>
  <si>
    <t xml:space="preserve">010200059H</t>
  </si>
  <si>
    <t xml:space="preserve">FERNANDEZ BRAVO ANGELA MILAGROS</t>
  </si>
  <si>
    <t xml:space="preserve">angiemfb@gmail.com</t>
  </si>
  <si>
    <t xml:space="preserve">961165505</t>
  </si>
  <si>
    <t xml:space="preserve">011200684I</t>
  </si>
  <si>
    <t xml:space="preserve">GALINDO GUEVARA MARGIORI</t>
  </si>
  <si>
    <t xml:space="preserve">margie_257@hotmail.com</t>
  </si>
  <si>
    <t xml:space="preserve">984445832</t>
  </si>
  <si>
    <t xml:space="preserve">011100435G</t>
  </si>
  <si>
    <t xml:space="preserve">GARCIA SAMANEZ ALYTSA MARICLE</t>
  </si>
  <si>
    <t xml:space="preserve">alytsa_1799@hotmail.com</t>
  </si>
  <si>
    <t xml:space="preserve">984831939</t>
  </si>
  <si>
    <t xml:space="preserve">011100436C</t>
  </si>
  <si>
    <t xml:space="preserve">GUTIERREZ VENERO ELIO SERGIO</t>
  </si>
  <si>
    <t xml:space="preserve">sergi_guti@hotmail.com</t>
  </si>
  <si>
    <t xml:space="preserve">993082414</t>
  </si>
  <si>
    <t xml:space="preserve">011100438F</t>
  </si>
  <si>
    <t xml:space="preserve">HALANOCA QUISPE CARINA</t>
  </si>
  <si>
    <t xml:space="preserve">cahaqui120@gmail.com</t>
  </si>
  <si>
    <t xml:space="preserve">942244414</t>
  </si>
  <si>
    <t xml:space="preserve">011100439B</t>
  </si>
  <si>
    <t xml:space="preserve">HERRERA BUSTAMANTE TATIANA CELINA</t>
  </si>
  <si>
    <t xml:space="preserve">celinahb1@gmail.com</t>
  </si>
  <si>
    <t xml:space="preserve">972763114</t>
  </si>
  <si>
    <t xml:space="preserve">010101158H</t>
  </si>
  <si>
    <t xml:space="preserve">HUALLPAYUNCA PILLCO KAREN SABY</t>
  </si>
  <si>
    <t xml:space="preserve">rnhpillco@gmail.com</t>
  </si>
  <si>
    <t xml:space="preserve">986198960</t>
  </si>
  <si>
    <t xml:space="preserve">010101159D</t>
  </si>
  <si>
    <t xml:space="preserve">HUAMAN APAZA HILDA MAYRA</t>
  </si>
  <si>
    <t xml:space="preserve">yarimalda_100@outlook.com</t>
  </si>
  <si>
    <t xml:space="preserve">979315464</t>
  </si>
  <si>
    <t xml:space="preserve">011200694D</t>
  </si>
  <si>
    <t xml:space="preserve">HUGO CARRILLO JHUVILKA</t>
  </si>
  <si>
    <t xml:space="preserve">c_lili_2008@hotmail.com</t>
  </si>
  <si>
    <t xml:space="preserve">984235313</t>
  </si>
  <si>
    <t xml:space="preserve">011100447E</t>
  </si>
  <si>
    <t xml:space="preserve">MAMANI VARGAS CHRISTEL GABRIELA</t>
  </si>
  <si>
    <t xml:space="preserve">christelgabrielamamanivargas@gmail.com</t>
  </si>
  <si>
    <t xml:space="preserve">984378430</t>
  </si>
  <si>
    <t xml:space="preserve">010101161I</t>
  </si>
  <si>
    <t xml:space="preserve">MAR VALER CARLOS</t>
  </si>
  <si>
    <t xml:space="preserve">calitos199@hotmail.com</t>
  </si>
  <si>
    <t xml:space="preserve">969146031</t>
  </si>
  <si>
    <t xml:space="preserve">010200063E</t>
  </si>
  <si>
    <t xml:space="preserve">MARQUEZ GAMARRA INDHIRA LUCY</t>
  </si>
  <si>
    <t xml:space="preserve">indhiralucy@gmail.com</t>
  </si>
  <si>
    <t xml:space="preserve">972251100</t>
  </si>
  <si>
    <t xml:space="preserve">010101165D</t>
  </si>
  <si>
    <t xml:space="preserve">OBANDO GAMARRA MIRYAM LISSETH</t>
  </si>
  <si>
    <t xml:space="preserve">mirylissyo@hotmail.com</t>
  </si>
  <si>
    <t xml:space="preserve">976342775</t>
  </si>
  <si>
    <t xml:space="preserve">011300770D</t>
  </si>
  <si>
    <t xml:space="preserve">ORELLANA ARAUJO KIPLING</t>
  </si>
  <si>
    <t xml:space="preserve">koangmh@gmail.com</t>
  </si>
  <si>
    <t xml:space="preserve">010200066D</t>
  </si>
  <si>
    <t xml:space="preserve">ORTIZ DE ORUE JURO ALLISON ISABEL</t>
  </si>
  <si>
    <t xml:space="preserve">allibela.ortizdeorue@gmail.com</t>
  </si>
  <si>
    <t xml:space="preserve">984158092</t>
  </si>
  <si>
    <t xml:space="preserve">010200068G</t>
  </si>
  <si>
    <t xml:space="preserve">PAREDES LAZARO MARYSHEILY</t>
  </si>
  <si>
    <t xml:space="preserve">MARYSHEILYPAREDESLAZARO@GMAIL.COM</t>
  </si>
  <si>
    <t xml:space="preserve">929016288</t>
  </si>
  <si>
    <t xml:space="preserve">010101169J</t>
  </si>
  <si>
    <t xml:space="preserve">PEREIRA VICTORIO KEVIN AUGUSTINE</t>
  </si>
  <si>
    <t xml:space="preserve">kevin.pereira.victorio@gmail.com</t>
  </si>
  <si>
    <t xml:space="preserve">979711799</t>
  </si>
  <si>
    <t xml:space="preserve">010200069C</t>
  </si>
  <si>
    <t xml:space="preserve">PEREZ QUISPE ANA RUBI</t>
  </si>
  <si>
    <t xml:space="preserve">anarubip@gmail.com</t>
  </si>
  <si>
    <t xml:space="preserve">982518282</t>
  </si>
  <si>
    <t xml:space="preserve">010200071H</t>
  </si>
  <si>
    <t xml:space="preserve">PUMA SUSANO JOSE LUIS</t>
  </si>
  <si>
    <t xml:space="preserve">luisino_luis@hotmail.com</t>
  </si>
  <si>
    <t xml:space="preserve">950313949</t>
  </si>
  <si>
    <t xml:space="preserve">010101173G</t>
  </si>
  <si>
    <t xml:space="preserve">QUIROGA QUISPE KATHERINE</t>
  </si>
  <si>
    <t xml:space="preserve">KATHQQ_5@HOTMAIL.COM</t>
  </si>
  <si>
    <t xml:space="preserve">967741192</t>
  </si>
  <si>
    <t xml:space="preserve">010101175J</t>
  </si>
  <si>
    <t xml:space="preserve">QUISPE ORIHUELA LIZBETH</t>
  </si>
  <si>
    <t xml:space="preserve">lizonet@hotmail.com</t>
  </si>
  <si>
    <t xml:space="preserve">966741836</t>
  </si>
  <si>
    <t xml:space="preserve">EMP-022</t>
  </si>
  <si>
    <t xml:space="preserve">010101178I</t>
  </si>
  <si>
    <t xml:space="preserve">ROBLES MENDOZA CRISBETH MADISON</t>
  </si>
  <si>
    <t xml:space="preserve">crisbethmadison@hotmail.com</t>
  </si>
  <si>
    <t xml:space="preserve">955717172</t>
  </si>
  <si>
    <t xml:space="preserve">010200072D</t>
  </si>
  <si>
    <t xml:space="preserve">RODRIGUEZ HUAMAN LUZ MILAGROS</t>
  </si>
  <si>
    <t xml:space="preserve">xluzx@outlook.es</t>
  </si>
  <si>
    <t xml:space="preserve">987880314</t>
  </si>
  <si>
    <t xml:space="preserve">011100459C</t>
  </si>
  <si>
    <t xml:space="preserve">SOLIS LLAVILLA JANETH MIRIAM</t>
  </si>
  <si>
    <t xml:space="preserve">janeth_17ms@hotmail.com</t>
  </si>
  <si>
    <t xml:space="preserve">974339700</t>
  </si>
  <si>
    <t xml:space="preserve">EMP-027</t>
  </si>
  <si>
    <t xml:space="preserve">010101181J</t>
  </si>
  <si>
    <t xml:space="preserve">SUTTA VISA MARIBEL</t>
  </si>
  <si>
    <t xml:space="preserve">maisa3618@hotmail.com</t>
  </si>
  <si>
    <t xml:space="preserve">980998091</t>
  </si>
  <si>
    <t xml:space="preserve">010101182F</t>
  </si>
  <si>
    <t xml:space="preserve">TRUJILLO HANCCO DEYSI IVONNE</t>
  </si>
  <si>
    <t xml:space="preserve">divonneth@hotmail.com</t>
  </si>
  <si>
    <t xml:space="preserve">958605054</t>
  </si>
  <si>
    <t xml:space="preserve">EMP-006</t>
  </si>
  <si>
    <t xml:space="preserve">010200078B</t>
  </si>
  <si>
    <t xml:space="preserve">URBINA OROSCO DIRCE MILAGROS</t>
  </si>
  <si>
    <t xml:space="preserve">urbinaorosco@outlook.es</t>
  </si>
  <si>
    <t xml:space="preserve">951168666</t>
  </si>
  <si>
    <t xml:space="preserve">010200081C</t>
  </si>
  <si>
    <t xml:space="preserve">VARGAS CCAHUANTICO LISSET MAYRA</t>
  </si>
  <si>
    <t xml:space="preserve">lisset201625@gmail.com</t>
  </si>
  <si>
    <t xml:space="preserve">992767583</t>
  </si>
  <si>
    <t xml:space="preserve">010200083F</t>
  </si>
  <si>
    <t xml:space="preserve">VASQUEZ CABALLERO DEISSY ALINA</t>
  </si>
  <si>
    <t xml:space="preserve">dey_ali@hotmail.com</t>
  </si>
  <si>
    <t xml:space="preserve">997433099</t>
  </si>
  <si>
    <t xml:space="preserve">010200087A</t>
  </si>
  <si>
    <t xml:space="preserve">VITORINO GRAJEDA CRISTIAN</t>
  </si>
  <si>
    <t xml:space="preserve">cristianvitorino1@gmail.com</t>
  </si>
  <si>
    <t xml:space="preserve">963354633</t>
  </si>
  <si>
    <t xml:space="preserve">EMP-005</t>
  </si>
  <si>
    <t xml:space="preserve">011100469I</t>
  </si>
  <si>
    <t xml:space="preserve">VIVANCO CCAHUANA BRIGITTE ELISA</t>
  </si>
  <si>
    <t xml:space="preserve">brigitte00168@gmail.com</t>
  </si>
  <si>
    <t xml:space="preserve">974501773</t>
  </si>
  <si>
    <t xml:space="preserve">010200088H</t>
  </si>
  <si>
    <t xml:space="preserve">VIZCARRA VARGAS MONICA ESPERANZA</t>
  </si>
  <si>
    <t xml:space="preserve">monicavizcarra47@gmail.com</t>
  </si>
  <si>
    <t xml:space="preserve">940188941</t>
  </si>
  <si>
    <t xml:space="preserve">011100470G</t>
  </si>
  <si>
    <t xml:space="preserve">WIESSE PAREJA JUVENAL FABRICIO</t>
  </si>
  <si>
    <t xml:space="preserve">FACHO_WIESSE@HOTMAIL.COM</t>
  </si>
  <si>
    <t xml:space="preserve">950862077</t>
  </si>
  <si>
    <t xml:space="preserve">011200649I</t>
  </si>
  <si>
    <t xml:space="preserve">ACURIO BASHUALDO BERTHZE LUCERO</t>
  </si>
  <si>
    <t xml:space="preserve">berthzelu0@gmail.com</t>
  </si>
  <si>
    <t xml:space="preserve">952497632</t>
  </si>
  <si>
    <t xml:space="preserve">012200801D</t>
  </si>
  <si>
    <t xml:space="preserve">BACA CALDERON IDANIA</t>
  </si>
  <si>
    <t xml:space="preserve">idalmed2012@gmail.com</t>
  </si>
  <si>
    <t xml:space="preserve">953277633</t>
  </si>
  <si>
    <t xml:space="preserve">011300732E</t>
  </si>
  <si>
    <t xml:space="preserve">CALVO ARAGON JONATHAN</t>
  </si>
  <si>
    <t xml:space="preserve">calvojonathan276@gmail.com</t>
  </si>
  <si>
    <t xml:space="preserve">999560107</t>
  </si>
  <si>
    <t xml:space="preserve">010200053J</t>
  </si>
  <si>
    <t xml:space="preserve">CONTRERAS UMPIRE JULIO CESAR</t>
  </si>
  <si>
    <t xml:space="preserve">juliocontreras1027@hotmail.com</t>
  </si>
  <si>
    <t xml:space="preserve">984672021</t>
  </si>
  <si>
    <t xml:space="preserve">011300729D</t>
  </si>
  <si>
    <t xml:space="preserve">DURAND QUISPE MIJAIL WILLY</t>
  </si>
  <si>
    <t xml:space="preserve">mwdq2010@gmail.com</t>
  </si>
  <si>
    <t xml:space="preserve">956746233</t>
  </si>
  <si>
    <t xml:space="preserve">EMP-023</t>
  </si>
  <si>
    <t xml:space="preserve">010200061B</t>
  </si>
  <si>
    <t xml:space="preserve">GIBAJA CCONISLLA YURY LEO</t>
  </si>
  <si>
    <t xml:space="preserve">leo120587@hotmail.com</t>
  </si>
  <si>
    <t xml:space="preserve">993744781</t>
  </si>
  <si>
    <t xml:space="preserve">011200661I</t>
  </si>
  <si>
    <t xml:space="preserve">HUAYLLA SALLO INGRIT LUCERO</t>
  </si>
  <si>
    <t xml:space="preserve">luhuaylla@gmail.com</t>
  </si>
  <si>
    <t xml:space="preserve">954470181</t>
  </si>
  <si>
    <t xml:space="preserve">012200783F</t>
  </si>
  <si>
    <t xml:space="preserve">LLANCAY MEDINA EDITH SANDRA</t>
  </si>
  <si>
    <t xml:space="preserve">sandrallm28.slm@gmail.com</t>
  </si>
  <si>
    <t xml:space="preserve">958107714</t>
  </si>
  <si>
    <t xml:space="preserve">011100442C</t>
  </si>
  <si>
    <t xml:space="preserve">LOAIZA DUEÑAS KATHERINE</t>
  </si>
  <si>
    <t xml:space="preserve">kalodu22@gmail.com</t>
  </si>
  <si>
    <t xml:space="preserve">984350248</t>
  </si>
  <si>
    <t xml:space="preserve">011200662E</t>
  </si>
  <si>
    <t xml:space="preserve">LOAIZA PUGA MICHEL MANFRED</t>
  </si>
  <si>
    <t xml:space="preserve">mmlp_fb@hotmail.com</t>
  </si>
  <si>
    <t xml:space="preserve">982388822</t>
  </si>
  <si>
    <t xml:space="preserve">010200062I</t>
  </si>
  <si>
    <t xml:space="preserve">LOPEZ ARANZABAL ANGELA MARIELA</t>
  </si>
  <si>
    <t xml:space="preserve">angelalopezaranzabal@gmail.com</t>
  </si>
  <si>
    <t xml:space="preserve">993784183</t>
  </si>
  <si>
    <t xml:space="preserve">011300736K</t>
  </si>
  <si>
    <t xml:space="preserve">MAMANI FIGUEROA PAUL PALMER</t>
  </si>
  <si>
    <t xml:space="preserve">paul4062@hotmail.com</t>
  </si>
  <si>
    <t xml:space="preserve">997518273</t>
  </si>
  <si>
    <t xml:space="preserve">011300727A</t>
  </si>
  <si>
    <t xml:space="preserve">MARTINEZ SILVA CHRISTIAN ALONSO</t>
  </si>
  <si>
    <t xml:space="preserve">christianmartinezsilva98@hotmail.com</t>
  </si>
  <si>
    <t xml:space="preserve">949113573</t>
  </si>
  <si>
    <t xml:space="preserve">010200065H</t>
  </si>
  <si>
    <t xml:space="preserve">MOREANO URIBE ISAAC ANDER</t>
  </si>
  <si>
    <t xml:space="preserve">010200065H@uandina.edu.pe</t>
  </si>
  <si>
    <t xml:space="preserve">927292940</t>
  </si>
  <si>
    <t xml:space="preserve">011200663A</t>
  </si>
  <si>
    <t xml:space="preserve">ORCOTORIO QUISPE YERIT OREALIZ</t>
  </si>
  <si>
    <t xml:space="preserve">yeritorealiz@gmail.com</t>
  </si>
  <si>
    <t xml:space="preserve">941445959</t>
  </si>
  <si>
    <t xml:space="preserve">011200686A</t>
  </si>
  <si>
    <t xml:space="preserve">ORDAYA NUÑEZ FABRICIO ULISES</t>
  </si>
  <si>
    <t xml:space="preserve">fabricio-ordaya@hotmail.com</t>
  </si>
  <si>
    <t xml:space="preserve">997558493</t>
  </si>
  <si>
    <t xml:space="preserve">011200664H</t>
  </si>
  <si>
    <t xml:space="preserve">ORDOÑEZ RONDÓN MARCO LUIS</t>
  </si>
  <si>
    <t xml:space="preserve">crazyway11_18@hotmail.com</t>
  </si>
  <si>
    <t xml:space="preserve">974954556</t>
  </si>
  <si>
    <t xml:space="preserve">010101166K</t>
  </si>
  <si>
    <t xml:space="preserve">ORTIZ DE ZEVALLOS ZANABRIA YULYSSA</t>
  </si>
  <si>
    <t xml:space="preserve">yuyu_linda20@hotmail.com</t>
  </si>
  <si>
    <t xml:space="preserve">944269441</t>
  </si>
  <si>
    <t xml:space="preserve">011200665D</t>
  </si>
  <si>
    <t xml:space="preserve">OVIEDO CANSAYA ANGHELA YUBETSY</t>
  </si>
  <si>
    <t xml:space="preserve">anyeli1502@hotmail.com</t>
  </si>
  <si>
    <t xml:space="preserve">974672304</t>
  </si>
  <si>
    <t xml:space="preserve">011100455H</t>
  </si>
  <si>
    <t xml:space="preserve">QUISPE ZUNIGA DIEGO DANIEL</t>
  </si>
  <si>
    <t xml:space="preserve">loto_1412@hotmail.com</t>
  </si>
  <si>
    <t xml:space="preserve">940862257</t>
  </si>
  <si>
    <t xml:space="preserve">011100456D</t>
  </si>
  <si>
    <t xml:space="preserve">RAMOS CABRERA JAZMIN IVANOSKA</t>
  </si>
  <si>
    <t xml:space="preserve">jazmin.iva136@gmail.com</t>
  </si>
  <si>
    <t xml:space="preserve">972251624</t>
  </si>
  <si>
    <t xml:space="preserve">011200672K</t>
  </si>
  <si>
    <t xml:space="preserve">ROJAS ALVAREZ ALVARO</t>
  </si>
  <si>
    <t xml:space="preserve">alroal1993@gmail.com</t>
  </si>
  <si>
    <t xml:space="preserve">971181896</t>
  </si>
  <si>
    <t xml:space="preserve">011100458G</t>
  </si>
  <si>
    <t xml:space="preserve">ROMAN AYBAR WINY ABIGAIL</t>
  </si>
  <si>
    <t xml:space="preserve">wiaro3@gmail.com</t>
  </si>
  <si>
    <t xml:space="preserve">933970580</t>
  </si>
  <si>
    <t xml:space="preserve">EMP-029</t>
  </si>
  <si>
    <t xml:space="preserve">010200074G</t>
  </si>
  <si>
    <t xml:space="preserve">SALLO DIAZ JACKELINE IDANIA</t>
  </si>
  <si>
    <t xml:space="preserve">jacky.sadi.93@gmail.com</t>
  </si>
  <si>
    <t xml:space="preserve">946655326</t>
  </si>
  <si>
    <t xml:space="preserve">011100460A</t>
  </si>
  <si>
    <t xml:space="preserve">TACA QUISPE GABRIELA</t>
  </si>
  <si>
    <t xml:space="preserve">gaviotad2020@gmail.com</t>
  </si>
  <si>
    <t xml:space="preserve">984271999</t>
  </si>
  <si>
    <t xml:space="preserve">011100462D</t>
  </si>
  <si>
    <t xml:space="preserve">TREJO CABALLERO HANS XAVIER DIEGO</t>
  </si>
  <si>
    <t xml:space="preserve">hans_mh462@hotmail.com</t>
  </si>
  <si>
    <t xml:space="preserve">989231329</t>
  </si>
  <si>
    <t xml:space="preserve">011200697C</t>
  </si>
  <si>
    <t xml:space="preserve">TUCO ESQUIVEL NINOSKA</t>
  </si>
  <si>
    <t xml:space="preserve">ninoskatuco@gmail.com</t>
  </si>
  <si>
    <t xml:space="preserve">986824336</t>
  </si>
  <si>
    <t xml:space="preserve">011100466J</t>
  </si>
  <si>
    <t xml:space="preserve">VASQUEZ PEREZ LUZ CELY</t>
  </si>
  <si>
    <t xml:space="preserve">myscene_147@hotmail.com</t>
  </si>
  <si>
    <t xml:space="preserve">941468882</t>
  </si>
  <si>
    <t xml:space="preserve">012200769C</t>
  </si>
  <si>
    <t xml:space="preserve">VELASCO ESCALANTE DANAE THALIA</t>
  </si>
  <si>
    <t xml:space="preserve">thali36_6@hotmail.com</t>
  </si>
  <si>
    <t xml:space="preserve">984586456</t>
  </si>
  <si>
    <t xml:space="preserve">012200800H</t>
  </si>
  <si>
    <t xml:space="preserve">VENGOA VALDIGLESIAS BLANCA ALEJANDRA</t>
  </si>
  <si>
    <t xml:space="preserve">blancavengoa@yahoo.com</t>
  </si>
  <si>
    <t xml:space="preserve">944244231</t>
  </si>
  <si>
    <t xml:space="preserve">011100468B</t>
  </si>
  <si>
    <t xml:space="preserve">VILLAVICENCIO BENAVENTE CARLOS RUBEN ABELARDO</t>
  </si>
  <si>
    <t xml:space="preserve">fabetu76@gmail.com</t>
  </si>
  <si>
    <t xml:space="preserve">955286265</t>
  </si>
  <si>
    <t xml:space="preserve">010200086E</t>
  </si>
  <si>
    <t xml:space="preserve">VILLEGAS NINA ROCIO</t>
  </si>
  <si>
    <t xml:space="preserve">chio.vf@hotmail.com</t>
  </si>
  <si>
    <t xml:space="preserve">973230825</t>
  </si>
  <si>
    <t xml:space="preserve">011100472J</t>
  </si>
  <si>
    <t xml:space="preserve">ZUÑIGA HUAMAN KAREN EVELYN</t>
  </si>
  <si>
    <t xml:space="preserve">Kzunigahuaman@gmail.com</t>
  </si>
  <si>
    <t xml:space="preserve">958646446</t>
  </si>
  <si>
    <t xml:space="preserve">010200052C</t>
  </si>
  <si>
    <t xml:space="preserve">CONCHA ENRIQUEZ KAREN SONIA</t>
  </si>
  <si>
    <t xml:space="preserve">karencita3105@hotmail.com</t>
  </si>
  <si>
    <t xml:space="preserve">958111171</t>
  </si>
  <si>
    <t xml:space="preserve">011200657A</t>
  </si>
  <si>
    <t xml:space="preserve">APAICO RODRIGUEZ DEYVIS YORJAN</t>
  </si>
  <si>
    <t xml:space="preserve">986267541</t>
  </si>
  <si>
    <t xml:space="preserve">011100430E</t>
  </si>
  <si>
    <t xml:space="preserve">ARANIBAR CENTENO MARY CARMEN</t>
  </si>
  <si>
    <t xml:space="preserve">aranibarcenteno@gmail.com</t>
  </si>
  <si>
    <t xml:space="preserve">974730272</t>
  </si>
  <si>
    <t xml:space="preserve">EMP-028</t>
  </si>
  <si>
    <t xml:space="preserve">011300719I</t>
  </si>
  <si>
    <t xml:space="preserve">ARRIAGA MEDINA RUTH GLENY</t>
  </si>
  <si>
    <t xml:space="preserve">kyumed_125@yahoo.com</t>
  </si>
  <si>
    <t xml:space="preserve">971225036</t>
  </si>
  <si>
    <t xml:space="preserve">011200650G</t>
  </si>
  <si>
    <t xml:space="preserve">BRAVO DELGADO ELVIN CÉSAR</t>
  </si>
  <si>
    <t xml:space="preserve">elvincesarbravo@gmail.com</t>
  </si>
  <si>
    <t xml:space="preserve">974420971</t>
  </si>
  <si>
    <t xml:space="preserve">EMP-018</t>
  </si>
  <si>
    <t xml:space="preserve">011100432H</t>
  </si>
  <si>
    <t xml:space="preserve">CACERES VILLCAS HENRY ANDERSON</t>
  </si>
  <si>
    <t xml:space="preserve">henry147159.a@hotmail.com</t>
  </si>
  <si>
    <t xml:space="preserve">923520859</t>
  </si>
  <si>
    <t xml:space="preserve">012100966A</t>
  </si>
  <si>
    <t xml:space="preserve">CASTRO AUCCA GALILE BETZABETH</t>
  </si>
  <si>
    <t xml:space="preserve">galibet_1692@hotmail.com</t>
  </si>
  <si>
    <t xml:space="preserve">973510947</t>
  </si>
  <si>
    <t xml:space="preserve">011300752F</t>
  </si>
  <si>
    <t xml:space="preserve">CORDOVA TORRES ANY DANIELA</t>
  </si>
  <si>
    <t xml:space="preserve">adct.24@gmail.com</t>
  </si>
  <si>
    <t xml:space="preserve">978639248</t>
  </si>
  <si>
    <t xml:space="preserve">011100434K</t>
  </si>
  <si>
    <t xml:space="preserve">CUENTAS ZAPATA DAVID MARTIN</t>
  </si>
  <si>
    <t xml:space="preserve">MARCUE7@HOTMAIL.COM</t>
  </si>
  <si>
    <t xml:space="preserve">986770095</t>
  </si>
  <si>
    <t xml:space="preserve">011300753B</t>
  </si>
  <si>
    <t xml:space="preserve">CUNO HUALLPA EDWIN BRYAN</t>
  </si>
  <si>
    <t xml:space="preserve">ed16_sf@hotmail.com</t>
  </si>
  <si>
    <t xml:space="preserve">991651670</t>
  </si>
  <si>
    <t xml:space="preserve">012200768G</t>
  </si>
  <si>
    <t xml:space="preserve">DUEÑAS APARICIO FERNANDO</t>
  </si>
  <si>
    <t xml:space="preserve">fer_17_ix@hotmail.com</t>
  </si>
  <si>
    <t xml:space="preserve">982728726</t>
  </si>
  <si>
    <t xml:space="preserve">012200759H</t>
  </si>
  <si>
    <t xml:space="preserve">FARFAN HERMOZA CARMEN MARLET</t>
  </si>
  <si>
    <t xml:space="preserve">carmen.farfan.hermoza@outlook.com</t>
  </si>
  <si>
    <t xml:space="preserve">992562415</t>
  </si>
  <si>
    <t xml:space="preserve">010200060F</t>
  </si>
  <si>
    <t xml:space="preserve">FERNANDEZ QUINTEROS TREICY VALERI</t>
  </si>
  <si>
    <t xml:space="preserve">val3_f3r@hotmail.com</t>
  </si>
  <si>
    <t xml:space="preserve">993996814</t>
  </si>
  <si>
    <t xml:space="preserve">011200692A</t>
  </si>
  <si>
    <t xml:space="preserve">FERNÁNDEZ CALLE SERGIO DANIEL</t>
  </si>
  <si>
    <t xml:space="preserve">sergiodan105@hotmail.com</t>
  </si>
  <si>
    <t xml:space="preserve">984450552</t>
  </si>
  <si>
    <t xml:space="preserve">011200656E</t>
  </si>
  <si>
    <t xml:space="preserve">FUENTES EGUIA EFRAIN ALVARO</t>
  </si>
  <si>
    <t xml:space="preserve">ALVARITO959@HOTMAIL.COM</t>
  </si>
  <si>
    <t xml:space="preserve">972250998</t>
  </si>
  <si>
    <t xml:space="preserve">011300757H</t>
  </si>
  <si>
    <t xml:space="preserve">FUENTES EGUIA RAQUEL CRISTINA</t>
  </si>
  <si>
    <t xml:space="preserve">cristina_jmt@hotmail.com</t>
  </si>
  <si>
    <t xml:space="preserve">011200682F</t>
  </si>
  <si>
    <t xml:space="preserve">GALLEGOS LAGUNA CATHERINE ALEXIA</t>
  </si>
  <si>
    <t xml:space="preserve">alexiagallegoslaguna@gmail.com</t>
  </si>
  <si>
    <t xml:space="preserve">967744133</t>
  </si>
  <si>
    <t xml:space="preserve">EMP-003</t>
  </si>
  <si>
    <t xml:space="preserve">011200693H</t>
  </si>
  <si>
    <t xml:space="preserve">GUILLEN ALVAREZ GLORIA CECILIA</t>
  </si>
  <si>
    <t xml:space="preserve">gloce280993@gmail.com</t>
  </si>
  <si>
    <t xml:space="preserve">984066026</t>
  </si>
  <si>
    <t xml:space="preserve">012100971E</t>
  </si>
  <si>
    <t xml:space="preserve">GUTIERREZ ORTIZ MAYRA SAMIRA</t>
  </si>
  <si>
    <t xml:space="preserve">mya_xo@hotmail.com</t>
  </si>
  <si>
    <t xml:space="preserve">946873492</t>
  </si>
  <si>
    <t xml:space="preserve">011100437J</t>
  </si>
  <si>
    <t xml:space="preserve">GUZMAN VALLE MARIO JOEL</t>
  </si>
  <si>
    <t xml:space="preserve">majoel_09@hotmail.com</t>
  </si>
  <si>
    <t xml:space="preserve">941470512</t>
  </si>
  <si>
    <t xml:space="preserve">011300758D</t>
  </si>
  <si>
    <t xml:space="preserve">HERRERA BUSTAMANTE JUAN CARLOS</t>
  </si>
  <si>
    <t xml:space="preserve">agente_carlos007@hotmail.com</t>
  </si>
  <si>
    <t xml:space="preserve">974328634</t>
  </si>
  <si>
    <t xml:space="preserve">012100972A</t>
  </si>
  <si>
    <t xml:space="preserve">HERRERA PALOMINO CLAUDIA SUGHEY</t>
  </si>
  <si>
    <t xml:space="preserve">012100972A@uandina.edu.pe</t>
  </si>
  <si>
    <t xml:space="preserve">984249974</t>
  </si>
  <si>
    <t xml:space="preserve">011200669J</t>
  </si>
  <si>
    <t xml:space="preserve">HUARCAYA HUANQUI PATRICIA CAROLINA</t>
  </si>
  <si>
    <t xml:space="preserve">pattycarolinah@gmail.com</t>
  </si>
  <si>
    <t xml:space="preserve">992724540</t>
  </si>
  <si>
    <t xml:space="preserve">013100771E</t>
  </si>
  <si>
    <t xml:space="preserve">ILLATUPA LEIVA ANDY AMERICO</t>
  </si>
  <si>
    <t xml:space="preserve">andy_ail@hotmail.com</t>
  </si>
  <si>
    <t xml:space="preserve">926340478</t>
  </si>
  <si>
    <t xml:space="preserve">Docente EPMH – Anatomía</t>
  </si>
  <si>
    <t xml:space="preserve">EMP-004</t>
  </si>
  <si>
    <t xml:space="preserve">I Encuentro de Egresados; Encuesta egresados docentes EPMH</t>
  </si>
  <si>
    <t xml:space="preserve">011100446I</t>
  </si>
  <si>
    <t xml:space="preserve">LORAYCO NAVARRO ESTEFANY YRMA</t>
  </si>
  <si>
    <t xml:space="preserve">119efy@gmail.com</t>
  </si>
  <si>
    <t xml:space="preserve">974213225</t>
  </si>
  <si>
    <t xml:space="preserve">011100448A</t>
  </si>
  <si>
    <t xml:space="preserve">MAYORGA COAYLA GIANNI MICHELLE</t>
  </si>
  <si>
    <t xml:space="preserve">giamayorga06@gmail.com</t>
  </si>
  <si>
    <t xml:space="preserve">974707267</t>
  </si>
  <si>
    <t xml:space="preserve">012200785I</t>
  </si>
  <si>
    <t xml:space="preserve">PAREDES DAZA JEINNER ALFREDO</t>
  </si>
  <si>
    <t xml:space="preserve">jeinner2013@gmail.com</t>
  </si>
  <si>
    <t xml:space="preserve">945895570</t>
  </si>
  <si>
    <t xml:space="preserve">011100450F</t>
  </si>
  <si>
    <t xml:space="preserve">PATILLA ESPINOZA SOLANCH SHIANERY</t>
  </si>
  <si>
    <t xml:space="preserve">SHANERIS_93@HOTMAIL.COM</t>
  </si>
  <si>
    <t xml:space="preserve">979718636</t>
  </si>
  <si>
    <t xml:space="preserve">011100451B</t>
  </si>
  <si>
    <t xml:space="preserve">PEÑA HERRERA MIGUEL ANGEL ESTIBEN</t>
  </si>
  <si>
    <t xml:space="preserve">mikeangelo1309mh@gmail.com</t>
  </si>
  <si>
    <t xml:space="preserve">962771295</t>
  </si>
  <si>
    <t xml:space="preserve">011100453E</t>
  </si>
  <si>
    <t xml:space="preserve">PONCE LATORRE ALAN ALEJANDRO</t>
  </si>
  <si>
    <t xml:space="preserve">poncelatorrea@gmail.com</t>
  </si>
  <si>
    <t xml:space="preserve">941702405</t>
  </si>
  <si>
    <t xml:space="preserve">011300775F</t>
  </si>
  <si>
    <t xml:space="preserve">QUISPE BUSTAMANTE ROBERTO ADILSON</t>
  </si>
  <si>
    <t xml:space="preserve">adilsonrbest@gmail.com</t>
  </si>
  <si>
    <t xml:space="preserve">947478660</t>
  </si>
  <si>
    <t xml:space="preserve">010101174C</t>
  </si>
  <si>
    <t xml:space="preserve">QUISPE COLQUEHUANCA SAINA ARELI</t>
  </si>
  <si>
    <t xml:space="preserve">sainaqc@gmail.com</t>
  </si>
  <si>
    <t xml:space="preserve">987533337</t>
  </si>
  <si>
    <t xml:space="preserve">012200788H</t>
  </si>
  <si>
    <t xml:space="preserve">QUISPE DEL CASTILLO MARCO ANTONIO</t>
  </si>
  <si>
    <t xml:space="preserve">lumarco_20@hotmail.com</t>
  </si>
  <si>
    <t xml:space="preserve">984808781</t>
  </si>
  <si>
    <t xml:space="preserve">Lugar de trabajo declarado: Consultorio privado</t>
  </si>
  <si>
    <t xml:space="preserve">012101006A</t>
  </si>
  <si>
    <t xml:space="preserve">RIMASCA MAMANI ARACELY KIARA</t>
  </si>
  <si>
    <t xml:space="preserve">hikari_109@hotmail.com</t>
  </si>
  <si>
    <t xml:space="preserve">969361268</t>
  </si>
  <si>
    <t xml:space="preserve">012100982G</t>
  </si>
  <si>
    <t xml:space="preserve">RIOS GONZALES ANGIE ROCIO</t>
  </si>
  <si>
    <t xml:space="preserve">rocio_dm_2@hotmail.com</t>
  </si>
  <si>
    <t xml:space="preserve">951404008</t>
  </si>
  <si>
    <t xml:space="preserve">011200676F</t>
  </si>
  <si>
    <t xml:space="preserve">ROJAS SOTELO SERGIO ANTONIO</t>
  </si>
  <si>
    <t xml:space="preserve">CHEOROJASOTELO@GMAIL.COM</t>
  </si>
  <si>
    <t xml:space="preserve">993091371</t>
  </si>
  <si>
    <t xml:space="preserve">011100461H</t>
  </si>
  <si>
    <t xml:space="preserve">TISOC GUDIEL MARIELA JOSELIYNE</t>
  </si>
  <si>
    <t xml:space="preserve">mari_tg7@hotmail.com</t>
  </si>
  <si>
    <t xml:space="preserve">984721706</t>
  </si>
  <si>
    <t xml:space="preserve">014100343B</t>
  </si>
  <si>
    <t xml:space="preserve">UNANCHA QUISPE MARILIA ANDREA</t>
  </si>
  <si>
    <t xml:space="preserve">mari-una@hotmail.com</t>
  </si>
  <si>
    <t xml:space="preserve">984201920</t>
  </si>
  <si>
    <t xml:space="preserve">011100465C</t>
  </si>
  <si>
    <t xml:space="preserve">VALENCIA SUAREZ DIANA AYDE</t>
  </si>
  <si>
    <t xml:space="preserve">angelita_tq2@hotmail.com</t>
  </si>
  <si>
    <t xml:space="preserve">982420424</t>
  </si>
  <si>
    <t xml:space="preserve">011300756A</t>
  </si>
  <si>
    <t xml:space="preserve">VEGA CARPIO FAVIO RODOLFO</t>
  </si>
  <si>
    <t xml:space="preserve">rofo_sf@homail.com</t>
  </si>
  <si>
    <t xml:space="preserve">993747173</t>
  </si>
  <si>
    <t xml:space="preserve">011200678I</t>
  </si>
  <si>
    <t xml:space="preserve">VILCA SALAS MAYDER</t>
  </si>
  <si>
    <t xml:space="preserve">may_vs@outlook.es</t>
  </si>
  <si>
    <t xml:space="preserve">986273039</t>
  </si>
  <si>
    <t xml:space="preserve">011100467F</t>
  </si>
  <si>
    <t xml:space="preserve">VILLANUEVA ARIAS DANNA MELANI</t>
  </si>
  <si>
    <t xml:space="preserve">dannamelani5@gmail.com</t>
  </si>
  <si>
    <t xml:space="preserve">991731431</t>
  </si>
  <si>
    <t xml:space="preserve">012200781C</t>
  </si>
  <si>
    <t xml:space="preserve">ZUNIGA TORRES ZHITALL MICHAELE</t>
  </si>
  <si>
    <t xml:space="preserve">zhiam@hotmail.com</t>
  </si>
  <si>
    <t xml:space="preserve">997414027</t>
  </si>
  <si>
    <t xml:space="preserve">011100471C</t>
  </si>
  <si>
    <t xml:space="preserve">ZUÑIGA AMPUERO LISETH VERONICA</t>
  </si>
  <si>
    <t xml:space="preserve">lis_friendly24@hotmail.com</t>
  </si>
  <si>
    <t xml:space="preserve">978620301</t>
  </si>
  <si>
    <t xml:space="preserve">011100429G</t>
  </si>
  <si>
    <t xml:space="preserve">ALVAREZ CONCHA DANICA INGRID</t>
  </si>
  <si>
    <t xml:space="preserve">danicaingrid@gmail.com</t>
  </si>
  <si>
    <t xml:space="preserve">993092624</t>
  </si>
  <si>
    <t xml:space="preserve">012100960C</t>
  </si>
  <si>
    <t xml:space="preserve">ALVAREZ CUNO KEVIN</t>
  </si>
  <si>
    <t xml:space="preserve">cuno3173@gmail.com</t>
  </si>
  <si>
    <t xml:space="preserve">997597994</t>
  </si>
  <si>
    <t xml:space="preserve">013200710H</t>
  </si>
  <si>
    <t xml:space="preserve">ARIAS MENDOZA IVÁN ESAÚ</t>
  </si>
  <si>
    <t xml:space="preserve">md.ivanarias@gmail.com</t>
  </si>
  <si>
    <t xml:space="preserve">977747283</t>
  </si>
  <si>
    <t xml:space="preserve">011300745J</t>
  </si>
  <si>
    <t xml:space="preserve">ARIAS MORALES ANELIM INGREL</t>
  </si>
  <si>
    <t xml:space="preserve">anecita18@hotmail.com</t>
  </si>
  <si>
    <t xml:space="preserve">993617124</t>
  </si>
  <si>
    <t xml:space="preserve">013200711D</t>
  </si>
  <si>
    <t xml:space="preserve">ARREDONDO AYMA ARNOLD DANELLY</t>
  </si>
  <si>
    <t xml:space="preserve">013200711d@uandina.edu.pe</t>
  </si>
  <si>
    <t xml:space="preserve">982240696</t>
  </si>
  <si>
    <t xml:space="preserve">014100352A</t>
  </si>
  <si>
    <t xml:space="preserve">ASPILCUETA YEPEZ CARLA ALEXANDRA</t>
  </si>
  <si>
    <t xml:space="preserve">caay.1712@gmail.com</t>
  </si>
  <si>
    <t xml:space="preserve">974300890</t>
  </si>
  <si>
    <t xml:space="preserve">013200712K</t>
  </si>
  <si>
    <t xml:space="preserve">AVILES ABELLANEDA LEO ANTHONY</t>
  </si>
  <si>
    <t xml:space="preserve">LEO_AVILES456@HOTMAIL.COM</t>
  </si>
  <si>
    <t xml:space="preserve">910772940</t>
  </si>
  <si>
    <t xml:space="preserve">011200653F</t>
  </si>
  <si>
    <t xml:space="preserve">CAMPOS ESPINAL VANESSA DEYSI</t>
  </si>
  <si>
    <t xml:space="preserve">vacam_13@hotmail.com</t>
  </si>
  <si>
    <t xml:space="preserve">983434134</t>
  </si>
  <si>
    <t xml:space="preserve">012200749B</t>
  </si>
  <si>
    <t xml:space="preserve">CARDENAS ONOFRIO CRISTIAN BRADIMIR</t>
  </si>
  <si>
    <t xml:space="preserve">jefer987@gmail.com</t>
  </si>
  <si>
    <t xml:space="preserve">970769918</t>
  </si>
  <si>
    <t xml:space="preserve">011200651C</t>
  </si>
  <si>
    <t xml:space="preserve">CAVERO CARHUARUPAY SILVIA</t>
  </si>
  <si>
    <t xml:space="preserve">sil.cavcar@gmail.com</t>
  </si>
  <si>
    <t xml:space="preserve">989585970</t>
  </si>
  <si>
    <t xml:space="preserve">011300726E</t>
  </si>
  <si>
    <t xml:space="preserve">CHAMBI HUAMAN YANDELI VICTORIA</t>
  </si>
  <si>
    <t xml:space="preserve">yandi_vico@hotmail.com</t>
  </si>
  <si>
    <t xml:space="preserve">910450687</t>
  </si>
  <si>
    <t xml:space="preserve">EMP-010</t>
  </si>
  <si>
    <t xml:space="preserve">011200690I</t>
  </si>
  <si>
    <t xml:space="preserve">CHOQUE TECCSE WINNIE NAIRA</t>
  </si>
  <si>
    <t xml:space="preserve">NAIRIWIN_101@HOTMAIL.COM</t>
  </si>
  <si>
    <t xml:space="preserve">942672900</t>
  </si>
  <si>
    <t xml:space="preserve">013100755J</t>
  </si>
  <si>
    <t xml:space="preserve">CRUZ HUANCA LUZ GUADALUPE</t>
  </si>
  <si>
    <t xml:space="preserve">lupitacruzhuanca@gmail.com</t>
  </si>
  <si>
    <t xml:space="preserve">013200719E</t>
  </si>
  <si>
    <t xml:space="preserve">DAMIAN SAAVEDRA PAULINA ESTEFANY</t>
  </si>
  <si>
    <t xml:space="preserve">estefy50@hotmail.com</t>
  </si>
  <si>
    <t xml:space="preserve">955849555</t>
  </si>
  <si>
    <t xml:space="preserve">011200659D</t>
  </si>
  <si>
    <t xml:space="preserve">DELGADO VALENCIA MARISOL</t>
  </si>
  <si>
    <t xml:space="preserve">madevamar@hotmail.com</t>
  </si>
  <si>
    <t xml:space="preserve">984132781</t>
  </si>
  <si>
    <t xml:space="preserve">011300743G</t>
  </si>
  <si>
    <t xml:space="preserve">GAMARRA PURE YURI HECTOR</t>
  </si>
  <si>
    <t xml:space="preserve">011300743g@uandina.edu.pe</t>
  </si>
  <si>
    <t xml:space="preserve">992143618</t>
  </si>
  <si>
    <t xml:space="preserve">012200795D</t>
  </si>
  <si>
    <t xml:space="preserve">GARCIA RODRIGUEZ CHRISTIAN MIGUEL</t>
  </si>
  <si>
    <t xml:space="preserve">012200795D@uandina.edu.pe</t>
  </si>
  <si>
    <t xml:space="preserve">984270808</t>
  </si>
  <si>
    <t xml:space="preserve">EMP-045</t>
  </si>
  <si>
    <t xml:space="preserve">012200752C</t>
  </si>
  <si>
    <t xml:space="preserve">GONZALES SOTO JORGE JESUS</t>
  </si>
  <si>
    <t xml:space="preserve">jgs_jorge@hotmail.com</t>
  </si>
  <si>
    <t xml:space="preserve">974330311</t>
  </si>
  <si>
    <t xml:space="preserve">011300731I</t>
  </si>
  <si>
    <t xml:space="preserve">GUTIERREZ ZARATE YOSELIN</t>
  </si>
  <si>
    <t xml:space="preserve">yoselingutierrezzarate@gmail.com</t>
  </si>
  <si>
    <t xml:space="preserve">939127643</t>
  </si>
  <si>
    <t xml:space="preserve">012100994E</t>
  </si>
  <si>
    <t xml:space="preserve">HERRERA AEDO RENZO RUBEN</t>
  </si>
  <si>
    <t xml:space="preserve">renzo_h_a@hotmail.com</t>
  </si>
  <si>
    <t xml:space="preserve">984813022</t>
  </si>
  <si>
    <t xml:space="preserve">011300762A</t>
  </si>
  <si>
    <t xml:space="preserve">MARMANILLO VALENZA RAUL</t>
  </si>
  <si>
    <t xml:space="preserve">rulitoo.mv.7@gmail.com</t>
  </si>
  <si>
    <t xml:space="preserve">014101389F</t>
  </si>
  <si>
    <t xml:space="preserve">MENDOZA CABRERA FIORELLA DAPHNE</t>
  </si>
  <si>
    <t xml:space="preserve">mendoza_fiorella@hotmail.com</t>
  </si>
  <si>
    <t xml:space="preserve">944214679</t>
  </si>
  <si>
    <t xml:space="preserve">012100993I</t>
  </si>
  <si>
    <t xml:space="preserve">MIRANDA ABARCA SHARON ESPERANZA</t>
  </si>
  <si>
    <t xml:space="preserve">012100993I@uandina.edu.pe</t>
  </si>
  <si>
    <t xml:space="preserve">900810195</t>
  </si>
  <si>
    <t xml:space="preserve">013200737C</t>
  </si>
  <si>
    <t xml:space="preserve">MORENO RIVAS SAYURI</t>
  </si>
  <si>
    <t xml:space="preserve">sayumoreno2@gmail.com</t>
  </si>
  <si>
    <t xml:space="preserve">983962690</t>
  </si>
  <si>
    <t xml:space="preserve">013200740D</t>
  </si>
  <si>
    <t xml:space="preserve">ORCCOSUPA QUISPE DAVID JONATHAN</t>
  </si>
  <si>
    <t xml:space="preserve">bresukite@hotmail.com</t>
  </si>
  <si>
    <t xml:space="preserve">984253111</t>
  </si>
  <si>
    <t xml:space="preserve">011200675J</t>
  </si>
  <si>
    <t xml:space="preserve">PAUCAR TTITO ALDAIR XAVIER</t>
  </si>
  <si>
    <t xml:space="preserve">aldairpaucartt@gmail.com</t>
  </si>
  <si>
    <t xml:space="preserve">958077095</t>
  </si>
  <si>
    <t xml:space="preserve">011300763H</t>
  </si>
  <si>
    <t xml:space="preserve">PEZO DIANDERAS KATIA MICHELLE</t>
  </si>
  <si>
    <t xml:space="preserve">mikax_4714@hotmail.com</t>
  </si>
  <si>
    <t xml:space="preserve">984005424</t>
  </si>
  <si>
    <t xml:space="preserve">011200666K</t>
  </si>
  <si>
    <t xml:space="preserve">PRADA MUÑOZ JOEL LENON</t>
  </si>
  <si>
    <t xml:space="preserve">Joelenox@hotmail.com</t>
  </si>
  <si>
    <t xml:space="preserve">966211076</t>
  </si>
  <si>
    <t xml:space="preserve">011100457K</t>
  </si>
  <si>
    <t xml:space="preserve">REGALADO GUERRA YELIXA</t>
  </si>
  <si>
    <t xml:space="preserve">yex_rg@hotmail.com</t>
  </si>
  <si>
    <t xml:space="preserve">989751963</t>
  </si>
  <si>
    <t xml:space="preserve">011200680C</t>
  </si>
  <si>
    <t xml:space="preserve">SALINAS VILLENA CARMEN LILIANA</t>
  </si>
  <si>
    <t xml:space="preserve">lili92.sv@gmail.com</t>
  </si>
  <si>
    <t xml:space="preserve">986232326</t>
  </si>
  <si>
    <t xml:space="preserve">013100790J</t>
  </si>
  <si>
    <t xml:space="preserve">SANCHEZ CONZA BRIAN PATRICK LAWRENCE</t>
  </si>
  <si>
    <t xml:space="preserve">brasmd@gmail.com</t>
  </si>
  <si>
    <t xml:space="preserve">931525582</t>
  </si>
  <si>
    <t xml:space="preserve">014100840F</t>
  </si>
  <si>
    <t xml:space="preserve">SANTILLAN ESPINOZA ERIQUEL LITO</t>
  </si>
  <si>
    <t xml:space="preserve">014100840f@gmail.com</t>
  </si>
  <si>
    <t xml:space="preserve">984768557</t>
  </si>
  <si>
    <t xml:space="preserve">011200673G</t>
  </si>
  <si>
    <t xml:space="preserve">SEGOVIA TAPIA MARÍA DEL CARMEN</t>
  </si>
  <si>
    <t xml:space="preserve">camu_46@hotmail.com</t>
  </si>
  <si>
    <t xml:space="preserve">983708313</t>
  </si>
  <si>
    <t xml:space="preserve">012200789D</t>
  </si>
  <si>
    <t xml:space="preserve">SOTO RODRIGUEZ CARLOS FRANGGIE</t>
  </si>
  <si>
    <t xml:space="preserve">carlitos3916@hotmail.com</t>
  </si>
  <si>
    <t xml:space="preserve">962319933</t>
  </si>
  <si>
    <t xml:space="preserve">010200077F</t>
  </si>
  <si>
    <t xml:space="preserve">SUTTA SERRANO VICTOR EDEL</t>
  </si>
  <si>
    <t xml:space="preserve">vss324@hotmail.com</t>
  </si>
  <si>
    <t xml:space="preserve">955793860</t>
  </si>
  <si>
    <t xml:space="preserve">012200786E</t>
  </si>
  <si>
    <t xml:space="preserve">TEVES YUPANQUI KEVIN SCOTT</t>
  </si>
  <si>
    <t xml:space="preserve">scotty_5995@hotmail.com</t>
  </si>
  <si>
    <t xml:space="preserve">953721373</t>
  </si>
  <si>
    <t xml:space="preserve">012100997D</t>
  </si>
  <si>
    <t xml:space="preserve">TORRE ALAGON LADY CRISTINA</t>
  </si>
  <si>
    <t xml:space="preserve">ladytorreal@gmail.com</t>
  </si>
  <si>
    <t xml:space="preserve">962353934</t>
  </si>
  <si>
    <t xml:space="preserve">013200754E</t>
  </si>
  <si>
    <t xml:space="preserve">TUMI ALVAREZ KEILA FATIMA</t>
  </si>
  <si>
    <t xml:space="preserve">keilis-scott@hotmail.com</t>
  </si>
  <si>
    <t xml:space="preserve">986080318</t>
  </si>
  <si>
    <t xml:space="preserve">010200080G</t>
  </si>
  <si>
    <t xml:space="preserve">VALENCIA USCACHI FERNANDO HALBER</t>
  </si>
  <si>
    <t xml:space="preserve">fe_drudo@hotmail.com</t>
  </si>
  <si>
    <t xml:space="preserve">985848400</t>
  </si>
  <si>
    <t xml:space="preserve">011300767C</t>
  </si>
  <si>
    <t xml:space="preserve">VALER RONDON MAX JHOEL</t>
  </si>
  <si>
    <t xml:space="preserve">jhuval42@hotmail.com</t>
  </si>
  <si>
    <t xml:space="preserve">984394444</t>
  </si>
  <si>
    <t xml:space="preserve">013100776G</t>
  </si>
  <si>
    <t xml:space="preserve">VARGAS QUISCA DANAE LIZ</t>
  </si>
  <si>
    <t xml:space="preserve">lissi_021x@hotmail.com</t>
  </si>
  <si>
    <t xml:space="preserve">984239010</t>
  </si>
  <si>
    <t xml:space="preserve">012200802K</t>
  </si>
  <si>
    <t xml:space="preserve">ABARCA FIGUEROA ALEXANDRA DE LOS ANGELES</t>
  </si>
  <si>
    <t xml:space="preserve">angi_sandri@hotmail.com</t>
  </si>
  <si>
    <t xml:space="preserve">942346502</t>
  </si>
  <si>
    <t xml:space="preserve">Lugar de trabajo declarado: Buena vista</t>
  </si>
  <si>
    <t xml:space="preserve">Realizado 2022-2023 – puesto de salud de ibamba</t>
  </si>
  <si>
    <t xml:space="preserve">BD 2022-I (llamadas); I Encuentro de Egresados</t>
  </si>
  <si>
    <t xml:space="preserve">012100970I</t>
  </si>
  <si>
    <t xml:space="preserve">ACURIO LOAYZA ALEXANDRA</t>
  </si>
  <si>
    <t xml:space="preserve">al3acurio@gmail.com</t>
  </si>
  <si>
    <t xml:space="preserve">986263248</t>
  </si>
  <si>
    <t xml:space="preserve">Llamada 23/05/2025 sin respuesta: no contesto, se le hizo 3 llamadas</t>
  </si>
  <si>
    <t xml:space="preserve">012100974D</t>
  </si>
  <si>
    <t xml:space="preserve">ARENAS OCAMPO VICTOR CLAUDIO</t>
  </si>
  <si>
    <t xml:space="preserve">victor_c_are@hotmail.com</t>
  </si>
  <si>
    <t xml:space="preserve">983873853</t>
  </si>
  <si>
    <t xml:space="preserve">medico ocupacional</t>
  </si>
  <si>
    <t xml:space="preserve">EMP-043</t>
  </si>
  <si>
    <t xml:space="preserve">preparacion para la especialidad</t>
  </si>
  <si>
    <t xml:space="preserve">Realizado 2022-2023 – red la convencion-cusco</t>
  </si>
  <si>
    <t xml:space="preserve">011300721C</t>
  </si>
  <si>
    <t xml:space="preserve">ASCENCIO PASTOR CYBILL MELISSA</t>
  </si>
  <si>
    <t xml:space="preserve">mel_ap5@hotmail.com</t>
  </si>
  <si>
    <t xml:space="preserve">942603535</t>
  </si>
  <si>
    <t xml:space="preserve">Llamada 23/05/2025 sin respuesta: no puede contestar</t>
  </si>
  <si>
    <t xml:space="preserve">011300739J</t>
  </si>
  <si>
    <t xml:space="preserve">BEDOYA FLOREZ JIMMY CHRISTIAN</t>
  </si>
  <si>
    <t xml:space="preserve">medicinauac011300739j@gmail.com</t>
  </si>
  <si>
    <t xml:space="preserve">931343064</t>
  </si>
  <si>
    <t xml:space="preserve">medico cirujano</t>
  </si>
  <si>
    <t xml:space="preserve">EMP-009</t>
  </si>
  <si>
    <t xml:space="preserve">preparacion a la especialidad</t>
  </si>
  <si>
    <t xml:space="preserve">Realizado 2022-2023 – micro red calca- puesto de salud huaran</t>
  </si>
  <si>
    <t xml:space="preserve">BD 2022-I (llamadas)</t>
  </si>
  <si>
    <t xml:space="preserve">013200713G</t>
  </si>
  <si>
    <t xml:space="preserve">BENAVENTE ASIN MARCO ANTONIO</t>
  </si>
  <si>
    <t xml:space="preserve">marco1234_5@hotmail.com</t>
  </si>
  <si>
    <t xml:space="preserve">979212137</t>
  </si>
  <si>
    <t xml:space="preserve">Residente de cirugi</t>
  </si>
  <si>
    <t xml:space="preserve">EMP-026</t>
  </si>
  <si>
    <t xml:space="preserve">Realizado 2023-2024 – sicuani, PS langui</t>
  </si>
  <si>
    <t xml:space="preserve">012200748F</t>
  </si>
  <si>
    <t xml:space="preserve">BUENO ROMERO KAROL GABRIELA</t>
  </si>
  <si>
    <t xml:space="preserve">012200748f@uandina.edu.pe</t>
  </si>
  <si>
    <t xml:space="preserve">972252566</t>
  </si>
  <si>
    <t xml:space="preserve">directora- medico ocupacional</t>
  </si>
  <si>
    <t xml:space="preserve">EMP-017</t>
  </si>
  <si>
    <t xml:space="preserve">Realizado 2022-2023 – centro kahori - ocongate</t>
  </si>
  <si>
    <t xml:space="preserve">011300741D</t>
  </si>
  <si>
    <t xml:space="preserve">CARBAJAL BAZÁN MARCIA ANGELA</t>
  </si>
  <si>
    <t xml:space="preserve">marciaangelacarbajalbazan@gmail.com</t>
  </si>
  <si>
    <t xml:space="preserve">989244696</t>
  </si>
  <si>
    <t xml:space="preserve">Llamada 23/05/2025 sin respuesta: respondera al wpp</t>
  </si>
  <si>
    <t xml:space="preserve">012100977C</t>
  </si>
  <si>
    <t xml:space="preserve">CASAFRANCA TUPAC YUPANQUI PAMELA SAMANTA</t>
  </si>
  <si>
    <t xml:space="preserve">012100977c@uandina.edu.pe</t>
  </si>
  <si>
    <t xml:space="preserve">958288414</t>
  </si>
  <si>
    <t xml:space="preserve">Llamada 30/05/2025 sin respuesta: no tiene tiempo, volver a llamar lunes</t>
  </si>
  <si>
    <t xml:space="preserve">013200716F</t>
  </si>
  <si>
    <t xml:space="preserve">CASTRO PAREDES ROSANGELICA TERESA</t>
  </si>
  <si>
    <t xml:space="preserve">rosii_kw@hotmail.com</t>
  </si>
  <si>
    <t xml:space="preserve">959780295</t>
  </si>
  <si>
    <t xml:space="preserve">EMP-021</t>
  </si>
  <si>
    <t xml:space="preserve">se prepara para la especialidad</t>
  </si>
  <si>
    <t xml:space="preserve">Realizado 2022-2023 – centro de salud challabamba- paucartambo</t>
  </si>
  <si>
    <t xml:space="preserve">013200021H</t>
  </si>
  <si>
    <t xml:space="preserve">CHALCO CARRION WHITNEY MAFER</t>
  </si>
  <si>
    <t xml:space="preserve">013200021h@uandina.edu.pe</t>
  </si>
  <si>
    <t xml:space="preserve">997495175</t>
  </si>
  <si>
    <t xml:space="preserve">EMP-015</t>
  </si>
  <si>
    <t xml:space="preserve">Realizado 2023-2024 – pues pisonaypata- abancay</t>
  </si>
  <si>
    <t xml:space="preserve">011200688D</t>
  </si>
  <si>
    <t xml:space="preserve">CHALLCO DEZA ROSSMERY</t>
  </si>
  <si>
    <t xml:space="preserve">rossmery.challco@gmail.com</t>
  </si>
  <si>
    <t xml:space="preserve">990000037</t>
  </si>
  <si>
    <t xml:space="preserve">Llamada 2025 sin respuesta: El telefono responde a Rosmery Gutierrez termino en la catolica</t>
  </si>
  <si>
    <t xml:space="preserve">012101001J</t>
  </si>
  <si>
    <t xml:space="preserve">CONDORI GONZALES ANA PAOLA</t>
  </si>
  <si>
    <t xml:space="preserve">paola98981cg@gmail.com</t>
  </si>
  <si>
    <t xml:space="preserve">925910800</t>
  </si>
  <si>
    <t xml:space="preserve">Llamada 30/05/2025 sin respuesta: no puede recibir llamadas, parece apagado</t>
  </si>
  <si>
    <t xml:space="preserve">011200655I</t>
  </si>
  <si>
    <t xml:space="preserve">CUADROS TORRE CARLOS JESÚS</t>
  </si>
  <si>
    <t xml:space="preserve">carloscuadros23@hotmail.com</t>
  </si>
  <si>
    <t xml:space="preserve">934552228</t>
  </si>
  <si>
    <t xml:space="preserve">coordinador médico y subdirecto del hospital</t>
  </si>
  <si>
    <t xml:space="preserve">Realizado 2022-2023 – en el ejército, 5ta brigada de montaña- cusco</t>
  </si>
  <si>
    <t xml:space="preserve">010101152J</t>
  </si>
  <si>
    <t xml:space="preserve">CUENCA BEJAR ROSA CAROLINHA</t>
  </si>
  <si>
    <t xml:space="preserve">carolinhacb@gmail.com</t>
  </si>
  <si>
    <t xml:space="preserve">984348874</t>
  </si>
  <si>
    <t xml:space="preserve">EMP-016</t>
  </si>
  <si>
    <t xml:space="preserve">Realizado 2022-2023 – puesto de salud de Quello quello</t>
  </si>
  <si>
    <t xml:space="preserve">012200757E</t>
  </si>
  <si>
    <t xml:space="preserve">CUTIRE GUTIERREZ JORGE DANIEL</t>
  </si>
  <si>
    <t xml:space="preserve">jorge-20-07@hotmail.com</t>
  </si>
  <si>
    <t xml:space="preserve">957135589</t>
  </si>
  <si>
    <t xml:space="preserve">Llamada 30/05/2025 sin respuesta: número suspendido</t>
  </si>
  <si>
    <t xml:space="preserve">014200958I</t>
  </si>
  <si>
    <t xml:space="preserve">DURAN QUISPE RODOLFO FERNANDO</t>
  </si>
  <si>
    <t xml:space="preserve">xfernando2xx@gmail.com</t>
  </si>
  <si>
    <t xml:space="preserve">951419164</t>
  </si>
  <si>
    <t xml:space="preserve">Realizado 2022-2023 – puesto de salud chilca- ollanta</t>
  </si>
  <si>
    <t xml:space="preserve">011200667G</t>
  </si>
  <si>
    <t xml:space="preserve">ESCALANTE CARTAGENA CYNTHIA YANINA</t>
  </si>
  <si>
    <t xml:space="preserve">cyec481@gmail.com</t>
  </si>
  <si>
    <t xml:space="preserve">997454623</t>
  </si>
  <si>
    <t xml:space="preserve">Medico cirujano</t>
  </si>
  <si>
    <t xml:space="preserve">EMP-008</t>
  </si>
  <si>
    <t xml:space="preserve">Realizado – Red la convencion Cusco, Cs Kepashiato</t>
  </si>
  <si>
    <t xml:space="preserve">013200721J</t>
  </si>
  <si>
    <t xml:space="preserve">FARFAN GUTIERREZ DANYEL</t>
  </si>
  <si>
    <t xml:space="preserve">danyelito1909@gmail.com</t>
  </si>
  <si>
    <t xml:space="preserve">966359207</t>
  </si>
  <si>
    <t xml:space="preserve">Llamada 30/05/2025 sin respuesta: se llamo 3 veces, no contesta</t>
  </si>
  <si>
    <t xml:space="preserve">012100969K</t>
  </si>
  <si>
    <t xml:space="preserve">FERNANDEZ ACURIO MARIA ALEJANDRA</t>
  </si>
  <si>
    <t xml:space="preserve">lalichy_50@hotmail.com</t>
  </si>
  <si>
    <t xml:space="preserve">959399005</t>
  </si>
  <si>
    <t xml:space="preserve">recidencia de anestesiologia</t>
  </si>
  <si>
    <t xml:space="preserve">EMP-024</t>
  </si>
  <si>
    <t xml:space="preserve">Realizado 2023-2024 – puesta de salud de cachimbos- Anta</t>
  </si>
  <si>
    <t xml:space="preserve">013300709A</t>
  </si>
  <si>
    <t xml:space="preserve">GUEVARA YEPEZ SARA SUSANA</t>
  </si>
  <si>
    <t xml:space="preserve">sasa07513@gmail.com</t>
  </si>
  <si>
    <t xml:space="preserve">936435151</t>
  </si>
  <si>
    <t xml:space="preserve">Llamada 16/06/2025 sin respuesta: se llamo 3 veces, no contesto llamada en 2 dias diferentes</t>
  </si>
  <si>
    <t xml:space="preserve">013300711F</t>
  </si>
  <si>
    <t xml:space="preserve">HUAMAN GONZALES LUIS ANTONY</t>
  </si>
  <si>
    <t xml:space="preserve">antony_agsm@outlook.es</t>
  </si>
  <si>
    <t xml:space="preserve">992494088</t>
  </si>
  <si>
    <t xml:space="preserve">médico general</t>
  </si>
  <si>
    <t xml:space="preserve">Realizado 2023-2024 – centro de san luis-curahuasi</t>
  </si>
  <si>
    <t xml:space="preserve">013200726A</t>
  </si>
  <si>
    <t xml:space="preserve">HUISA MANZANARES RUIZ FERNANDO</t>
  </si>
  <si>
    <t xml:space="preserve">rferhm@gmail.com</t>
  </si>
  <si>
    <t xml:space="preserve">980733094</t>
  </si>
  <si>
    <t xml:space="preserve">médico ocupacinal</t>
  </si>
  <si>
    <t xml:space="preserve">EMP-046</t>
  </si>
  <si>
    <t xml:space="preserve">Realizado 2022-2023 – puesto de salud de coya-calca</t>
  </si>
  <si>
    <t xml:space="preserve">011200695K</t>
  </si>
  <si>
    <t xml:space="preserve">HURTADO GRANADOS KAREN SHASHENKA</t>
  </si>
  <si>
    <t xml:space="preserve">shenkahugra@gmail.com</t>
  </si>
  <si>
    <t xml:space="preserve">950460481</t>
  </si>
  <si>
    <t xml:space="preserve">se está preparando para la especialidad</t>
  </si>
  <si>
    <t xml:space="preserve">Realizado 2023-2024 – puesto martapujllo-apurimac andahuaylas</t>
  </si>
  <si>
    <t xml:space="preserve">012100979F</t>
  </si>
  <si>
    <t xml:space="preserve">HURTADO RIVEROS DANIEL</t>
  </si>
  <si>
    <t xml:space="preserve">dahuri93@gmail.com</t>
  </si>
  <si>
    <t xml:space="preserve">994880445</t>
  </si>
  <si>
    <t xml:space="preserve">Realizado 2022-2023 – puesto de salud lobo tahuantisuyo- VRAEM</t>
  </si>
  <si>
    <t xml:space="preserve">012200797G</t>
  </si>
  <si>
    <t xml:space="preserve">JARA ABARCA LUCIANA TERESA</t>
  </si>
  <si>
    <t xml:space="preserve">lujarat@gmail.com</t>
  </si>
  <si>
    <t xml:space="preserve">979760614</t>
  </si>
  <si>
    <t xml:space="preserve">Llamada 30/05/2025 sin respuesta: el número no pertenece</t>
  </si>
  <si>
    <t xml:space="preserve">014101093J</t>
  </si>
  <si>
    <t xml:space="preserve">LOAYZA VELASQUE EMMANUEL ALBERT</t>
  </si>
  <si>
    <t xml:space="preserve">ealsf-19@hotmail.com</t>
  </si>
  <si>
    <t xml:space="preserve">969316179</t>
  </si>
  <si>
    <t xml:space="preserve">Llamada 30/05/2025 sin respuesta: se llamo 3 veces, apagado</t>
  </si>
  <si>
    <t xml:space="preserve">013300487I</t>
  </si>
  <si>
    <t xml:space="preserve">LUNA MANCILLA PAVEL EDMUNDO</t>
  </si>
  <si>
    <t xml:space="preserve">pavel_edmundo@live.com</t>
  </si>
  <si>
    <t xml:space="preserve">949624973</t>
  </si>
  <si>
    <t xml:space="preserve">médico residente de radiológica</t>
  </si>
  <si>
    <t xml:space="preserve">EMP-025</t>
  </si>
  <si>
    <t xml:space="preserve">Realizado 2022-2023 – posta médica santo tomas chumbivilcas</t>
  </si>
  <si>
    <t xml:space="preserve">013200732A</t>
  </si>
  <si>
    <t xml:space="preserve">MERINO MUJICA NICOL ZURIVA</t>
  </si>
  <si>
    <t xml:space="preserve">nmm_zuriva@hotmail.com</t>
  </si>
  <si>
    <t xml:space="preserve">949119067</t>
  </si>
  <si>
    <t xml:space="preserve">Realizado 2023-2024 – Cs Paccaretambo</t>
  </si>
  <si>
    <t xml:space="preserve">013200733H</t>
  </si>
  <si>
    <t xml:space="preserve">MOLINA POBLETE SUNNY MARCELO</t>
  </si>
  <si>
    <t xml:space="preserve">marchelo_1995@hotmail.com</t>
  </si>
  <si>
    <t xml:space="preserve">982046744</t>
  </si>
  <si>
    <t xml:space="preserve">médico cirujano</t>
  </si>
  <si>
    <t xml:space="preserve">EMP-007</t>
  </si>
  <si>
    <t xml:space="preserve">Realizado 2022-2023 – puesto de salud huayllacocha- anta</t>
  </si>
  <si>
    <t xml:space="preserve">013200734D</t>
  </si>
  <si>
    <t xml:space="preserve">MOLLINEDO QUINTO JUYBER CRISTIAN</t>
  </si>
  <si>
    <t xml:space="preserve">juybercristian@gmail.com</t>
  </si>
  <si>
    <t xml:space="preserve">957949492</t>
  </si>
  <si>
    <t xml:space="preserve">médico asistencial</t>
  </si>
  <si>
    <t xml:space="preserve">Realizado 2022-2023 – puesto de salud quiñota- chumbivilca</t>
  </si>
  <si>
    <t xml:space="preserve">011100449H</t>
  </si>
  <si>
    <t xml:space="preserve">MONTALVO GARCIA ERIKA</t>
  </si>
  <si>
    <t xml:space="preserve">erikaayumi15@hotmail.com</t>
  </si>
  <si>
    <t xml:space="preserve">989587105</t>
  </si>
  <si>
    <t xml:space="preserve">medico general</t>
  </si>
  <si>
    <t xml:space="preserve">EMP-012</t>
  </si>
  <si>
    <t xml:space="preserve">Realizado 2023-2024 – puesto de salud abancay - circa</t>
  </si>
  <si>
    <t xml:space="preserve">011300737G</t>
  </si>
  <si>
    <t xml:space="preserve">MORA PEREZ GIANNCARLO</t>
  </si>
  <si>
    <t xml:space="preserve">giancamp@outlook.com.pe</t>
  </si>
  <si>
    <t xml:space="preserve">987839558</t>
  </si>
  <si>
    <t xml:space="preserve">Realizado 2023-2024 – puesto de salud de suyo-calca</t>
  </si>
  <si>
    <t xml:space="preserve">014100379G</t>
  </si>
  <si>
    <t xml:space="preserve">MORALES CAMPANA SANDY SUELLEM</t>
  </si>
  <si>
    <t xml:space="preserve">waminedt@hotmail.com</t>
  </si>
  <si>
    <t xml:space="preserve">986241997</t>
  </si>
  <si>
    <t xml:space="preserve">Llamada 16/06/2025 sin respuesta: volvera llamar</t>
  </si>
  <si>
    <t xml:space="preserve">011300747B</t>
  </si>
  <si>
    <t xml:space="preserve">MUÑA FERRO JIMENA INES</t>
  </si>
  <si>
    <t xml:space="preserve">jime_mf@hotmail.com</t>
  </si>
  <si>
    <t xml:space="preserve">987132911</t>
  </si>
  <si>
    <t xml:space="preserve">Llamada 16/06/2025 sin respuesta: olver a llamar</t>
  </si>
  <si>
    <t xml:space="preserve">014101391K</t>
  </si>
  <si>
    <t xml:space="preserve">NAVÍO CCAPA MAYRA PAMELA</t>
  </si>
  <si>
    <t xml:space="preserve">mayra_nc5@hotmail.com</t>
  </si>
  <si>
    <t xml:space="preserve">983611552</t>
  </si>
  <si>
    <t xml:space="preserve">Realizado 2024-2025 – puesto de pachacona santa bamba</t>
  </si>
  <si>
    <t xml:space="preserve">013200738J</t>
  </si>
  <si>
    <t xml:space="preserve">NIETO ARANA GRACE YOSELIN GABRIELA</t>
  </si>
  <si>
    <t xml:space="preserve">gabriela190296@gmail.com</t>
  </si>
  <si>
    <t xml:space="preserve">984865697</t>
  </si>
  <si>
    <t xml:space="preserve">Llamada 2025 sin respuesta</t>
  </si>
  <si>
    <t xml:space="preserve">013200739F</t>
  </si>
  <si>
    <t xml:space="preserve">NUÑEZ AGUIRRE DANTE</t>
  </si>
  <si>
    <t xml:space="preserve">med.dantenunez@gmail.com</t>
  </si>
  <si>
    <t xml:space="preserve">950349264</t>
  </si>
  <si>
    <t xml:space="preserve">Llamada 16/06/2025 sin respuesta: no leentra llamada</t>
  </si>
  <si>
    <t xml:space="preserve">011200696G</t>
  </si>
  <si>
    <t xml:space="preserve">OCHOA INOCENTE JENNYFFER FRANCHESCA</t>
  </si>
  <si>
    <t xml:space="preserve">jennzochi@gmail.com</t>
  </si>
  <si>
    <t xml:space="preserve">986855458</t>
  </si>
  <si>
    <t xml:space="preserve">Llamada 16/06/2025 sin respuesta: llamar aca 1 hora</t>
  </si>
  <si>
    <t xml:space="preserve">012100995A</t>
  </si>
  <si>
    <t xml:space="preserve">ORE CHUQUIMIA JANIA RUBI</t>
  </si>
  <si>
    <t xml:space="preserve">jru20@hotmail.com</t>
  </si>
  <si>
    <t xml:space="preserve">945079504</t>
  </si>
  <si>
    <t xml:space="preserve">Llamada 16/06/2025 sin respuesta: defrente a contestadora</t>
  </si>
  <si>
    <t xml:space="preserve">011300728H</t>
  </si>
  <si>
    <t xml:space="preserve">PALOMINO FARFAN CAESIR</t>
  </si>
  <si>
    <t xml:space="preserve">stanotillo@hotmail.com</t>
  </si>
  <si>
    <t xml:space="preserve">984111334</t>
  </si>
  <si>
    <t xml:space="preserve">013200742G</t>
  </si>
  <si>
    <t xml:space="preserve">PATILLA CHIRINOS VISETH</t>
  </si>
  <si>
    <t xml:space="preserve">visethpatilla178@gmail.com</t>
  </si>
  <si>
    <t xml:space="preserve">951171093</t>
  </si>
  <si>
    <t xml:space="preserve">012200778B</t>
  </si>
  <si>
    <t xml:space="preserve">PEDRAZA MESTAS JEAN PAUL GENARO</t>
  </si>
  <si>
    <t xml:space="preserve">jeanpaul593@hotmail.com</t>
  </si>
  <si>
    <t xml:space="preserve">953740407</t>
  </si>
  <si>
    <t xml:space="preserve">EMP-013</t>
  </si>
  <si>
    <t xml:space="preserve">Realizado 2023-2024 – puesto de salud delares</t>
  </si>
  <si>
    <t xml:space="preserve">011100452I</t>
  </si>
  <si>
    <t xml:space="preserve">PEÑALOZA PALOMINO YOHANA</t>
  </si>
  <si>
    <t xml:space="preserve">yohis2236@gmail.com</t>
  </si>
  <si>
    <t xml:space="preserve">915240449</t>
  </si>
  <si>
    <t xml:space="preserve">Llamada 16/06/2025 sin respuesta: o contesta</t>
  </si>
  <si>
    <t xml:space="preserve">012200763E</t>
  </si>
  <si>
    <t xml:space="preserve">PILLACA QUICO SHIRLEY MIRIAN</t>
  </si>
  <si>
    <t xml:space="preserve">mirianpq12@gmail.com</t>
  </si>
  <si>
    <t xml:space="preserve">980548386</t>
  </si>
  <si>
    <t xml:space="preserve">Llamada 2025 sin respuesta: numero incorrecto</t>
  </si>
  <si>
    <t xml:space="preserve">011200671D</t>
  </si>
  <si>
    <t xml:space="preserve">PINEDO MALPARTIDA SHARON SUE VIOLET</t>
  </si>
  <si>
    <t xml:space="preserve">shapim_18@hotmail.com</t>
  </si>
  <si>
    <t xml:space="preserve">973178630</t>
  </si>
  <si>
    <t xml:space="preserve">medicocirujano</t>
  </si>
  <si>
    <t xml:space="preserve">EMP-002</t>
  </si>
  <si>
    <t xml:space="preserve">Realizado 2022-2023 – ps de la convencion</t>
  </si>
  <si>
    <t xml:space="preserve">012200761B</t>
  </si>
  <si>
    <t xml:space="preserve">RODRIGUEZ GRAJEDA DAVID ANTONIO</t>
  </si>
  <si>
    <t xml:space="preserve">dargiwenddy@gmail.com</t>
  </si>
  <si>
    <t xml:space="preserve">982050848</t>
  </si>
  <si>
    <t xml:space="preserve">Realizado 2023-2024 – puesto de breu- ucayali</t>
  </si>
  <si>
    <t xml:space="preserve">014101401F</t>
  </si>
  <si>
    <t xml:space="preserve">ROMAN OLARTE ROBERTH ALEXANDER</t>
  </si>
  <si>
    <t xml:space="preserve">roberthr64@gmail.com</t>
  </si>
  <si>
    <t xml:space="preserve">987192213</t>
  </si>
  <si>
    <t xml:space="preserve">medico asistencial</t>
  </si>
  <si>
    <t xml:space="preserve">Realizado 2023-2024 – puesto de salud pucoto- urcos</t>
  </si>
  <si>
    <t xml:space="preserve">011300768J</t>
  </si>
  <si>
    <t xml:space="preserve">ROMERO PAREDES YURY EDUARDO</t>
  </si>
  <si>
    <t xml:space="preserve">edu_rp1@hotmail.com</t>
  </si>
  <si>
    <t xml:space="preserve">974781598</t>
  </si>
  <si>
    <t xml:space="preserve">medicogenral</t>
  </si>
  <si>
    <t xml:space="preserve">Realizado 2022-2023 – puesto de colca- yanatile</t>
  </si>
  <si>
    <t xml:space="preserve">011300776B</t>
  </si>
  <si>
    <t xml:space="preserve">SUCLLY CALDERON AMBAR GABRIELA</t>
  </si>
  <si>
    <t xml:space="preserve">ambarsucllycalderon@gmail.com</t>
  </si>
  <si>
    <t xml:space="preserve">921144599</t>
  </si>
  <si>
    <t xml:space="preserve">Llamada 16/06/2025 sin respuesta: contestadora</t>
  </si>
  <si>
    <t xml:space="preserve">011200674C</t>
  </si>
  <si>
    <t xml:space="preserve">TORRES ARIAS MAYRA MASSIEL</t>
  </si>
  <si>
    <t xml:space="preserve">helix.up@hotmail.com</t>
  </si>
  <si>
    <t xml:space="preserve">940413660</t>
  </si>
  <si>
    <t xml:space="preserve">Realizado 2023-2024 – puesto putucusi- yanatile</t>
  </si>
  <si>
    <t xml:space="preserve">014101404E</t>
  </si>
  <si>
    <t xml:space="preserve">TUPA OCHOA DIEGO FRANCIS</t>
  </si>
  <si>
    <t xml:space="preserve">ditosf13@gmail.com</t>
  </si>
  <si>
    <t xml:space="preserve">955696006</t>
  </si>
  <si>
    <t xml:space="preserve">Llamada 16/06/2025 sin respuesta: ocupado</t>
  </si>
  <si>
    <t xml:space="preserve">012200790B</t>
  </si>
  <si>
    <t xml:space="preserve">UNSUETA QUISPE YEIRA MAILY</t>
  </si>
  <si>
    <t xml:space="preserve">mailyuq@gmail.com</t>
  </si>
  <si>
    <t xml:space="preserve">949761125</t>
  </si>
  <si>
    <t xml:space="preserve">EMP-011</t>
  </si>
  <si>
    <t xml:space="preserve">Realizado 2023-2024 – puesto de salud antapalpa- paruro</t>
  </si>
  <si>
    <t xml:space="preserve">011200691E</t>
  </si>
  <si>
    <t xml:space="preserve">VALENZUELA FARFAN ARACELY</t>
  </si>
  <si>
    <t xml:space="preserve">arita.vf.24@gmail.com</t>
  </si>
  <si>
    <t xml:space="preserve">984318713</t>
  </si>
  <si>
    <t xml:space="preserve">Llamada 16/06/2025 sin respuesta: numero incorrecto</t>
  </si>
  <si>
    <t xml:space="preserve">013100777C</t>
  </si>
  <si>
    <t xml:space="preserve">VALER CACERES VERENISSE</t>
  </si>
  <si>
    <t xml:space="preserve">vereva051@hotmail.com</t>
  </si>
  <si>
    <t xml:space="preserve">992541413</t>
  </si>
  <si>
    <t xml:space="preserve">Llamada 16/06/2025 sin respuesta: respondera wpp</t>
  </si>
  <si>
    <t xml:space="preserve">013200758K</t>
  </si>
  <si>
    <t xml:space="preserve">VARGAS QUISCA SHARON ANGELICA</t>
  </si>
  <si>
    <t xml:space="preserve">the.anglun7@gmail.com</t>
  </si>
  <si>
    <t xml:space="preserve">928878983</t>
  </si>
  <si>
    <t xml:space="preserve">Llamada 16/06/2025 sin respuesta: manda a correo de voz</t>
  </si>
  <si>
    <t xml:space="preserve">015100717I</t>
  </si>
  <si>
    <t xml:space="preserve">VILLALBA UGARTE FRITZI PILAR</t>
  </si>
  <si>
    <t xml:space="preserve">23mayo97@gmail.com</t>
  </si>
  <si>
    <t xml:space="preserve">972250337</t>
  </si>
  <si>
    <t xml:space="preserve">Llamada 16/06/2025 sin respuesta: se llamo 3veces, no contesto</t>
  </si>
  <si>
    <t xml:space="preserve">014100806B</t>
  </si>
  <si>
    <t xml:space="preserve">YAURI CUTY YESI YOLINDA</t>
  </si>
  <si>
    <t xml:space="preserve">yes15_yacu@hotmail.com</t>
  </si>
  <si>
    <t xml:space="preserve">941409827</t>
  </si>
  <si>
    <t xml:space="preserve">014101407D</t>
  </si>
  <si>
    <t xml:space="preserve">YUPANQUI PACHECO JONATHAN WILY</t>
  </si>
  <si>
    <t xml:space="preserve">jona_th193@hotmail.com</t>
  </si>
  <si>
    <t xml:space="preserve">953417728</t>
  </si>
  <si>
    <t xml:space="preserve">Realizado 2023-2023 – puesto de estrella - quellouno</t>
  </si>
  <si>
    <t xml:space="preserve">013100751D</t>
  </si>
  <si>
    <t xml:space="preserve">ABARCA LOZANO SIHUAR FERNANDO</t>
  </si>
  <si>
    <t xml:space="preserve">sihuarabarca@gmail.com</t>
  </si>
  <si>
    <t xml:space="preserve">994824682</t>
  </si>
  <si>
    <t xml:space="preserve">011300724B</t>
  </si>
  <si>
    <t xml:space="preserve">ALVARADO CHUCTAYA NEFI TOM</t>
  </si>
  <si>
    <t xml:space="preserve">caos_ne@hotmail.com</t>
  </si>
  <si>
    <t xml:space="preserve">935986298</t>
  </si>
  <si>
    <t xml:space="preserve">013100766A</t>
  </si>
  <si>
    <t xml:space="preserve">ALVAREZ VILLEGAS MEYLING MARITSA</t>
  </si>
  <si>
    <t xml:space="preserve">alvarezmeyling@gmail.com</t>
  </si>
  <si>
    <t xml:space="preserve">984287282</t>
  </si>
  <si>
    <t xml:space="preserve">015200079D</t>
  </si>
  <si>
    <t xml:space="preserve">AROTAIPE SANTOS REYNALDO</t>
  </si>
  <si>
    <t xml:space="preserve">rasmehu10@gmail.com</t>
  </si>
  <si>
    <t xml:space="preserve">941445937</t>
  </si>
  <si>
    <t xml:space="preserve">014200552B</t>
  </si>
  <si>
    <t xml:space="preserve">ATAUCHI FLORES MARILIA CLAVEL</t>
  </si>
  <si>
    <t xml:space="preserve">mariliaclavel11@hotmail.com</t>
  </si>
  <si>
    <t xml:space="preserve">967760608</t>
  </si>
  <si>
    <t xml:space="preserve">011100431A</t>
  </si>
  <si>
    <t xml:space="preserve">ATAUCURI RAMOS ANALI</t>
  </si>
  <si>
    <t xml:space="preserve">anypiolin5@hotmail.com</t>
  </si>
  <si>
    <t xml:space="preserve">923220633</t>
  </si>
  <si>
    <t xml:space="preserve">011300740H</t>
  </si>
  <si>
    <t xml:space="preserve">BACA BRAVO MAYTE BETANIA</t>
  </si>
  <si>
    <t xml:space="preserve">mayte_265@hotmail.com</t>
  </si>
  <si>
    <t xml:space="preserve">984757863</t>
  </si>
  <si>
    <t xml:space="preserve">012101010I</t>
  </si>
  <si>
    <t xml:space="preserve">BACA ESTRADA BETHANY HEISSELL</t>
  </si>
  <si>
    <t xml:space="preserve">BETANYMAR@HOTMAIL.COM</t>
  </si>
  <si>
    <t xml:space="preserve">982711765</t>
  </si>
  <si>
    <t xml:space="preserve">011300722J</t>
  </si>
  <si>
    <t xml:space="preserve">BARRAGA OCHOA PAVEL EDISON</t>
  </si>
  <si>
    <t xml:space="preserve">PAVEL_BR_94@HOTMAIL.COM</t>
  </si>
  <si>
    <t xml:space="preserve">983319197</t>
  </si>
  <si>
    <t xml:space="preserve">014101147B</t>
  </si>
  <si>
    <t xml:space="preserve">BUSTAMANTE LUNA FIORELLA</t>
  </si>
  <si>
    <t xml:space="preserve">fiorebustamanteluna@gmail.com</t>
  </si>
  <si>
    <t xml:space="preserve">958145043</t>
  </si>
  <si>
    <t xml:space="preserve">016100230A</t>
  </si>
  <si>
    <t xml:space="preserve">BUSTAMANTE RODRIGUEZ ALEXANDER RORY</t>
  </si>
  <si>
    <t xml:space="preserve">alexanderbustamante99@hotmail.com</t>
  </si>
  <si>
    <t xml:space="preserve">984967362</t>
  </si>
  <si>
    <t xml:space="preserve">012200760F</t>
  </si>
  <si>
    <t xml:space="preserve">CABEZAS PEREZ JORGE EDISON</t>
  </si>
  <si>
    <t xml:space="preserve">jecp.asf@gmail.com</t>
  </si>
  <si>
    <t xml:space="preserve">941117769</t>
  </si>
  <si>
    <t xml:space="preserve">012100962F</t>
  </si>
  <si>
    <t xml:space="preserve">CALLE SILVERA BRISCEIDA</t>
  </si>
  <si>
    <t xml:space="preserve">brisceidacalle@gmail.com</t>
  </si>
  <si>
    <t xml:space="preserve">992735668</t>
  </si>
  <si>
    <t xml:space="preserve">011200652J</t>
  </si>
  <si>
    <t xml:space="preserve">CALVO CORNEJO CARMEN OLGA</t>
  </si>
  <si>
    <t xml:space="preserve">kmu_93@hotmail.com</t>
  </si>
  <si>
    <t xml:space="preserve">941413886</t>
  </si>
  <si>
    <t xml:space="preserve">013300698J</t>
  </si>
  <si>
    <t xml:space="preserve">CARI AVALOS LYNDA XIMENA</t>
  </si>
  <si>
    <t xml:space="preserve">013300698j@uandina.edu.pe</t>
  </si>
  <si>
    <t xml:space="preserve">989700429</t>
  </si>
  <si>
    <t xml:space="preserve">013200715J</t>
  </si>
  <si>
    <t xml:space="preserve">CARTAGENA TTITO MELVILL</t>
  </si>
  <si>
    <t xml:space="preserve">meluosito011@hotmail.com</t>
  </si>
  <si>
    <t xml:space="preserve">916409629</t>
  </si>
  <si>
    <t xml:space="preserve">015100806A</t>
  </si>
  <si>
    <t xml:space="preserve">CASTRO JAYOS FLOR MILAGROS</t>
  </si>
  <si>
    <t xml:space="preserve">FlorMilagros_CastroJayos@hotmail.com</t>
  </si>
  <si>
    <t xml:space="preserve">958487159</t>
  </si>
  <si>
    <t xml:space="preserve">013100760C</t>
  </si>
  <si>
    <t xml:space="preserve">CASTRO SANTOYO LÚMINA JIMENA</t>
  </si>
  <si>
    <t xml:space="preserve">jimena_383@hotmail.com</t>
  </si>
  <si>
    <t xml:space="preserve">903570250</t>
  </si>
  <si>
    <t xml:space="preserve">014200929I</t>
  </si>
  <si>
    <t xml:space="preserve">CJUIRO LLANCAY MERY</t>
  </si>
  <si>
    <t xml:space="preserve">merycjuirollancay@hotmail.com</t>
  </si>
  <si>
    <t xml:space="preserve">973805310</t>
  </si>
  <si>
    <t xml:space="preserve">014200933F</t>
  </si>
  <si>
    <t xml:space="preserve">DEL CASTILLO BONINO VANESSA CECILIA</t>
  </si>
  <si>
    <t xml:space="preserve">vanedcbonino@gmail.com</t>
  </si>
  <si>
    <t xml:space="preserve">993490787</t>
  </si>
  <si>
    <t xml:space="preserve">013300291G</t>
  </si>
  <si>
    <t xml:space="preserve">ESPINOZA ROJAS RENZO PAOLO</t>
  </si>
  <si>
    <t xml:space="preserve">renzopaolo005@gmail.com</t>
  </si>
  <si>
    <t xml:space="preserve">947462141</t>
  </si>
  <si>
    <t xml:space="preserve">015101113J</t>
  </si>
  <si>
    <t xml:space="preserve">ESQUIVIAS SOTOMAYOR JUBITHZA LISSET</t>
  </si>
  <si>
    <t xml:space="preserve">015101113j@uandina.edu.pe</t>
  </si>
  <si>
    <t xml:space="preserve">994991473</t>
  </si>
  <si>
    <t xml:space="preserve">013200311F</t>
  </si>
  <si>
    <t xml:space="preserve">FARFAN VILLACORTA ROMITERE DE JESUS</t>
  </si>
  <si>
    <t xml:space="preserve">romita-17-06@hotmail.com</t>
  </si>
  <si>
    <t xml:space="preserve">992179051</t>
  </si>
  <si>
    <t xml:space="preserve">013200723B</t>
  </si>
  <si>
    <t xml:space="preserve">FIGUEROA QUISPE KLEIDY ANNAIS</t>
  </si>
  <si>
    <t xml:space="preserve">kleidyfigueroa082@gmail.com</t>
  </si>
  <si>
    <t xml:space="preserve">940503180</t>
  </si>
  <si>
    <t xml:space="preserve">013300459E</t>
  </si>
  <si>
    <t xml:space="preserve">FLORES ECHEGARAY GIOVANNA MIRELLA</t>
  </si>
  <si>
    <t xml:space="preserve">agatha166@hotmail.com</t>
  </si>
  <si>
    <t xml:space="preserve">969729468</t>
  </si>
  <si>
    <t xml:space="preserve">014101205B</t>
  </si>
  <si>
    <t xml:space="preserve">GONGORA BENDEZU JAIR ALONSO</t>
  </si>
  <si>
    <t xml:space="preserve">jair_7420@hotmail.com</t>
  </si>
  <si>
    <t xml:space="preserve">930716482</t>
  </si>
  <si>
    <t xml:space="preserve">012101002F</t>
  </si>
  <si>
    <t xml:space="preserve">GOYZUETA MASIAS MONICA JHOMAYRA</t>
  </si>
  <si>
    <t xml:space="preserve">jgmmonica@gmail.com</t>
  </si>
  <si>
    <t xml:space="preserve">921022939</t>
  </si>
  <si>
    <t xml:space="preserve">013100757B</t>
  </si>
  <si>
    <t xml:space="preserve">GRAJEDA ROJAS KEVIN PABLO</t>
  </si>
  <si>
    <t xml:space="preserve">kevingrajeda93@gmail.com</t>
  </si>
  <si>
    <t xml:space="preserve">984882122</t>
  </si>
  <si>
    <t xml:space="preserve">013200064I</t>
  </si>
  <si>
    <t xml:space="preserve">GUEVARA YEPEZ JUAN ROLANDO</t>
  </si>
  <si>
    <t xml:space="preserve">JUANCHO_4_2@HOTMAIL.COM</t>
  </si>
  <si>
    <t xml:space="preserve">940247733</t>
  </si>
  <si>
    <t xml:space="preserve">011300733A</t>
  </si>
  <si>
    <t xml:space="preserve">GUIZADO HUAMAN KAREN MAYUMI</t>
  </si>
  <si>
    <t xml:space="preserve">flori_sol_1@hotmail.com</t>
  </si>
  <si>
    <t xml:space="preserve">970844212</t>
  </si>
  <si>
    <t xml:space="preserve">011300723F</t>
  </si>
  <si>
    <t xml:space="preserve">GUTIERREZ CISNEROS WITHNEY WENDY</t>
  </si>
  <si>
    <t xml:space="preserve">BOLETIN_WALMEX@HOTMAIL.COM</t>
  </si>
  <si>
    <t xml:space="preserve">973685715</t>
  </si>
  <si>
    <t xml:space="preserve">013300101C</t>
  </si>
  <si>
    <t xml:space="preserve">GUZMAN HUAMAN YULI MAGALI</t>
  </si>
  <si>
    <t xml:space="preserve">yulym_gh@hotmail.com</t>
  </si>
  <si>
    <t xml:space="preserve">941002279</t>
  </si>
  <si>
    <t xml:space="preserve">014101386G</t>
  </si>
  <si>
    <t xml:space="preserve">HERRERA MAMANI RODRIGO</t>
  </si>
  <si>
    <t xml:space="preserve">rodriguitohm@hotmail.com</t>
  </si>
  <si>
    <t xml:space="preserve">984780794</t>
  </si>
  <si>
    <t xml:space="preserve">012100975K</t>
  </si>
  <si>
    <t xml:space="preserve">HUACAC RAMOS LUZ CYNTIA</t>
  </si>
  <si>
    <t xml:space="preserve">luzaysel@hotmail.com</t>
  </si>
  <si>
    <t xml:space="preserve">969715088</t>
  </si>
  <si>
    <t xml:space="preserve">014101387C</t>
  </si>
  <si>
    <t xml:space="preserve">HUAMAN MORVELI JOSE EDISSON</t>
  </si>
  <si>
    <t xml:space="preserve">Edisonehm@gmail.com</t>
  </si>
  <si>
    <t xml:space="preserve">940189209</t>
  </si>
  <si>
    <t xml:space="preserve">014200940B</t>
  </si>
  <si>
    <t xml:space="preserve">HUAMANI NOA MARIA CELESTE</t>
  </si>
  <si>
    <t xml:space="preserve">himmlisch87@gmail.com</t>
  </si>
  <si>
    <t xml:space="preserve">980405630</t>
  </si>
  <si>
    <t xml:space="preserve">014200941I</t>
  </si>
  <si>
    <t xml:space="preserve">HUANCO AGUILAR JULISSA</t>
  </si>
  <si>
    <t xml:space="preserve">julissahuancoaguilar12@yahoo.com</t>
  </si>
  <si>
    <t xml:space="preserve">974242174</t>
  </si>
  <si>
    <t xml:space="preserve">012100986B</t>
  </si>
  <si>
    <t xml:space="preserve">HUARCAYA ORTEGA JHONATAN LUIS</t>
  </si>
  <si>
    <t xml:space="preserve">jhonatanlho@hotmail.com</t>
  </si>
  <si>
    <t xml:space="preserve">974218231</t>
  </si>
  <si>
    <t xml:space="preserve">011300766G</t>
  </si>
  <si>
    <t xml:space="preserve">JIMENEZ COLQUEHUANCA BENJAMIN JIUSMAR</t>
  </si>
  <si>
    <t xml:space="preserve">benjaminjjc@gmail.com</t>
  </si>
  <si>
    <t xml:space="preserve">940417234</t>
  </si>
  <si>
    <t xml:space="preserve">012200753J</t>
  </si>
  <si>
    <t xml:space="preserve">JUAREZ CUSIRIMAY MIRIAM IVETH</t>
  </si>
  <si>
    <t xml:space="preserve">iveth_amis@hotmail.com</t>
  </si>
  <si>
    <t xml:space="preserve">922919318</t>
  </si>
  <si>
    <t xml:space="preserve">013200728D</t>
  </si>
  <si>
    <t xml:space="preserve">LAZO ABURTO MARIA ELIANA SOFIA</t>
  </si>
  <si>
    <t xml:space="preserve">soofilazo24@gmail.com</t>
  </si>
  <si>
    <t xml:space="preserve">978730372</t>
  </si>
  <si>
    <t xml:space="preserve">011100445B</t>
  </si>
  <si>
    <t xml:space="preserve">LOAYZA MATHEUS DUVALI ROSALIA</t>
  </si>
  <si>
    <t xml:space="preserve">DUVIS131@HOTMAIL.COM</t>
  </si>
  <si>
    <t xml:space="preserve">951287139</t>
  </si>
  <si>
    <t xml:space="preserve">011200685E</t>
  </si>
  <si>
    <t xml:space="preserve">LOPEZ REYNOSO ABEL PEDRO</t>
  </si>
  <si>
    <t xml:space="preserve">ABEL-._.-._.-._.-PUNK@HOTMAIL.COM</t>
  </si>
  <si>
    <t xml:space="preserve">973335565</t>
  </si>
  <si>
    <t xml:space="preserve">014200945D</t>
  </si>
  <si>
    <t xml:space="preserve">LOPINTA MARCA MILKA DELIA</t>
  </si>
  <si>
    <t xml:space="preserve">Miatwilighter@gmail.com</t>
  </si>
  <si>
    <t xml:space="preserve">931985895</t>
  </si>
  <si>
    <t xml:space="preserve">013100774D</t>
  </si>
  <si>
    <t xml:space="preserve">MAMANI CCOSCCO JOSE YURY</t>
  </si>
  <si>
    <t xml:space="preserve">josesito_yuri@hotmail.com</t>
  </si>
  <si>
    <t xml:space="preserve">984176761</t>
  </si>
  <si>
    <t xml:space="preserve">011300725I</t>
  </si>
  <si>
    <t xml:space="preserve">MAMANI FERNANDEZ CARLOS ALEXANDER</t>
  </si>
  <si>
    <t xml:space="preserve">camf2@hotmail.com</t>
  </si>
  <si>
    <t xml:space="preserve">981749444</t>
  </si>
  <si>
    <t xml:space="preserve">015200603E</t>
  </si>
  <si>
    <t xml:space="preserve">MAMANI FERNANDEZ GIONELLA KATHERINE</t>
  </si>
  <si>
    <t xml:space="preserve">yoneskito@gmail.com</t>
  </si>
  <si>
    <t xml:space="preserve">964104951</t>
  </si>
  <si>
    <t xml:space="preserve">012200779I</t>
  </si>
  <si>
    <t xml:space="preserve">MASIAS MAMANI CLAUDIA KATHERYNE</t>
  </si>
  <si>
    <t xml:space="preserve">claudiamasias0314@gmail.com</t>
  </si>
  <si>
    <t xml:space="preserve">983278095</t>
  </si>
  <si>
    <t xml:space="preserve">014100676A</t>
  </si>
  <si>
    <t xml:space="preserve">MEDINA CALLA JULINHO ANDERSON</t>
  </si>
  <si>
    <t xml:space="preserve">medinacallajulinho@gmail.com</t>
  </si>
  <si>
    <t xml:space="preserve">927810939</t>
  </si>
  <si>
    <t xml:space="preserve">013300084A</t>
  </si>
  <si>
    <t xml:space="preserve">MEDINA COLLANTES RENATO</t>
  </si>
  <si>
    <t xml:space="preserve">RMEDINA649@GMAIL.COM</t>
  </si>
  <si>
    <t xml:space="preserve">984108225</t>
  </si>
  <si>
    <t xml:space="preserve">011300746F</t>
  </si>
  <si>
    <t xml:space="preserve">MEDINA VIGORIA ROSA LIZ</t>
  </si>
  <si>
    <t xml:space="preserve">lizmevi_6@hotmail.com</t>
  </si>
  <si>
    <t xml:space="preserve">951493881</t>
  </si>
  <si>
    <t xml:space="preserve">015101052K</t>
  </si>
  <si>
    <t xml:space="preserve">MENDOZA FOLLANA FIORELLA</t>
  </si>
  <si>
    <t xml:space="preserve">fiorella.mendoza.follana11@hotmail.com</t>
  </si>
  <si>
    <t xml:space="preserve">986737605</t>
  </si>
  <si>
    <t xml:space="preserve">013300716H</t>
  </si>
  <si>
    <t xml:space="preserve">MONTOYA CHOCCECHANCA MASBEY LUPITA</t>
  </si>
  <si>
    <t xml:space="preserve">mazluu2000@gmail.com</t>
  </si>
  <si>
    <t xml:space="preserve">933772294</t>
  </si>
  <si>
    <t xml:space="preserve">011300764D</t>
  </si>
  <si>
    <t xml:space="preserve">MONTOYA HUALLPAMAITA RICARDO NARCISO</t>
  </si>
  <si>
    <t xml:space="preserve">rickhunter0000@gmail.com</t>
  </si>
  <si>
    <t xml:space="preserve">953927541</t>
  </si>
  <si>
    <t xml:space="preserve">013200735K</t>
  </si>
  <si>
    <t xml:space="preserve">MORA ANTESANO BERNARD MISHEL</t>
  </si>
  <si>
    <t xml:space="preserve">smish_17@hotmail.com</t>
  </si>
  <si>
    <t xml:space="preserve">990425235</t>
  </si>
  <si>
    <t xml:space="preserve">014200950H</t>
  </si>
  <si>
    <t xml:space="preserve">MOSCOSO QUISPE KEIRSCEN SOLEDAD</t>
  </si>
  <si>
    <t xml:space="preserve">keirscenmoscoso_1@hotmail.com</t>
  </si>
  <si>
    <t xml:space="preserve">963319906</t>
  </si>
  <si>
    <t xml:space="preserve">013100789A</t>
  </si>
  <si>
    <t xml:space="preserve">MUJICA GOMEZ YGOR ABEL</t>
  </si>
  <si>
    <t xml:space="preserve">ygorabel12@hotmail.com</t>
  </si>
  <si>
    <t xml:space="preserve">993662021</t>
  </si>
  <si>
    <t xml:space="preserve">013300720E</t>
  </si>
  <si>
    <t xml:space="preserve">NOLAZCO SANDOVAL CAROLINE NAYSHA</t>
  </si>
  <si>
    <t xml:space="preserve">caroheens.cns@gmail.com</t>
  </si>
  <si>
    <t xml:space="preserve">991311421</t>
  </si>
  <si>
    <t xml:space="preserve">011300769F</t>
  </si>
  <si>
    <t xml:space="preserve">OBLITAS HURTADO IRMA YADIRA</t>
  </si>
  <si>
    <t xml:space="preserve">yadiraoblitas@gmail.com</t>
  </si>
  <si>
    <t xml:space="preserve">986852347</t>
  </si>
  <si>
    <t xml:space="preserve">012100987I</t>
  </si>
  <si>
    <t xml:space="preserve">OJEDA CHACON KAREN FIORELA</t>
  </si>
  <si>
    <t xml:space="preserve">miss_fiore_17@hotmail.com</t>
  </si>
  <si>
    <t xml:space="preserve">984002240</t>
  </si>
  <si>
    <t xml:space="preserve">014101392G</t>
  </si>
  <si>
    <t xml:space="preserve">ORTIZ DE ORUE CRUZ KAROLA</t>
  </si>
  <si>
    <t xml:space="preserve">karito79555@gmail.com</t>
  </si>
  <si>
    <t xml:space="preserve">958116408</t>
  </si>
  <si>
    <t xml:space="preserve">012200787A</t>
  </si>
  <si>
    <t xml:space="preserve">PALOMINO CASTRO JORGE ARNALDO</t>
  </si>
  <si>
    <t xml:space="preserve">fabiannito100@gmail.com</t>
  </si>
  <si>
    <t xml:space="preserve">993676358</t>
  </si>
  <si>
    <t xml:space="preserve">011200677B</t>
  </si>
  <si>
    <t xml:space="preserve">PALOMINO HUALLPA SHOLANS</t>
  </si>
  <si>
    <t xml:space="preserve">solmy0626@gmail.com</t>
  </si>
  <si>
    <t xml:space="preserve">975107677</t>
  </si>
  <si>
    <t xml:space="preserve">015200753G</t>
  </si>
  <si>
    <t xml:space="preserve">PALOMINO ROMERO MILAGROS SAHORI</t>
  </si>
  <si>
    <t xml:space="preserve">sahorimilagrospr@gmail.com</t>
  </si>
  <si>
    <t xml:space="preserve">987717419</t>
  </si>
  <si>
    <t xml:space="preserve">012100996H</t>
  </si>
  <si>
    <t xml:space="preserve">PATIÑO MOLINA JANET</t>
  </si>
  <si>
    <t xml:space="preserve">patimo_123@hotmail.com</t>
  </si>
  <si>
    <t xml:space="preserve">997007193</t>
  </si>
  <si>
    <t xml:space="preserve">014101396B</t>
  </si>
  <si>
    <t xml:space="preserve">PEREZ CHAPARRO LUZ VANESA</t>
  </si>
  <si>
    <t xml:space="preserve">vanes_9514@hotmail.com</t>
  </si>
  <si>
    <t xml:space="preserve">974428910</t>
  </si>
  <si>
    <t xml:space="preserve">Preparación para el residentado médico</t>
  </si>
  <si>
    <t xml:space="preserve">014100780C</t>
  </si>
  <si>
    <t xml:space="preserve">PEREZ OLIVARES EDUARDO ADRIAN</t>
  </si>
  <si>
    <t xml:space="preserve">eduardoperez5566@hotmail.com</t>
  </si>
  <si>
    <t xml:space="preserve">941413408</t>
  </si>
  <si>
    <t xml:space="preserve">014200952K</t>
  </si>
  <si>
    <t xml:space="preserve">PEREZ VILLAFUERTE FREDDY RENZO</t>
  </si>
  <si>
    <t xml:space="preserve">renzo.perez.14@gmail.com</t>
  </si>
  <si>
    <t xml:space="preserve">993438010</t>
  </si>
  <si>
    <t xml:space="preserve">013200744J</t>
  </si>
  <si>
    <t xml:space="preserve">PINO BACA CLENY ANDREA</t>
  </si>
  <si>
    <t xml:space="preserve">andreapinobaca@yahoo.com</t>
  </si>
  <si>
    <t xml:space="preserve">953887835</t>
  </si>
  <si>
    <t xml:space="preserve">013200745F</t>
  </si>
  <si>
    <t xml:space="preserve">PORCEL SUMIRE RUDY ANDREÉ</t>
  </si>
  <si>
    <t xml:space="preserve">andree.lobo404@hotmail.com</t>
  </si>
  <si>
    <t xml:space="preserve">990308552</t>
  </si>
  <si>
    <t xml:space="preserve">014200954C</t>
  </si>
  <si>
    <t xml:space="preserve">QQUENAYA TUMPAY GILMER YORDAN</t>
  </si>
  <si>
    <t xml:space="preserve">yordanqt12@gmail.com</t>
  </si>
  <si>
    <t xml:space="preserve">962809728</t>
  </si>
  <si>
    <t xml:space="preserve">013200038H</t>
  </si>
  <si>
    <t xml:space="preserve">QUILLAHUAMAN QUISPE YULIZA</t>
  </si>
  <si>
    <t xml:space="preserve">YULIX_007@HOTMAIL.COM</t>
  </si>
  <si>
    <t xml:space="preserve">940420738</t>
  </si>
  <si>
    <t xml:space="preserve">014200955J</t>
  </si>
  <si>
    <t xml:space="preserve">QUINTANILLA ENRIQUEZ ROSARIO SOLEDAD</t>
  </si>
  <si>
    <t xml:space="preserve">rosario.quintanillaenrique@yahoo.es</t>
  </si>
  <si>
    <t xml:space="preserve">928307725</t>
  </si>
  <si>
    <t xml:space="preserve">016101282E</t>
  </si>
  <si>
    <t xml:space="preserve">QUISPE CAMARGO PAOLA</t>
  </si>
  <si>
    <t xml:space="preserve">paoquispecamargo98@gmail.com</t>
  </si>
  <si>
    <t xml:space="preserve">941968926</t>
  </si>
  <si>
    <t xml:space="preserve">011100454A</t>
  </si>
  <si>
    <t xml:space="preserve">QUISPE FLOREZ MIRIAM</t>
  </si>
  <si>
    <t xml:space="preserve">011100454a@uandina.edu.pe</t>
  </si>
  <si>
    <t xml:space="preserve">902892569</t>
  </si>
  <si>
    <t xml:space="preserve">Lugar de trabajo declarado: Anta</t>
  </si>
  <si>
    <t xml:space="preserve">014100647A</t>
  </si>
  <si>
    <t xml:space="preserve">RAMOS ATAUCURI HARNOLD</t>
  </si>
  <si>
    <t xml:space="preserve">harnoldmed@gmail.com</t>
  </si>
  <si>
    <t xml:space="preserve">975470747</t>
  </si>
  <si>
    <t xml:space="preserve">014200333I</t>
  </si>
  <si>
    <t xml:space="preserve">RAMOS PAUCAR LEYDY SHIRLEY</t>
  </si>
  <si>
    <t xml:space="preserve">leydyshirley.rm@hotmail.com</t>
  </si>
  <si>
    <t xml:space="preserve">947525264</t>
  </si>
  <si>
    <t xml:space="preserve">013200748E</t>
  </si>
  <si>
    <t xml:space="preserve">RIVERA TAMATA JHOAN MARCELO</t>
  </si>
  <si>
    <t xml:space="preserve">jhon_dark.182@hotmail.com</t>
  </si>
  <si>
    <t xml:space="preserve">967737509</t>
  </si>
  <si>
    <t xml:space="preserve">014101400J</t>
  </si>
  <si>
    <t xml:space="preserve">RODRIGUEZ RODRIGUEZ OSCAR GONZALO</t>
  </si>
  <si>
    <t xml:space="preserve">FREEMAN3214@HOTMAIL.COM</t>
  </si>
  <si>
    <t xml:space="preserve">987665900</t>
  </si>
  <si>
    <t xml:space="preserve">012101000C</t>
  </si>
  <si>
    <t xml:space="preserve">ROJAS ORTIZ DE ZEVALLOS MILADY ADRIANA</t>
  </si>
  <si>
    <t xml:space="preserve">adri_amor_40@hotmail.com</t>
  </si>
  <si>
    <t xml:space="preserve">987096115</t>
  </si>
  <si>
    <t xml:space="preserve">014101402B</t>
  </si>
  <si>
    <t xml:space="preserve">SAIRE CUBA MARILY VICENTINA</t>
  </si>
  <si>
    <t xml:space="preserve">marilyvicentinasairecuba@hotmail.com</t>
  </si>
  <si>
    <t xml:space="preserve">984296323</t>
  </si>
  <si>
    <t xml:space="preserve">011300750C</t>
  </si>
  <si>
    <t xml:space="preserve">SILVA CALDERON CARLOS JOEL</t>
  </si>
  <si>
    <t xml:space="preserve">011300750C@uandina.edu.pe</t>
  </si>
  <si>
    <t xml:space="preserve">930147283</t>
  </si>
  <si>
    <t xml:space="preserve">014101403I</t>
  </si>
  <si>
    <t xml:space="preserve">SILVA POLO RAFAEL ALEJANDRO</t>
  </si>
  <si>
    <t xml:space="preserve">rafeu4@gmail.com</t>
  </si>
  <si>
    <t xml:space="preserve">960349083</t>
  </si>
  <si>
    <t xml:space="preserve">013300728F</t>
  </si>
  <si>
    <t xml:space="preserve">SILVA ZEA ARACELY</t>
  </si>
  <si>
    <t xml:space="preserve">aritoo.asz@gmail.com</t>
  </si>
  <si>
    <t xml:space="preserve">934995550</t>
  </si>
  <si>
    <t xml:space="preserve">013300729B</t>
  </si>
  <si>
    <t xml:space="preserve">SORIA ROQUE JOSÉ ANTONIO</t>
  </si>
  <si>
    <t xml:space="preserve">josean2495@gmail.com</t>
  </si>
  <si>
    <t xml:space="preserve">982483456</t>
  </si>
  <si>
    <t xml:space="preserve">010200076J</t>
  </si>
  <si>
    <t xml:space="preserve">SORIA SALAZAR IRVIN ANDRE</t>
  </si>
  <si>
    <t xml:space="preserve">irandre69@gmail.com</t>
  </si>
  <si>
    <t xml:space="preserve">951689884</t>
  </si>
  <si>
    <t xml:space="preserve">012200782J</t>
  </si>
  <si>
    <t xml:space="preserve">SUYO CASTILLO DERLY</t>
  </si>
  <si>
    <t xml:space="preserve">derlysuyocastillo@gmail.com</t>
  </si>
  <si>
    <t xml:space="preserve">983347216</t>
  </si>
  <si>
    <t xml:space="preserve">013300731G</t>
  </si>
  <si>
    <t xml:space="preserve">TACO HUALLPA NORA</t>
  </si>
  <si>
    <t xml:space="preserve">noritaco14@hotmail.com</t>
  </si>
  <si>
    <t xml:space="preserve">969729868</t>
  </si>
  <si>
    <t xml:space="preserve">011300773C</t>
  </si>
  <si>
    <t xml:space="preserve">TOCRE LOAIZA YESENIA MARGOTH</t>
  </si>
  <si>
    <t xml:space="preserve">margothtocre@gmail.com</t>
  </si>
  <si>
    <t xml:space="preserve">969743736</t>
  </si>
  <si>
    <t xml:space="preserve">014200991F</t>
  </si>
  <si>
    <t xml:space="preserve">TUMPE NEYRA ANAPAOLA</t>
  </si>
  <si>
    <t xml:space="preserve">anitatumpe@hotmail.com</t>
  </si>
  <si>
    <t xml:space="preserve">948010506</t>
  </si>
  <si>
    <t xml:space="preserve">013200756H</t>
  </si>
  <si>
    <t xml:space="preserve">VACCARO RIVAS BRENDA</t>
  </si>
  <si>
    <t xml:space="preserve">dr.brendavr10@gmail.com</t>
  </si>
  <si>
    <t xml:space="preserve">998519602</t>
  </si>
  <si>
    <t xml:space="preserve">011200698J</t>
  </si>
  <si>
    <t xml:space="preserve">VELASQUEZ PAREJA JOHN</t>
  </si>
  <si>
    <t xml:space="preserve">garcimedih@gmail.com</t>
  </si>
  <si>
    <t xml:space="preserve">980678439</t>
  </si>
  <si>
    <t xml:space="preserve">013100780D</t>
  </si>
  <si>
    <t xml:space="preserve">VELAZCO TEJADA MARIO DARWIN</t>
  </si>
  <si>
    <t xml:space="preserve">mariomastermedic@gmail.com</t>
  </si>
  <si>
    <t xml:space="preserve">984494915</t>
  </si>
  <si>
    <t xml:space="preserve">013300735B</t>
  </si>
  <si>
    <t xml:space="preserve">VILCA HERRERA KEVIN RICHARD</t>
  </si>
  <si>
    <t xml:space="preserve">kevinvilca012@gmail.com</t>
  </si>
  <si>
    <t xml:space="preserve">973696709</t>
  </si>
  <si>
    <t xml:space="preserve">014200386E</t>
  </si>
  <si>
    <t xml:space="preserve">ZAPATA CHOQUE JUNIOR JULIO</t>
  </si>
  <si>
    <t xml:space="preserve">zapatajunior057@gmail.com</t>
  </si>
  <si>
    <t xml:space="preserve">957720402</t>
  </si>
  <si>
    <t xml:space="preserve">014200973H</t>
  </si>
  <si>
    <t xml:space="preserve">ZUNIGA ARREDONDO DANNY JONAHATAN</t>
  </si>
  <si>
    <t xml:space="preserve">djza1234@gmail.com</t>
  </si>
  <si>
    <t xml:space="preserve">940237995</t>
  </si>
  <si>
    <t xml:space="preserve">014200974D</t>
  </si>
  <si>
    <t xml:space="preserve">ZUNIGA JARAMILLO SHEYLA RUBI</t>
  </si>
  <si>
    <t xml:space="preserve">srubizuni@gmail.com</t>
  </si>
  <si>
    <t xml:space="preserve">940858943</t>
  </si>
  <si>
    <t xml:space="preserve">013300686A</t>
  </si>
  <si>
    <t xml:space="preserve">ALARCON GALDOS CARLOS FABRIZIO</t>
  </si>
  <si>
    <t xml:space="preserve">carlosgaldos1996@gmail.com</t>
  </si>
  <si>
    <t xml:space="preserve">979719663</t>
  </si>
  <si>
    <t xml:space="preserve">015200029G</t>
  </si>
  <si>
    <t xml:space="preserve">ALLENDE PUMACALLAHUI DENNISSE AZUCENA</t>
  </si>
  <si>
    <t xml:space="preserve">azucena.allende25@gmail.com</t>
  </si>
  <si>
    <t xml:space="preserve">978728583</t>
  </si>
  <si>
    <t xml:space="preserve">011300730B</t>
  </si>
  <si>
    <t xml:space="preserve">ALVAREZ MOSQUEIRA CARMEN JOSELYN</t>
  </si>
  <si>
    <t xml:space="preserve">carmen.alvarez.mosqueira@gmail.com</t>
  </si>
  <si>
    <t xml:space="preserve">949099538</t>
  </si>
  <si>
    <t xml:space="preserve">013200709J</t>
  </si>
  <si>
    <t xml:space="preserve">ANAYA JUCHARO MARIA DEL CARMEN</t>
  </si>
  <si>
    <t xml:space="preserve">nadheel07@gmail.com</t>
  </si>
  <si>
    <t xml:space="preserve">989411721</t>
  </si>
  <si>
    <t xml:space="preserve">014200919C</t>
  </si>
  <si>
    <t xml:space="preserve">ARAGON LUQUE MICHAEL JUNNIOR</t>
  </si>
  <si>
    <t xml:space="preserve">michaeljunnioraragonluque@gmail.com</t>
  </si>
  <si>
    <t xml:space="preserve">960498927</t>
  </si>
  <si>
    <t xml:space="preserve">EMP-020</t>
  </si>
  <si>
    <t xml:space="preserve">Postulante SERUMS 2026-II (CUSCO): nota 14, orden de mérito 109</t>
  </si>
  <si>
    <t xml:space="preserve">I Encuentro de Egresados; Resultados SERUMS 2026-II</t>
  </si>
  <si>
    <t xml:space="preserve">013300690I</t>
  </si>
  <si>
    <t xml:space="preserve">BEDIA AVALOS IBET JULIA</t>
  </si>
  <si>
    <t xml:space="preserve">i.bedia@hotmail.com</t>
  </si>
  <si>
    <t xml:space="preserve">984006392</t>
  </si>
  <si>
    <t xml:space="preserve">013300691E</t>
  </si>
  <si>
    <t xml:space="preserve">BUSTAMANTE ANGELINO LIUBING GÜILFO</t>
  </si>
  <si>
    <t xml:space="preserve">liubi-cr7@hotmail.com</t>
  </si>
  <si>
    <t xml:space="preserve">989754873</t>
  </si>
  <si>
    <t xml:space="preserve">014101456E</t>
  </si>
  <si>
    <t xml:space="preserve">BUSTAMANTE RODRIGUEZ CAROLINA MERCEDES</t>
  </si>
  <si>
    <t xml:space="preserve">cmbr20131997@gmail.com</t>
  </si>
  <si>
    <t xml:space="preserve">975211916</t>
  </si>
  <si>
    <t xml:space="preserve">013300697C</t>
  </si>
  <si>
    <t xml:space="preserve">CARAZAS DIAZ URSULA BRENDA</t>
  </si>
  <si>
    <t xml:space="preserve">brenda2547@hotmail.com</t>
  </si>
  <si>
    <t xml:space="preserve">986060171</t>
  </si>
  <si>
    <t xml:space="preserve">013200717B</t>
  </si>
  <si>
    <t xml:space="preserve">CHAMPI FLORES ALVARO WALTER</t>
  </si>
  <si>
    <t xml:space="preserve">alvarorel@hotmail.com</t>
  </si>
  <si>
    <t xml:space="preserve">935072903</t>
  </si>
  <si>
    <t xml:space="preserve">013100768D</t>
  </si>
  <si>
    <t xml:space="preserve">CHAVEZ GUZMAN YISSELL MOODELL</t>
  </si>
  <si>
    <t xml:space="preserve">yiscus705@yahoo.es</t>
  </si>
  <si>
    <t xml:space="preserve">982770120</t>
  </si>
  <si>
    <t xml:space="preserve">016100411F</t>
  </si>
  <si>
    <t xml:space="preserve">CHAVEZ ORE MANUEL ANGEL</t>
  </si>
  <si>
    <t xml:space="preserve">macore77737@gmail.com</t>
  </si>
  <si>
    <t xml:space="preserve">984888486</t>
  </si>
  <si>
    <t xml:space="preserve">012200793A</t>
  </si>
  <si>
    <t xml:space="preserve">CHAVEZ ZAMATA JEANPIERE</t>
  </si>
  <si>
    <t xml:space="preserve">2402jeanpi@gmail.com</t>
  </si>
  <si>
    <t xml:space="preserve">973001888</t>
  </si>
  <si>
    <t xml:space="preserve">013300701K</t>
  </si>
  <si>
    <t xml:space="preserve">CONTRERAS UMPIRE MARIA ALICIA</t>
  </si>
  <si>
    <t xml:space="preserve">maizhita.04@gmail.com</t>
  </si>
  <si>
    <t xml:space="preserve">942129331</t>
  </si>
  <si>
    <t xml:space="preserve">013200718I</t>
  </si>
  <si>
    <t xml:space="preserve">CUSSI JARA FABRICIO JHORDAN</t>
  </si>
  <si>
    <t xml:space="preserve">rrfafirr@gmail.com</t>
  </si>
  <si>
    <t xml:space="preserve">992943893</t>
  </si>
  <si>
    <t xml:space="preserve">Docente EPMH – Embriología, Introducción a los estudios Médicos</t>
  </si>
  <si>
    <t xml:space="preserve">Declaró prepararse y nombró 'Centro de salud de Urcos': verificar si trabaja allí</t>
  </si>
  <si>
    <t xml:space="preserve">012200758A</t>
  </si>
  <si>
    <t xml:space="preserve">DE LA TORRE VARGAS KEVIN EDUARDO</t>
  </si>
  <si>
    <t xml:space="preserve">kevinedu15@gmail.com</t>
  </si>
  <si>
    <t xml:space="preserve">984008070</t>
  </si>
  <si>
    <t xml:space="preserve">012200751G</t>
  </si>
  <si>
    <t xml:space="preserve">ESCOBEDO MAMANI KYRLA KATHERYNE</t>
  </si>
  <si>
    <t xml:space="preserve">kymy123@hotmail.com</t>
  </si>
  <si>
    <t xml:space="preserve">941717168</t>
  </si>
  <si>
    <t xml:space="preserve">015101002C</t>
  </si>
  <si>
    <t xml:space="preserve">FORTON PALOMINO EDWARD RODRIGO</t>
  </si>
  <si>
    <t xml:space="preserve">erodrigofp98@gmail.com</t>
  </si>
  <si>
    <t xml:space="preserve">927750265</t>
  </si>
  <si>
    <t xml:space="preserve">012100968D</t>
  </si>
  <si>
    <t xml:space="preserve">FRISANCHO ANGULO VANESSA</t>
  </si>
  <si>
    <t xml:space="preserve">vane_2832@hotmail.com</t>
  </si>
  <si>
    <t xml:space="preserve">992212269</t>
  </si>
  <si>
    <t xml:space="preserve">012200776J</t>
  </si>
  <si>
    <t xml:space="preserve">GARATE PALOMINO MILCA</t>
  </si>
  <si>
    <t xml:space="preserve">milka393@hotmail.com</t>
  </si>
  <si>
    <t xml:space="preserve">966486993</t>
  </si>
  <si>
    <t xml:space="preserve">012100973H</t>
  </si>
  <si>
    <t xml:space="preserve">HIDALGO ZUÑIGA ROSMARY INDIRA</t>
  </si>
  <si>
    <t xml:space="preserve">rosmary_amor@hotmail.com</t>
  </si>
  <si>
    <t xml:space="preserve">984606350</t>
  </si>
  <si>
    <t xml:space="preserve">013200724I</t>
  </si>
  <si>
    <t xml:space="preserve">HUAMAN DIAZ RODRIGO ELOY</t>
  </si>
  <si>
    <t xml:space="preserve">rodrigo20055@hotmail.com</t>
  </si>
  <si>
    <t xml:space="preserve">941445873</t>
  </si>
  <si>
    <t xml:space="preserve">011100440K</t>
  </si>
  <si>
    <t xml:space="preserve">JARA GARCIA JULIO ANDRE</t>
  </si>
  <si>
    <t xml:space="preserve">andrejara1806@gmail.com</t>
  </si>
  <si>
    <t xml:space="preserve">952322593</t>
  </si>
  <si>
    <t xml:space="preserve">011300734H</t>
  </si>
  <si>
    <t xml:space="preserve">LA TORRE MONTALVO ANTUANETTE MERCEDES</t>
  </si>
  <si>
    <t xml:space="preserve">antuamedi@gmail.com</t>
  </si>
  <si>
    <t xml:space="preserve">955288101</t>
  </si>
  <si>
    <t xml:space="preserve">Docente EPMH – Laboratorio Clinico- Introducción a los estudios médicos</t>
  </si>
  <si>
    <t xml:space="preserve">Encuesta egresados docentes EPMH</t>
  </si>
  <si>
    <t xml:space="preserve">013100788E</t>
  </si>
  <si>
    <t xml:space="preserve">LAZO CUSIHUALLPA LUCÍA ALDHAIZ</t>
  </si>
  <si>
    <t xml:space="preserve">aldhaiz_lucia717@hotmail.com</t>
  </si>
  <si>
    <t xml:space="preserve">906007416</t>
  </si>
  <si>
    <t xml:space="preserve">015200612D</t>
  </si>
  <si>
    <t xml:space="preserve">MAQUERA HUAMAN ALVARO ALBERTO</t>
  </si>
  <si>
    <t xml:space="preserve">alvaromhpd@hotmail.com</t>
  </si>
  <si>
    <t xml:space="preserve">940802665</t>
  </si>
  <si>
    <t xml:space="preserve">016101005A</t>
  </si>
  <si>
    <t xml:space="preserve">MIGUEL CAMPOS ANGHY</t>
  </si>
  <si>
    <t xml:space="preserve">016101005A@uandina.edu.pe</t>
  </si>
  <si>
    <t xml:space="preserve">940187812</t>
  </si>
  <si>
    <t xml:space="preserve">015300644E</t>
  </si>
  <si>
    <t xml:space="preserve">MONTALICO CASTRO BEATRIZ INES</t>
  </si>
  <si>
    <t xml:space="preserve">teamo_mc_9@hotmail.com</t>
  </si>
  <si>
    <t xml:space="preserve">974979940</t>
  </si>
  <si>
    <t xml:space="preserve">013200736G</t>
  </si>
  <si>
    <t xml:space="preserve">MORA SANTIVAÑEZ THAIS</t>
  </si>
  <si>
    <t xml:space="preserve">thais.mosa595@gmail.com</t>
  </si>
  <si>
    <t xml:space="preserve">980705119</t>
  </si>
  <si>
    <t xml:space="preserve">011200689K</t>
  </si>
  <si>
    <t xml:space="preserve">MORMONTOY LOAIZA AYRTON DARIO</t>
  </si>
  <si>
    <t xml:space="preserve">admormontoy@gmail.com</t>
  </si>
  <si>
    <t xml:space="preserve">987889956</t>
  </si>
  <si>
    <t xml:space="preserve">016101077B</t>
  </si>
  <si>
    <t xml:space="preserve">NUÑEZ MUÑOZ ARACELLY RUTH</t>
  </si>
  <si>
    <t xml:space="preserve">marcearit_2626@hotmail.com</t>
  </si>
  <si>
    <t xml:space="preserve">962393054</t>
  </si>
  <si>
    <t xml:space="preserve">015100930D</t>
  </si>
  <si>
    <t xml:space="preserve">PACHECO QUISPE KELVIN</t>
  </si>
  <si>
    <t xml:space="preserve">kelvinpachecoq@gmail.com</t>
  </si>
  <si>
    <t xml:space="preserve">910663926</t>
  </si>
  <si>
    <t xml:space="preserve">014200951D</t>
  </si>
  <si>
    <t xml:space="preserve">PACHECO ZERON CRISTHIAN KEVIN</t>
  </si>
  <si>
    <t xml:space="preserve">cristhianpacheco916@gmail.com</t>
  </si>
  <si>
    <t xml:space="preserve">984396181</t>
  </si>
  <si>
    <t xml:space="preserve">016101886H</t>
  </si>
  <si>
    <t xml:space="preserve">PAUCAR CHOQQUENAYRA BRANDON</t>
  </si>
  <si>
    <t xml:space="preserve">dotagozu69@hotmail.com</t>
  </si>
  <si>
    <t xml:space="preserve">941408676</t>
  </si>
  <si>
    <t xml:space="preserve">013300724K</t>
  </si>
  <si>
    <t xml:space="preserve">PORTUGAL TUPAYACHI LUIS FELIPE</t>
  </si>
  <si>
    <t xml:space="preserve">lipeportugal1305@hotmail.com</t>
  </si>
  <si>
    <t xml:space="preserve">980758582</t>
  </si>
  <si>
    <t xml:space="preserve">014101398E</t>
  </si>
  <si>
    <t xml:space="preserve">QUISPE GAMARRA MELISSA MILAGROS</t>
  </si>
  <si>
    <t xml:space="preserve">mili12meli05@gmail.com</t>
  </si>
  <si>
    <t xml:space="preserve">921119602</t>
  </si>
  <si>
    <t xml:space="preserve">014101399A</t>
  </si>
  <si>
    <t xml:space="preserve">QUISPE LOAIZA GRECIA ERSILIA</t>
  </si>
  <si>
    <t xml:space="preserve">greece921@gmail.com</t>
  </si>
  <si>
    <t xml:space="preserve">963301523</t>
  </si>
  <si>
    <t xml:space="preserve">012200780G</t>
  </si>
  <si>
    <t xml:space="preserve">ROMAN CASTILLO LUIS MIGUEL</t>
  </si>
  <si>
    <t xml:space="preserve">lmroman03@hotmail.com</t>
  </si>
  <si>
    <t xml:space="preserve">986743894</t>
  </si>
  <si>
    <t xml:space="preserve">Postulante SERUMS 2026-II (CUSCO): nota 11.8, orden de mérito 228</t>
  </si>
  <si>
    <t xml:space="preserve">Resultados SERUMS 2026-II</t>
  </si>
  <si>
    <t xml:space="preserve">015200920K</t>
  </si>
  <si>
    <t xml:space="preserve">RONDAN ESTRADA WINY ALLISON</t>
  </si>
  <si>
    <t xml:space="preserve">soluvi8@yahoo.es</t>
  </si>
  <si>
    <t xml:space="preserve">977621051</t>
  </si>
  <si>
    <t xml:space="preserve">EMP-044</t>
  </si>
  <si>
    <t xml:space="preserve">011300748I</t>
  </si>
  <si>
    <t xml:space="preserve">RONDAN SINCHI NOEMI ARELI</t>
  </si>
  <si>
    <t xml:space="preserve">noemiarelirondansinchi95@gmail.com</t>
  </si>
  <si>
    <t xml:space="preserve">916126076</t>
  </si>
  <si>
    <t xml:space="preserve">013200750J</t>
  </si>
  <si>
    <t xml:space="preserve">RONDON ZERECEDA FAYRUS KATIUSCA</t>
  </si>
  <si>
    <t xml:space="preserve">katicita_1996@hotmail.com</t>
  </si>
  <si>
    <t xml:space="preserve">984454495</t>
  </si>
  <si>
    <t xml:space="preserve">016101446H</t>
  </si>
  <si>
    <t xml:space="preserve">SALAS GUTIERREZ MELANNIE</t>
  </si>
  <si>
    <t xml:space="preserve">melanniesg0512@gmail.com</t>
  </si>
  <si>
    <t xml:space="preserve">982849846</t>
  </si>
  <si>
    <t xml:space="preserve">013200752B</t>
  </si>
  <si>
    <t xml:space="preserve">SANCHEZ SALAZAR RODOLFO AMADO</t>
  </si>
  <si>
    <t xml:space="preserve">013200752b@uandina.edu.pe</t>
  </si>
  <si>
    <t xml:space="preserve">992482896</t>
  </si>
  <si>
    <t xml:space="preserve">015100199H</t>
  </si>
  <si>
    <t xml:space="preserve">SOLIS CHIPA JOSE ANTONIO</t>
  </si>
  <si>
    <t xml:space="preserve">joseantoniosolischipa@gmail.com</t>
  </si>
  <si>
    <t xml:space="preserve">989074744</t>
  </si>
  <si>
    <t xml:space="preserve">Lugar de trabajo declarado: OCONGATE</t>
  </si>
  <si>
    <t xml:space="preserve">013300730K</t>
  </si>
  <si>
    <t xml:space="preserve">SOTO HUACANI RAUL HERNANDO</t>
  </si>
  <si>
    <t xml:space="preserve">berzerker_xxdd@hotmail.com</t>
  </si>
  <si>
    <t xml:space="preserve">940837450</t>
  </si>
  <si>
    <t xml:space="preserve">014100324H</t>
  </si>
  <si>
    <t xml:space="preserve">SULLCAHUAMAN ROBLES ADRIANA SOLANGE</t>
  </si>
  <si>
    <t xml:space="preserve">Adrissr_97@hotmail.com</t>
  </si>
  <si>
    <t xml:space="preserve">991758348</t>
  </si>
  <si>
    <t xml:space="preserve">014200971E</t>
  </si>
  <si>
    <t xml:space="preserve">VALDIVIA BRAVO BRHAYAN ISAAC</t>
  </si>
  <si>
    <t xml:space="preserve">bomberman2730@hotmail.com</t>
  </si>
  <si>
    <t xml:space="preserve">981783343</t>
  </si>
  <si>
    <t xml:space="preserve">015201083E</t>
  </si>
  <si>
    <t xml:space="preserve">VARGAS CACERES ANTHONY BRIAN</t>
  </si>
  <si>
    <t xml:space="preserve">anthonybrianvargas_9@hotmail.com</t>
  </si>
  <si>
    <t xml:space="preserve">984801686</t>
  </si>
  <si>
    <t xml:space="preserve">012101008D</t>
  </si>
  <si>
    <t xml:space="preserve">VARGAS ODICIO MAIRA ALEJANDRA</t>
  </si>
  <si>
    <t xml:space="preserve">maira_a15@live.com</t>
  </si>
  <si>
    <t xml:space="preserve">997906165</t>
  </si>
  <si>
    <t xml:space="preserve">015100480I</t>
  </si>
  <si>
    <t xml:space="preserve">VIZCARRA JORDAN DAVID MARCELO</t>
  </si>
  <si>
    <t xml:space="preserve">marcelovizcarra@yahoo.es</t>
  </si>
  <si>
    <t xml:space="preserve">941203768</t>
  </si>
  <si>
    <t xml:space="preserve">015300018G</t>
  </si>
  <si>
    <t xml:space="preserve">AGUILAR CUEVA WINNY ISABEL</t>
  </si>
  <si>
    <t xml:space="preserve">winny.ac1@gmail.com</t>
  </si>
  <si>
    <t xml:space="preserve">984793879</t>
  </si>
  <si>
    <t xml:space="preserve">Postulante SERUMS 2026-II (CUSCO): nota 13.2, orden de mérito 158</t>
  </si>
  <si>
    <t xml:space="preserve">014200918G</t>
  </si>
  <si>
    <t xml:space="preserve">ALARCON RODAS SHELVY ROSMERY</t>
  </si>
  <si>
    <t xml:space="preserve">shel11_97@utlook.com</t>
  </si>
  <si>
    <t xml:space="preserve">956696000</t>
  </si>
  <si>
    <t xml:space="preserve">015100676K</t>
  </si>
  <si>
    <t xml:space="preserve">ALVAREZ CABANILLAS ROSANGELA</t>
  </si>
  <si>
    <t xml:space="preserve">rosangelaalvarezc@gmail.com</t>
  </si>
  <si>
    <t xml:space="preserve">933768487</t>
  </si>
  <si>
    <t xml:space="preserve">011300717F</t>
  </si>
  <si>
    <t xml:space="preserve">AMAO HUAMAN ABIGAITH</t>
  </si>
  <si>
    <t xml:space="preserve">abigaith34@gmail.com</t>
  </si>
  <si>
    <t xml:space="preserve">993108089</t>
  </si>
  <si>
    <t xml:space="preserve">012200767K</t>
  </si>
  <si>
    <t xml:space="preserve">APAZA MAMANI IVAN ELMER</t>
  </si>
  <si>
    <t xml:space="preserve">unico3@hotmail.com</t>
  </si>
  <si>
    <t xml:space="preserve">953761588</t>
  </si>
  <si>
    <t xml:space="preserve">016200076D</t>
  </si>
  <si>
    <t xml:space="preserve">ARIAS CONDORI GILBERT ALEXANDER</t>
  </si>
  <si>
    <t xml:space="preserve">gapal125@hotmail.com</t>
  </si>
  <si>
    <t xml:space="preserve">957287401</t>
  </si>
  <si>
    <t xml:space="preserve">016200078G</t>
  </si>
  <si>
    <t xml:space="preserve">ARIZACA ROMERO JOSE ANGELO</t>
  </si>
  <si>
    <t xml:space="preserve">aarizacaromero@gmail.com</t>
  </si>
  <si>
    <t xml:space="preserve">989978879</t>
  </si>
  <si>
    <t xml:space="preserve">016100129I</t>
  </si>
  <si>
    <t xml:space="preserve">ASTETE ANAYA MONICA</t>
  </si>
  <si>
    <t xml:space="preserve">trefarver_blaskme@live.com.mx</t>
  </si>
  <si>
    <t xml:space="preserve">989407009</t>
  </si>
  <si>
    <t xml:space="preserve">015100384J</t>
  </si>
  <si>
    <t xml:space="preserve">AYME RAMOS EMMANUEL CHRYSTIAN</t>
  </si>
  <si>
    <t xml:space="preserve">emmanuelayra28@hotmail.com</t>
  </si>
  <si>
    <t xml:space="preserve">958740339</t>
  </si>
  <si>
    <t xml:space="preserve">Concluyó SERUMS (C.S. Colquemarca / P.S. Yanque); situación actual no declarada | termino serums chumbivilcas colquemarca, especialidad entre neuro y gastro</t>
  </si>
  <si>
    <t xml:space="preserve">Concluido – C.S. Colquemarca / P.S. Yanque</t>
  </si>
  <si>
    <t xml:space="preserve">011300718B</t>
  </si>
  <si>
    <t xml:space="preserve">BARCENA ARANZABAL TATIANA FERNANDA</t>
  </si>
  <si>
    <t xml:space="preserve">tatiana.fernanda@hotmail.com</t>
  </si>
  <si>
    <t xml:space="preserve">984560604</t>
  </si>
  <si>
    <t xml:space="preserve">015100747E</t>
  </si>
  <si>
    <t xml:space="preserve">BEJAR SAYA ALEJANDRA MATILDE</t>
  </si>
  <si>
    <t xml:space="preserve">alebs.2097@gmail.com</t>
  </si>
  <si>
    <t xml:space="preserve">993880774</t>
  </si>
  <si>
    <t xml:space="preserve">014100926H</t>
  </si>
  <si>
    <t xml:space="preserve">BUSTAMANTE LUNA MARICIELO</t>
  </si>
  <si>
    <t xml:space="preserve">maricielo191013@hotmail.com</t>
  </si>
  <si>
    <t xml:space="preserve">966489271</t>
  </si>
  <si>
    <t xml:space="preserve">016100236J</t>
  </si>
  <si>
    <t xml:space="preserve">CABALLERO GARCIA PRIXANIA STEPHANIE</t>
  </si>
  <si>
    <t xml:space="preserve">prixa06@gmail.com</t>
  </si>
  <si>
    <t xml:space="preserve">983319481</t>
  </si>
  <si>
    <t xml:space="preserve">016100252E</t>
  </si>
  <si>
    <t xml:space="preserve">CAHUAS FLORES MIRELLA SHIRLEY</t>
  </si>
  <si>
    <t xml:space="preserve">mireflores28@outlook.com</t>
  </si>
  <si>
    <t xml:space="preserve">984052220</t>
  </si>
  <si>
    <t xml:space="preserve">017100115G</t>
  </si>
  <si>
    <t xml:space="preserve">CALACHAHUI HUMPIRE PAUL RODRIGO</t>
  </si>
  <si>
    <t xml:space="preserve">ghgelizabeth@gmail.comn</t>
  </si>
  <si>
    <t xml:space="preserve">984255624</t>
  </si>
  <si>
    <t xml:space="preserve">012100963B</t>
  </si>
  <si>
    <t xml:space="preserve">CALANCHI RAMOS ARNOLD</t>
  </si>
  <si>
    <t xml:space="preserve">arnold.cr-@hotmail.com</t>
  </si>
  <si>
    <t xml:space="preserve">951377888</t>
  </si>
  <si>
    <t xml:space="preserve">014200268B</t>
  </si>
  <si>
    <t xml:space="preserve">CALDERON AMESQUITA EDSON RONALDO</t>
  </si>
  <si>
    <t xml:space="preserve">edx_009@hotmail.com</t>
  </si>
  <si>
    <t xml:space="preserve">940236286</t>
  </si>
  <si>
    <t xml:space="preserve">011100433D</t>
  </si>
  <si>
    <t xml:space="preserve">CARDENAS CHOQUE KEVIN IVAN</t>
  </si>
  <si>
    <t xml:space="preserve">ivankev416@hotmail.com</t>
  </si>
  <si>
    <t xml:space="preserve">974950011</t>
  </si>
  <si>
    <t xml:space="preserve">013200714C</t>
  </si>
  <si>
    <t xml:space="preserve">CARDENAS CHOQUE NOHELIA ISABEL</t>
  </si>
  <si>
    <t xml:space="preserve">nohelia.415@hotmail.es</t>
  </si>
  <si>
    <t xml:space="preserve">974620635</t>
  </si>
  <si>
    <t xml:space="preserve">011300742K</t>
  </si>
  <si>
    <t xml:space="preserve">CARDENAS PORTUGAL MARIA JULIA</t>
  </si>
  <si>
    <t xml:space="preserve">mariajulia29@hotmail.com</t>
  </si>
  <si>
    <t xml:space="preserve">963087100</t>
  </si>
  <si>
    <t xml:space="preserve">Postulante SERUMS 2026-II (CUSCO): nota 14, orden de mérito 110</t>
  </si>
  <si>
    <t xml:space="preserve">015200184B</t>
  </si>
  <si>
    <t xml:space="preserve">CARRASCO FLORES ALONSO JAVIER</t>
  </si>
  <si>
    <t xml:space="preserve">a_sale_2014@hotmail.com</t>
  </si>
  <si>
    <t xml:space="preserve">984688072</t>
  </si>
  <si>
    <t xml:space="preserve">014101214A</t>
  </si>
  <si>
    <t xml:space="preserve">CASTELLANOS JURADO MIRLA</t>
  </si>
  <si>
    <t xml:space="preserve">mirla.123@hotmail.com</t>
  </si>
  <si>
    <t xml:space="preserve">980929969</t>
  </si>
  <si>
    <t xml:space="preserve">016100329H</t>
  </si>
  <si>
    <t xml:space="preserve">CASTELO MANGA JOSE RODRIGO</t>
  </si>
  <si>
    <t xml:space="preserve">gergievludwig40@gmail.com</t>
  </si>
  <si>
    <t xml:space="preserve">940113822</t>
  </si>
  <si>
    <t xml:space="preserve">013300699F</t>
  </si>
  <si>
    <t xml:space="preserve">CASTRO QUIRITA RUBILA SIANETH</t>
  </si>
  <si>
    <t xml:space="preserve">siacquirita@gmail.com</t>
  </si>
  <si>
    <t xml:space="preserve">940890535</t>
  </si>
  <si>
    <t xml:space="preserve">016201317E</t>
  </si>
  <si>
    <t xml:space="preserve">CAYO COÑEZ YEIDHY KARIN</t>
  </si>
  <si>
    <t xml:space="preserve">016201317E@uandina.edu.pe</t>
  </si>
  <si>
    <t xml:space="preserve">997836422</t>
  </si>
  <si>
    <t xml:space="preserve">016100363A</t>
  </si>
  <si>
    <t xml:space="preserve">CCAHUANA VELASQUEZ FLOR CATHERINE</t>
  </si>
  <si>
    <t xml:space="preserve">flor_cv2509@hotmail.com</t>
  </si>
  <si>
    <t xml:space="preserve">958365489</t>
  </si>
  <si>
    <t xml:space="preserve">014200293G</t>
  </si>
  <si>
    <t xml:space="preserve">CCOICCA AIQUIPA LILIBETH KARLA</t>
  </si>
  <si>
    <t xml:space="preserve">lilibeth.ccoicca@gmail.com</t>
  </si>
  <si>
    <t xml:space="preserve">989097735</t>
  </si>
  <si>
    <t xml:space="preserve">012100978J</t>
  </si>
  <si>
    <t xml:space="preserve">CCORIMANYA SACCA HECTOR PAUL NELSON</t>
  </si>
  <si>
    <t xml:space="preserve">hectorpaulnelsonccorimanya@gmail.com</t>
  </si>
  <si>
    <t xml:space="preserve">946399668</t>
  </si>
  <si>
    <t xml:space="preserve">016100384I</t>
  </si>
  <si>
    <t xml:space="preserve">CCOYO CHAMPI ARASELY MERCEDES</t>
  </si>
  <si>
    <t xml:space="preserve">aritasarayed@gmail.com</t>
  </si>
  <si>
    <t xml:space="preserve">943613994</t>
  </si>
  <si>
    <t xml:space="preserve">015200231K</t>
  </si>
  <si>
    <t xml:space="preserve">CHACON CUSIHUAMAN JHAMIR LUISIN</t>
  </si>
  <si>
    <t xml:space="preserve">chaconjhamir@gmail.com</t>
  </si>
  <si>
    <t xml:space="preserve">981506355</t>
  </si>
  <si>
    <t xml:space="preserve">015300237K</t>
  </si>
  <si>
    <t xml:space="preserve">CHAMPI CASTAÑEDA GONZALO WILBERT</t>
  </si>
  <si>
    <t xml:space="preserve">gonx_champi@hotmail.com</t>
  </si>
  <si>
    <t xml:space="preserve">955912506</t>
  </si>
  <si>
    <t xml:space="preserve">015300510I</t>
  </si>
  <si>
    <t xml:space="preserve">CHAUCA SALAZAR JAMILET LUCIA</t>
  </si>
  <si>
    <t xml:space="preserve">jamiletlu@gmail.com</t>
  </si>
  <si>
    <t xml:space="preserve">995238914</t>
  </si>
  <si>
    <t xml:space="preserve">016100421A</t>
  </si>
  <si>
    <t xml:space="preserve">CHOQUE CASTRO BRIGITTE NATALY</t>
  </si>
  <si>
    <t xml:space="preserve">natal2_130@hotmail.com</t>
  </si>
  <si>
    <t xml:space="preserve">951974776</t>
  </si>
  <si>
    <t xml:space="preserve">015100838K</t>
  </si>
  <si>
    <t xml:space="preserve">COLLAZOS CACHIQUE DANIELA SOFIA</t>
  </si>
  <si>
    <t xml:space="preserve">daniniko49@gmail.com</t>
  </si>
  <si>
    <t xml:space="preserve">954118333</t>
  </si>
  <si>
    <t xml:space="preserve">011200660B</t>
  </si>
  <si>
    <t xml:space="preserve">DALGUERRE GIRALDO PAMELA</t>
  </si>
  <si>
    <t xml:space="preserve">amanecer_103@hotmail.com</t>
  </si>
  <si>
    <t xml:space="preserve">931950682</t>
  </si>
  <si>
    <t xml:space="preserve">014200932J</t>
  </si>
  <si>
    <t xml:space="preserve">DE LA TORRE VERA ANDREA KAROLINA</t>
  </si>
  <si>
    <t xml:space="preserve">adelatorrevera@gmail.com</t>
  </si>
  <si>
    <t xml:space="preserve">974399078</t>
  </si>
  <si>
    <t xml:space="preserve">015100980A</t>
  </si>
  <si>
    <t xml:space="preserve">DELGADO CALANCHA LUCERO</t>
  </si>
  <si>
    <t xml:space="preserve">lucerodeca@hotmail.com</t>
  </si>
  <si>
    <t xml:space="preserve">986744451</t>
  </si>
  <si>
    <t xml:space="preserve">016100518E</t>
  </si>
  <si>
    <t xml:space="preserve">DELGADO DAVILA MAYRA ROCIO</t>
  </si>
  <si>
    <t xml:space="preserve">mayrarocio_100@icloud.com</t>
  </si>
  <si>
    <t xml:space="preserve">987930663</t>
  </si>
  <si>
    <t xml:space="preserve">015100279A</t>
  </si>
  <si>
    <t xml:space="preserve">DELGADO MASIAS LUCERO</t>
  </si>
  <si>
    <t xml:space="preserve">ldelgadomasias@gmail.com</t>
  </si>
  <si>
    <t xml:space="preserve">912975138</t>
  </si>
  <si>
    <t xml:space="preserve">015300316H</t>
  </si>
  <si>
    <t xml:space="preserve">DIAZ CARLOTTO JORGE FERNANDO</t>
  </si>
  <si>
    <t xml:space="preserve">015300316h@uandina.edu.pe</t>
  </si>
  <si>
    <t xml:space="preserve">922501096</t>
  </si>
  <si>
    <t xml:space="preserve">013200720C</t>
  </si>
  <si>
    <t xml:space="preserve">DURAND OLIVERA DIANA YULISSA</t>
  </si>
  <si>
    <t xml:space="preserve">dydo_10@outlook.es</t>
  </si>
  <si>
    <t xml:space="preserve">990604667</t>
  </si>
  <si>
    <t xml:space="preserve">015100827I</t>
  </si>
  <si>
    <t xml:space="preserve">ESPITIA UNTIVEROS MAYRA SHANDA SHAKIRA</t>
  </si>
  <si>
    <t xml:space="preserve">shanda7210@gmail.com</t>
  </si>
  <si>
    <t xml:space="preserve">994831208</t>
  </si>
  <si>
    <t xml:space="preserve">011300754I</t>
  </si>
  <si>
    <t xml:space="preserve">FARFAN LOZANO CARMEN AMELIA URPI</t>
  </si>
  <si>
    <t xml:space="preserve">urpi14@outlook.com</t>
  </si>
  <si>
    <t xml:space="preserve">954178424</t>
  </si>
  <si>
    <t xml:space="preserve">012100992B</t>
  </si>
  <si>
    <t xml:space="preserve">FLORES GONZALEZ MAY DENISSE</t>
  </si>
  <si>
    <t xml:space="preserve">dgmaygonzalez@gmail.com</t>
  </si>
  <si>
    <t xml:space="preserve">946424825</t>
  </si>
  <si>
    <t xml:space="preserve">014100501G</t>
  </si>
  <si>
    <t xml:space="preserve">FLOREZ VELASQUEZ MILEYDA</t>
  </si>
  <si>
    <t xml:space="preserve">mileyda-28@hotmail.com</t>
  </si>
  <si>
    <t xml:space="preserve">959747397</t>
  </si>
  <si>
    <t xml:space="preserve">014101385K</t>
  </si>
  <si>
    <t xml:space="preserve">GALLEGOS SEGUNDO BREMEL</t>
  </si>
  <si>
    <t xml:space="preserve">bremel.gallegos@gmail.com</t>
  </si>
  <si>
    <t xml:space="preserve">993900017</t>
  </si>
  <si>
    <t xml:space="preserve">Postulante SERUMS 2026-II (CUSCO): nota 13.8, orden de mérito 124</t>
  </si>
  <si>
    <t xml:space="preserve">016100643D</t>
  </si>
  <si>
    <t xml:space="preserve">GAMARRA TRUJILLO LEONIDAS ANDRE</t>
  </si>
  <si>
    <t xml:space="preserve">016100643d@uandina.edu.pe</t>
  </si>
  <si>
    <t xml:space="preserve">984705116</t>
  </si>
  <si>
    <t xml:space="preserve">013100753G</t>
  </si>
  <si>
    <t xml:space="preserve">GARAY VALDIVIA MARICIELO JENNY</t>
  </si>
  <si>
    <t xml:space="preserve">mari-18@hotmail.com</t>
  </si>
  <si>
    <t xml:space="preserve">941031405</t>
  </si>
  <si>
    <t xml:space="preserve">015200414H</t>
  </si>
  <si>
    <t xml:space="preserve">GARCIA GUTIERREZ JANNA TRACY</t>
  </si>
  <si>
    <t xml:space="preserve">jannagarcia4@hotmail.com</t>
  </si>
  <si>
    <t xml:space="preserve">982135424</t>
  </si>
  <si>
    <t xml:space="preserve">016100654F</t>
  </si>
  <si>
    <t xml:space="preserve">GARCIA PEÑA FRANK LAURENCE</t>
  </si>
  <si>
    <t xml:space="preserve">franklau321@gmail.com</t>
  </si>
  <si>
    <t xml:space="preserve">913026981</t>
  </si>
  <si>
    <t xml:space="preserve">015101039D</t>
  </si>
  <si>
    <t xml:space="preserve">GARCIA QUINTANILLA FERNANDO AUGUSTO</t>
  </si>
  <si>
    <t xml:space="preserve">feraugg_@hotmail.com</t>
  </si>
  <si>
    <t xml:space="preserve">967669965</t>
  </si>
  <si>
    <t xml:space="preserve">013300162B</t>
  </si>
  <si>
    <t xml:space="preserve">GONGORA JARAMILLO VALERY ALEJANDRA</t>
  </si>
  <si>
    <t xml:space="preserve">valery2415@hotmail.com</t>
  </si>
  <si>
    <t xml:space="preserve">986856698</t>
  </si>
  <si>
    <t xml:space="preserve">016200547G</t>
  </si>
  <si>
    <t xml:space="preserve">GUEVARA SAENZ ABDEL ANGEL</t>
  </si>
  <si>
    <t xml:space="preserve">abdelguevara780@gmail.com</t>
  </si>
  <si>
    <t xml:space="preserve">973272760</t>
  </si>
  <si>
    <t xml:space="preserve">016100702K</t>
  </si>
  <si>
    <t xml:space="preserve">GUTIERREZ QUISPE LIZANDRO</t>
  </si>
  <si>
    <t xml:space="preserve">lizandroqui@gmail.com</t>
  </si>
  <si>
    <t xml:space="preserve">993706267</t>
  </si>
  <si>
    <t xml:space="preserve">016100815J</t>
  </si>
  <si>
    <t xml:space="preserve">HURTADO BACA JAVIER DERICK</t>
  </si>
  <si>
    <t xml:space="preserve">javidehurtado715@gmail.com</t>
  </si>
  <si>
    <t xml:space="preserve">974253121</t>
  </si>
  <si>
    <t xml:space="preserve">015100929F</t>
  </si>
  <si>
    <t xml:space="preserve">IQUIAPAZA JARA SOFIA ALLISON</t>
  </si>
  <si>
    <t xml:space="preserve">allis_12dp@hotmail.com</t>
  </si>
  <si>
    <t xml:space="preserve">997838773</t>
  </si>
  <si>
    <t xml:space="preserve">014100417F</t>
  </si>
  <si>
    <t xml:space="preserve">JORDAN SALDAÑA KHEOPPS</t>
  </si>
  <si>
    <t xml:space="preserve">maryant_salma@hotmail.com</t>
  </si>
  <si>
    <t xml:space="preserve">974922898</t>
  </si>
  <si>
    <t xml:space="preserve">013200727H</t>
  </si>
  <si>
    <t xml:space="preserve">KJUIRO CUSIHUAMAN ORLANDO</t>
  </si>
  <si>
    <t xml:space="preserve">orlandokc79@gmail.com</t>
  </si>
  <si>
    <t xml:space="preserve">928835157</t>
  </si>
  <si>
    <t xml:space="preserve">017100380B</t>
  </si>
  <si>
    <t xml:space="preserve">LA TORRE ALBIS JOHANN SEBASTIAN</t>
  </si>
  <si>
    <t xml:space="preserve">017100380B@UANDINA.EDU.PE</t>
  </si>
  <si>
    <t xml:space="preserve">984573552</t>
  </si>
  <si>
    <t xml:space="preserve">011200670H</t>
  </si>
  <si>
    <t xml:space="preserve">LABRA CORRALES TANIA</t>
  </si>
  <si>
    <t xml:space="preserve">tani1502@hotmail.com</t>
  </si>
  <si>
    <t xml:space="preserve">973297599</t>
  </si>
  <si>
    <t xml:space="preserve">014200944H</t>
  </si>
  <si>
    <t xml:space="preserve">LARA VELASQUE FIORELA</t>
  </si>
  <si>
    <t xml:space="preserve">fiorelv_2511_@hotmail.com</t>
  </si>
  <si>
    <t xml:space="preserve">987743567</t>
  </si>
  <si>
    <t xml:space="preserve">014100649D</t>
  </si>
  <si>
    <t xml:space="preserve">LEON PALMA NILA</t>
  </si>
  <si>
    <t xml:space="preserve">nilaleon95@gmail.com</t>
  </si>
  <si>
    <t xml:space="preserve">946865981</t>
  </si>
  <si>
    <t xml:space="preserve">Postulante SERUMS 2026-II (APURIMAC): nota 13.8, orden de mérito 20</t>
  </si>
  <si>
    <t xml:space="preserve">016100871G</t>
  </si>
  <si>
    <t xml:space="preserve">LEZAMA CALVO DAYANA JULIETH</t>
  </si>
  <si>
    <t xml:space="preserve">djuliethlezz@gmail.com</t>
  </si>
  <si>
    <t xml:space="preserve">973959096</t>
  </si>
  <si>
    <t xml:space="preserve">016200714K</t>
  </si>
  <si>
    <t xml:space="preserve">MALDONADO LOPEZ LUZ MARGARITA</t>
  </si>
  <si>
    <t xml:space="preserve">luzariad491@gmail.com</t>
  </si>
  <si>
    <t xml:space="preserve">984887122</t>
  </si>
  <si>
    <t xml:space="preserve">013300714E</t>
  </si>
  <si>
    <t xml:space="preserve">MAMANI VALDERRAMA MAYVEL</t>
  </si>
  <si>
    <t xml:space="preserve">maymamanivalderrama@gmail.com</t>
  </si>
  <si>
    <t xml:space="preserve">962307186</t>
  </si>
  <si>
    <t xml:space="preserve">016100937H</t>
  </si>
  <si>
    <t xml:space="preserve">MANGO CAHUANA FIORELLA MILAGROS</t>
  </si>
  <si>
    <t xml:space="preserve">016100937h@uandina.edu.pe</t>
  </si>
  <si>
    <t xml:space="preserve">987412304</t>
  </si>
  <si>
    <t xml:space="preserve">016100943H</t>
  </si>
  <si>
    <t xml:space="preserve">MAR LINARES MARIA ALEJANDRA</t>
  </si>
  <si>
    <t xml:space="preserve">marialemarlinares@gmail.com</t>
  </si>
  <si>
    <t xml:space="preserve">984551027</t>
  </si>
  <si>
    <t xml:space="preserve">016100959A</t>
  </si>
  <si>
    <t xml:space="preserve">MEDINA MERMA BRENDA MELISSA</t>
  </si>
  <si>
    <t xml:space="preserve">brendamedinamerma@gmail.com</t>
  </si>
  <si>
    <t xml:space="preserve">952719882</t>
  </si>
  <si>
    <t xml:space="preserve">014200947G</t>
  </si>
  <si>
    <t xml:space="preserve">MEJIA PAYVA ALVARO JOSE</t>
  </si>
  <si>
    <t xml:space="preserve">alvarojose_6@hotmail.com</t>
  </si>
  <si>
    <t xml:space="preserve">964168155</t>
  </si>
  <si>
    <t xml:space="preserve">013300310A</t>
  </si>
  <si>
    <t xml:space="preserve">MEJIA ROMERO THEO RODRIGO</t>
  </si>
  <si>
    <t xml:space="preserve">temegab61@hotmail.com</t>
  </si>
  <si>
    <t xml:space="preserve">991694038</t>
  </si>
  <si>
    <t xml:space="preserve">014200023J</t>
  </si>
  <si>
    <t xml:space="preserve">MINA ABANTO CARLOS HERNAN</t>
  </si>
  <si>
    <t xml:space="preserve">carlospica64@gmail.com</t>
  </si>
  <si>
    <t xml:space="preserve">991511689</t>
  </si>
  <si>
    <t xml:space="preserve">016101053F</t>
  </si>
  <si>
    <t xml:space="preserve">MOSCOSO QUISPE MARYORY REGINA</t>
  </si>
  <si>
    <t xml:space="preserve">mayory_35_@outlook.com</t>
  </si>
  <si>
    <t xml:space="preserve">984446652</t>
  </si>
  <si>
    <t xml:space="preserve">013300719G</t>
  </si>
  <si>
    <t xml:space="preserve">NINA MORENO GARY</t>
  </si>
  <si>
    <t xml:space="preserve">garynmoreno@gmail.com</t>
  </si>
  <si>
    <t xml:space="preserve">991306535</t>
  </si>
  <si>
    <t xml:space="preserve">Postulante SERUMS 2026-II (CUSCO): nota 13.4, orden de mérito 154</t>
  </si>
  <si>
    <t xml:space="preserve">014101123F</t>
  </si>
  <si>
    <t xml:space="preserve">OCHARAN CORTEZ MIJAEL ATREYU</t>
  </si>
  <si>
    <t xml:space="preserve">mijael_711@hotmail.com</t>
  </si>
  <si>
    <t xml:space="preserve">962420021</t>
  </si>
  <si>
    <t xml:space="preserve">015200711B</t>
  </si>
  <si>
    <t xml:space="preserve">OLARTE PINO DAVID JEHMIR</t>
  </si>
  <si>
    <t xml:space="preserve">davici-to@hotmail.com</t>
  </si>
  <si>
    <t xml:space="preserve">982733082</t>
  </si>
  <si>
    <t xml:space="preserve">Postulante SERUMS 2026-II (CUSCO): nota 13.8, orden de mérito 128</t>
  </si>
  <si>
    <t xml:space="preserve">016101095K</t>
  </si>
  <si>
    <t xml:space="preserve">OLIVARES HUAMAN RENZO MARCELO</t>
  </si>
  <si>
    <t xml:space="preserve">olivaresrenz@hotmail.com</t>
  </si>
  <si>
    <t xml:space="preserve">944997296</t>
  </si>
  <si>
    <t xml:space="preserve">016200834F</t>
  </si>
  <si>
    <t xml:space="preserve">ONTON CONDORHUAMAN JULIO AROOM</t>
  </si>
  <si>
    <t xml:space="preserve">julioaroom@outlook.com</t>
  </si>
  <si>
    <t xml:space="preserve">944022006</t>
  </si>
  <si>
    <t xml:space="preserve">014101201G</t>
  </si>
  <si>
    <t xml:space="preserve">ORE CEVALLOS FABIOLA VALERIA</t>
  </si>
  <si>
    <t xml:space="preserve">fabioredi1@gmail.com</t>
  </si>
  <si>
    <t xml:space="preserve">960902665</t>
  </si>
  <si>
    <t xml:space="preserve">015200729I</t>
  </si>
  <si>
    <t xml:space="preserve">ORTEGA RIVAS GABRIELA MILAGROS</t>
  </si>
  <si>
    <t xml:space="preserve">GABRIELITA-9813@HOTMAIL.COM</t>
  </si>
  <si>
    <t xml:space="preserve">973681324</t>
  </si>
  <si>
    <t xml:space="preserve">013300181G</t>
  </si>
  <si>
    <t xml:space="preserve">ORTIZ YUCRA GRESSY ODALIS</t>
  </si>
  <si>
    <t xml:space="preserve">ODALIS_GRE@HOTMAIL.COM</t>
  </si>
  <si>
    <t xml:space="preserve">992128666</t>
  </si>
  <si>
    <t xml:space="preserve">015100584I</t>
  </si>
  <si>
    <t xml:space="preserve">OSCCO ZAMBRANO RODRIGO FAUSTINO</t>
  </si>
  <si>
    <t xml:space="preserve">Rodrigooz426@gmail.com</t>
  </si>
  <si>
    <t xml:space="preserve">984004962</t>
  </si>
  <si>
    <t xml:space="preserve">014101393C</t>
  </si>
  <si>
    <t xml:space="preserve">OSORIO ARAGON LIS DIANA</t>
  </si>
  <si>
    <t xml:space="preserve">lisosorioaragon@gmail.com</t>
  </si>
  <si>
    <t xml:space="preserve">974218185</t>
  </si>
  <si>
    <t xml:space="preserve">013300722H</t>
  </si>
  <si>
    <t xml:space="preserve">PALLARDEL LOPEZ CAROL HESABEL</t>
  </si>
  <si>
    <t xml:space="preserve">carolhesabel1996@gmail.com</t>
  </si>
  <si>
    <t xml:space="preserve">944143015</t>
  </si>
  <si>
    <t xml:space="preserve">012100988E</t>
  </si>
  <si>
    <t xml:space="preserve">PALMA ARANIBAR SORAIDA</t>
  </si>
  <si>
    <t xml:space="preserve">sory_1_alina@hotmail.com</t>
  </si>
  <si>
    <t xml:space="preserve">982141611</t>
  </si>
  <si>
    <t xml:space="preserve">Postulante SERUMS 2026-II (CUSCO): nota 7.2, orden de mérito 291</t>
  </si>
  <si>
    <t xml:space="preserve">013200741K</t>
  </si>
  <si>
    <t xml:space="preserve">PAREDES PEDRAZA ALESSANDRA JENDELY</t>
  </si>
  <si>
    <t xml:space="preserve">alepa_jendely@hotmail.com</t>
  </si>
  <si>
    <t xml:space="preserve">940184088</t>
  </si>
  <si>
    <t xml:space="preserve">013200743C</t>
  </si>
  <si>
    <t xml:space="preserve">PAYE CRUZ JHERSON WILBERT</t>
  </si>
  <si>
    <t xml:space="preserve">013200743C@uandina.edu.pe</t>
  </si>
  <si>
    <t xml:space="preserve">945984600</t>
  </si>
  <si>
    <t xml:space="preserve">014101395F</t>
  </si>
  <si>
    <t xml:space="preserve">PEÑA TICONA WENDY PHRITSILA</t>
  </si>
  <si>
    <t xml:space="preserve">phritsila@gmail.com</t>
  </si>
  <si>
    <t xml:space="preserve">993254639</t>
  </si>
  <si>
    <t xml:space="preserve">015100832B</t>
  </si>
  <si>
    <t xml:space="preserve">POLO MEZA DAYANNA</t>
  </si>
  <si>
    <t xml:space="preserve">danapolo_1297@hotmail.com</t>
  </si>
  <si>
    <t xml:space="preserve">940533000</t>
  </si>
  <si>
    <t xml:space="preserve">014101397I</t>
  </si>
  <si>
    <t xml:space="preserve">PRADA PINTO BRENDA SOFIA</t>
  </si>
  <si>
    <t xml:space="preserve">prada.brenda@hotmail.com</t>
  </si>
  <si>
    <t xml:space="preserve">964669666</t>
  </si>
  <si>
    <t xml:space="preserve">016101269I</t>
  </si>
  <si>
    <t xml:space="preserve">QUILLAHUAMAN CACERES YULAYCI</t>
  </si>
  <si>
    <t xml:space="preserve">016101269I@uandina.edu.pe</t>
  </si>
  <si>
    <t xml:space="preserve">967743636</t>
  </si>
  <si>
    <t xml:space="preserve">013200746B</t>
  </si>
  <si>
    <t xml:space="preserve">QUILLAHUAMAN ZUÑIGA BRAYAHAM</t>
  </si>
  <si>
    <t xml:space="preserve">brayahamquillahuaman1@gmail.com</t>
  </si>
  <si>
    <t xml:space="preserve">984011444</t>
  </si>
  <si>
    <t xml:space="preserve">016101314D</t>
  </si>
  <si>
    <t xml:space="preserve">QUISPE OCAMPO EDUARDO</t>
  </si>
  <si>
    <t xml:space="preserve">qo.eduardo.7@gmail.com</t>
  </si>
  <si>
    <t xml:space="preserve">923028904</t>
  </si>
  <si>
    <t xml:space="preserve">014200959E</t>
  </si>
  <si>
    <t xml:space="preserve">RAMIREZ CANTERO KAREN ROCIO</t>
  </si>
  <si>
    <t xml:space="preserve">rocio-136@hotmail.com</t>
  </si>
  <si>
    <t xml:space="preserve">957789188</t>
  </si>
  <si>
    <t xml:space="preserve">013300725G</t>
  </si>
  <si>
    <t xml:space="preserve">RIPA CONTRERAS JAIRO AUGUSTO</t>
  </si>
  <si>
    <t xml:space="preserve">jairo_ripa@outlook.com</t>
  </si>
  <si>
    <t xml:space="preserve">932194450</t>
  </si>
  <si>
    <t xml:space="preserve">013100779F</t>
  </si>
  <si>
    <t xml:space="preserve">RIVAS RAMOS CAMILO ANDRE</t>
  </si>
  <si>
    <t xml:space="preserve">camilo130595@hotmail.com</t>
  </si>
  <si>
    <t xml:space="preserve">957779356</t>
  </si>
  <si>
    <t xml:space="preserve">013200751F</t>
  </si>
  <si>
    <t xml:space="preserve">SAHUARAURA CALLAHUI GABRIEL PATRICIA</t>
  </si>
  <si>
    <t xml:space="preserve">gapasaca21@gmail.com</t>
  </si>
  <si>
    <t xml:space="preserve">954720926</t>
  </si>
  <si>
    <t xml:space="preserve">012100999G</t>
  </si>
  <si>
    <t xml:space="preserve">SANCHEZ HUILLCA ARANXTA SCARLETT</t>
  </si>
  <si>
    <t xml:space="preserve">pooja_asp@hotmail.com</t>
  </si>
  <si>
    <t xml:space="preserve">963301251</t>
  </si>
  <si>
    <t xml:space="preserve">015300888A</t>
  </si>
  <si>
    <t xml:space="preserve">SANTOS CHACON SHERALY IOSHKA</t>
  </si>
  <si>
    <t xml:space="preserve">sheralysantos.23@gmail.com</t>
  </si>
  <si>
    <t xml:space="preserve">910507226</t>
  </si>
  <si>
    <t xml:space="preserve">011300749E</t>
  </si>
  <si>
    <t xml:space="preserve">SARMIENTO MOREANO HEYDI LUCERO</t>
  </si>
  <si>
    <t xml:space="preserve">heydisarmientomoreano@gmail.com</t>
  </si>
  <si>
    <t xml:space="preserve">923102095</t>
  </si>
  <si>
    <t xml:space="preserve">016201086C</t>
  </si>
  <si>
    <t xml:space="preserve">SEGOVIA HERMOZA YESENIA</t>
  </si>
  <si>
    <t xml:space="preserve">yesisegovia.23@gmail.com</t>
  </si>
  <si>
    <t xml:space="preserve">967703947</t>
  </si>
  <si>
    <t xml:space="preserve">EMP-036</t>
  </si>
  <si>
    <t xml:space="preserve">015200981J</t>
  </si>
  <si>
    <t xml:space="preserve">SILVA PANIAGUA GUSTAVO EDUARDO</t>
  </si>
  <si>
    <t xml:space="preserve">gussp05@hotmail.com</t>
  </si>
  <si>
    <t xml:space="preserve">972600185</t>
  </si>
  <si>
    <t xml:space="preserve">Postulante SERUMS 2026-II (CUSCO): nota 16, orden de mérito 24</t>
  </si>
  <si>
    <t xml:space="preserve">014200356I</t>
  </si>
  <si>
    <t xml:space="preserve">SORIANO PACHECO MIGUEL WALTER</t>
  </si>
  <si>
    <t xml:space="preserve">miguelwaltersorianopacheco@hotmail.com</t>
  </si>
  <si>
    <t xml:space="preserve">986085378</t>
  </si>
  <si>
    <t xml:space="preserve">016101527H</t>
  </si>
  <si>
    <t xml:space="preserve">SOTO QUISPE CLAUDIA ALEJANDRA</t>
  </si>
  <si>
    <t xml:space="preserve">016101527h@uandina.edu.pe</t>
  </si>
  <si>
    <t xml:space="preserve">950352838</t>
  </si>
  <si>
    <t xml:space="preserve">016201105H</t>
  </si>
  <si>
    <t xml:space="preserve">SOTTEC MORA PAMELA GRISSELIZ</t>
  </si>
  <si>
    <t xml:space="preserve">pamgri1199@gmail.com</t>
  </si>
  <si>
    <t xml:space="preserve">983044301</t>
  </si>
  <si>
    <t xml:space="preserve">011200681J</t>
  </si>
  <si>
    <t xml:space="preserve">TATTON ORELLANA KEVIN JEANCARLO</t>
  </si>
  <si>
    <t xml:space="preserve">KJ_TATTON@HOTMAIL.COM</t>
  </si>
  <si>
    <t xml:space="preserve">015201017B</t>
  </si>
  <si>
    <t xml:space="preserve">TEVES TERRAZAS ANNIE LUCERO</t>
  </si>
  <si>
    <t xml:space="preserve">anitt_2009@hotmail.com</t>
  </si>
  <si>
    <t xml:space="preserve">983600737</t>
  </si>
  <si>
    <t xml:space="preserve">015201025E</t>
  </si>
  <si>
    <t xml:space="preserve">TORRE VILA ANDREA VALERIA</t>
  </si>
  <si>
    <t xml:space="preserve">valeriaandreatori@gmail.com</t>
  </si>
  <si>
    <t xml:space="preserve">939916102</t>
  </si>
  <si>
    <t xml:space="preserve">013100781K</t>
  </si>
  <si>
    <t xml:space="preserve">TREJO CABALLERO ADRIANA ALMENDRA TRINIDAD</t>
  </si>
  <si>
    <t xml:space="preserve">adriana2almendra@hotmail.com</t>
  </si>
  <si>
    <t xml:space="preserve">993810699</t>
  </si>
  <si>
    <t xml:space="preserve">Postulante SERUMS 2026-II (AREQUIPA): nota 12.6, orden de mérito 236</t>
  </si>
  <si>
    <t xml:space="preserve">015300954D</t>
  </si>
  <si>
    <t xml:space="preserve">TUNQUE PIZARRO VICTORIA SOFIA</t>
  </si>
  <si>
    <t xml:space="preserve">victoriatunque@gmail.com</t>
  </si>
  <si>
    <t xml:space="preserve">994270486</t>
  </si>
  <si>
    <t xml:space="preserve">013300733J</t>
  </si>
  <si>
    <t xml:space="preserve">UGARTE GAMBOA RODRIGO MIGUEL</t>
  </si>
  <si>
    <t xml:space="preserve">ugarteg315@gmail.com</t>
  </si>
  <si>
    <t xml:space="preserve">956792161</t>
  </si>
  <si>
    <t xml:space="preserve">015201071G</t>
  </si>
  <si>
    <t xml:space="preserve">VALENZUELA DIAZ MARCELO EDDY</t>
  </si>
  <si>
    <t xml:space="preserve">015201071G@uandina.edu.pe</t>
  </si>
  <si>
    <t xml:space="preserve">954181747</t>
  </si>
  <si>
    <t xml:space="preserve">015100730E</t>
  </si>
  <si>
    <t xml:space="preserve">VARGAS CAMPANA CLAUDIA ALHELI</t>
  </si>
  <si>
    <t xml:space="preserve">claudiaalheli@hotmail.com</t>
  </si>
  <si>
    <t xml:space="preserve">940675851</t>
  </si>
  <si>
    <t xml:space="preserve">015300983D</t>
  </si>
  <si>
    <t xml:space="preserve">VARGAS FLORES JULIO CESAR</t>
  </si>
  <si>
    <t xml:space="preserve">yulius_sf@hotmail.com</t>
  </si>
  <si>
    <t xml:space="preserve">997885215</t>
  </si>
  <si>
    <t xml:space="preserve">013300734F</t>
  </si>
  <si>
    <t xml:space="preserve">VELASQUEZ ANGULO CARLOS ALBERTO</t>
  </si>
  <si>
    <t xml:space="preserve">carlsssss@hotmail.com</t>
  </si>
  <si>
    <t xml:space="preserve">942724081</t>
  </si>
  <si>
    <t xml:space="preserve">016101693E</t>
  </si>
  <si>
    <t xml:space="preserve">VILCAHUAMAN CACERES LUCIA</t>
  </si>
  <si>
    <t xml:space="preserve">016101693E@uandina.edu.pe</t>
  </si>
  <si>
    <t xml:space="preserve">984420693</t>
  </si>
  <si>
    <t xml:space="preserve">016201242E</t>
  </si>
  <si>
    <t xml:space="preserve">VILLACRESIS CONSA XIOSMY</t>
  </si>
  <si>
    <t xml:space="preserve">xiosmy28@gmail.com</t>
  </si>
  <si>
    <t xml:space="preserve">951132456</t>
  </si>
  <si>
    <t xml:space="preserve">014100351E</t>
  </si>
  <si>
    <t xml:space="preserve">VILLENA TERRAZAS ERIC FABRIZZIO</t>
  </si>
  <si>
    <t xml:space="preserve">ERICVILLENA@OUTLOOK.ES</t>
  </si>
  <si>
    <t xml:space="preserve">980687959</t>
  </si>
  <si>
    <t xml:space="preserve">013300736I</t>
  </si>
  <si>
    <t xml:space="preserve">VIVANCO GOMEZ SHESKA ESTEFANNY</t>
  </si>
  <si>
    <t xml:space="preserve">ESTEFANNYVG@HOTMAIL.COM</t>
  </si>
  <si>
    <t xml:space="preserve">985219643</t>
  </si>
  <si>
    <t xml:space="preserve">016201299G</t>
  </si>
  <si>
    <t xml:space="preserve">YARAHUAMAN ANAYA ALDAIR</t>
  </si>
  <si>
    <t xml:space="preserve">alda_juno@hotmail.com</t>
  </si>
  <si>
    <t xml:space="preserve">984501074</t>
  </si>
  <si>
    <t xml:space="preserve">014101409G</t>
  </si>
  <si>
    <t xml:space="preserve">ZUNIGA CABALLERO MANUEL</t>
  </si>
  <si>
    <t xml:space="preserve">judgempire245.542@gmail.com</t>
  </si>
  <si>
    <t xml:space="preserve">966440473</t>
  </si>
  <si>
    <t xml:space="preserve">EMP-042</t>
  </si>
  <si>
    <t xml:space="preserve">012101004I</t>
  </si>
  <si>
    <t xml:space="preserve">ZUÑIGA HERRERA YOSHIMI ARACELI</t>
  </si>
  <si>
    <t xml:space="preserve">yoara07@gmail.com</t>
  </si>
  <si>
    <t xml:space="preserve">944171679</t>
  </si>
  <si>
    <t xml:space="preserve">015300002C</t>
  </si>
  <si>
    <t xml:space="preserve">ABARCA CCARHUARUPAY JHULL RUBEN</t>
  </si>
  <si>
    <t xml:space="preserve">jhullrak9@gmail.com</t>
  </si>
  <si>
    <t xml:space="preserve">973293008</t>
  </si>
  <si>
    <t xml:space="preserve">015200027D</t>
  </si>
  <si>
    <t xml:space="preserve">ALFEREZ VELA LUCAS SANTIAGO</t>
  </si>
  <si>
    <t xml:space="preserve">santiago_26_06@hotmail.com</t>
  </si>
  <si>
    <t xml:space="preserve">983827244</t>
  </si>
  <si>
    <t xml:space="preserve">013200708C</t>
  </si>
  <si>
    <t xml:space="preserve">ALVAREZ FLORES JORGE SABINO</t>
  </si>
  <si>
    <t xml:space="preserve">013200708c@uandina.edu.pe</t>
  </si>
  <si>
    <t xml:space="preserve">984038890</t>
  </si>
  <si>
    <t xml:space="preserve">Estoy preparándome para el SERUMS</t>
  </si>
  <si>
    <t xml:space="preserve">Postulante SERUMS 2026-II (CUSCO): nota 14.6, orden de mérito 73</t>
  </si>
  <si>
    <t xml:space="preserve">Encuesta egresados 2024-2025; Resultados SERUMS 2026-II</t>
  </si>
  <si>
    <t xml:space="preserve">015300054C</t>
  </si>
  <si>
    <t xml:space="preserve">ANAYA ROMAN INDHIRA MARGARETH</t>
  </si>
  <si>
    <t xml:space="preserve">maggidi0618@gmail.com</t>
  </si>
  <si>
    <t xml:space="preserve">953257648</t>
  </si>
  <si>
    <t xml:space="preserve">016200071B</t>
  </si>
  <si>
    <t xml:space="preserve">ARENAS CRUCES CARLOS DANIEL</t>
  </si>
  <si>
    <t xml:space="preserve">016200071b@uandina.edu.pe</t>
  </si>
  <si>
    <t xml:space="preserve">969614828</t>
  </si>
  <si>
    <t xml:space="preserve">Azangaro</t>
  </si>
  <si>
    <t xml:space="preserve">Jefe de establecimiento</t>
  </si>
  <si>
    <t xml:space="preserve">EMP-041</t>
  </si>
  <si>
    <t xml:space="preserve">En curso o realizado – 01/05/2025</t>
  </si>
  <si>
    <t xml:space="preserve">Encuesta egresados 2024-2025</t>
  </si>
  <si>
    <t xml:space="preserve">014201014D</t>
  </si>
  <si>
    <t xml:space="preserve">ATAUSINCHI ALVAREZ RODRIGO NILTON</t>
  </si>
  <si>
    <t xml:space="preserve">rodri0711go@gmail.com</t>
  </si>
  <si>
    <t xml:space="preserve">964149738</t>
  </si>
  <si>
    <t xml:space="preserve">015300059E</t>
  </si>
  <si>
    <t xml:space="preserve">AÑO CUSIHUALLPA ZULEIKA MILANI</t>
  </si>
  <si>
    <t xml:space="preserve">015300059e@uandina.edu.pe</t>
  </si>
  <si>
    <t xml:space="preserve">957704562</t>
  </si>
  <si>
    <t xml:space="preserve">017200445I</t>
  </si>
  <si>
    <t xml:space="preserve">AÑO FLORES KAREN LISBETH</t>
  </si>
  <si>
    <t xml:space="preserve">karenaf11@gmail.com</t>
  </si>
  <si>
    <t xml:space="preserve">981811631</t>
  </si>
  <si>
    <t xml:space="preserve">016100165E</t>
  </si>
  <si>
    <t xml:space="preserve">BACA GUEVARA KELLY ALEJANDRA</t>
  </si>
  <si>
    <t xml:space="preserve">kellyalejandrab18@gmail.com</t>
  </si>
  <si>
    <t xml:space="preserve">992342833</t>
  </si>
  <si>
    <t xml:space="preserve">017100091K</t>
  </si>
  <si>
    <t xml:space="preserve">BATALLANOS CHIPA SHARELY SOLANSH</t>
  </si>
  <si>
    <t xml:space="preserve">sharebc.sbc@gmail.com</t>
  </si>
  <si>
    <t xml:space="preserve">999115300</t>
  </si>
  <si>
    <t xml:space="preserve">016100202H</t>
  </si>
  <si>
    <t xml:space="preserve">BELTRAN SALAZAR LUISA DANIELA</t>
  </si>
  <si>
    <t xml:space="preserve">danielabeltrans99@gmail.com</t>
  </si>
  <si>
    <t xml:space="preserve">984252966</t>
  </si>
  <si>
    <t xml:space="preserve">017200552J</t>
  </si>
  <si>
    <t xml:space="preserve">CACERES CARPIO MARCELO DAVID</t>
  </si>
  <si>
    <t xml:space="preserve">mk45deivid@hotmail.com</t>
  </si>
  <si>
    <t xml:space="preserve">930293211</t>
  </si>
  <si>
    <t xml:space="preserve">015200143D</t>
  </si>
  <si>
    <t xml:space="preserve">CACERES JORDAN DIEGO JAVIER</t>
  </si>
  <si>
    <t xml:space="preserve">caceresjordan10@gmail.com</t>
  </si>
  <si>
    <t xml:space="preserve">982387833</t>
  </si>
  <si>
    <t xml:space="preserve">015200151G</t>
  </si>
  <si>
    <t xml:space="preserve">CALA CACERES DIANA MAYTHE</t>
  </si>
  <si>
    <t xml:space="preserve">diana0912_97@hotmail.com</t>
  </si>
  <si>
    <t xml:space="preserve">973682252</t>
  </si>
  <si>
    <t xml:space="preserve">014200924G</t>
  </si>
  <si>
    <t xml:space="preserve">CALLER SUCLLI MIRIAN RUFINA</t>
  </si>
  <si>
    <t xml:space="preserve">callermirian@gmail.com</t>
  </si>
  <si>
    <t xml:space="preserve">974627944</t>
  </si>
  <si>
    <t xml:space="preserve">Postulante SERUMS 2026-II (CUSCO): nota 11.2, orden de mérito 237</t>
  </si>
  <si>
    <t xml:space="preserve">013300693H</t>
  </si>
  <si>
    <t xml:space="preserve">CAMACHO HURTADO KAREN ADRIANA</t>
  </si>
  <si>
    <t xml:space="preserve">KADRI_CH13@HOTMAIL.COM</t>
  </si>
  <si>
    <t xml:space="preserve">993488220</t>
  </si>
  <si>
    <t xml:space="preserve">016100299A</t>
  </si>
  <si>
    <t xml:space="preserve">CARBAJAL TACO PAULY GIULIANA</t>
  </si>
  <si>
    <t xml:space="preserve">p-auly_2000@outlook.com</t>
  </si>
  <si>
    <t xml:space="preserve">980477616</t>
  </si>
  <si>
    <t xml:space="preserve">012200770A</t>
  </si>
  <si>
    <t xml:space="preserve">CARRION QUISPE MAYRRUTH MAGDALENA</t>
  </si>
  <si>
    <t xml:space="preserve">mayrruthcarrionquispeleu@yahoo.com</t>
  </si>
  <si>
    <t xml:space="preserve">962293757</t>
  </si>
  <si>
    <t xml:space="preserve">Postulante SERUMS 2026-II (CUSCO): nota 13, orden de mérito 174</t>
  </si>
  <si>
    <t xml:space="preserve">015300257A</t>
  </si>
  <si>
    <t xml:space="preserve">CASTILLO ARAOZ CLAUDIA STEFHANIE</t>
  </si>
  <si>
    <t xml:space="preserve">015300257A@UANDINA.EDU.PE</t>
  </si>
  <si>
    <t xml:space="preserve">993772066</t>
  </si>
  <si>
    <t xml:space="preserve">013100763B</t>
  </si>
  <si>
    <t xml:space="preserve">CASTILLO RIVAS JHOHAN JOHANSSON</t>
  </si>
  <si>
    <t xml:space="preserve">jhohancastriv@gmail.com</t>
  </si>
  <si>
    <t xml:space="preserve">984006107</t>
  </si>
  <si>
    <t xml:space="preserve">014200928B</t>
  </si>
  <si>
    <t xml:space="preserve">CHOQUE SANCHEZ MILAGROS DIANA</t>
  </si>
  <si>
    <t xml:space="preserve">milagros45.97@gmail.com</t>
  </si>
  <si>
    <t xml:space="preserve">958107501</t>
  </si>
  <si>
    <t xml:space="preserve">016100443E</t>
  </si>
  <si>
    <t xml:space="preserve">COAGUILA MONTERROSO LUCIA LUCERO</t>
  </si>
  <si>
    <t xml:space="preserve">leahmadimccloud@gmail.com</t>
  </si>
  <si>
    <t xml:space="preserve">985465980</t>
  </si>
  <si>
    <t xml:space="preserve">Postulante SERUMS 2026-II (CUSCO): nota 14.4, orden de mérito 84</t>
  </si>
  <si>
    <t xml:space="preserve">016100461C</t>
  </si>
  <si>
    <t xml:space="preserve">CONDORI PACHECO SARA DIANA</t>
  </si>
  <si>
    <t xml:space="preserve">saradiana17@hotmail.com</t>
  </si>
  <si>
    <t xml:space="preserve">954890342</t>
  </si>
  <si>
    <t xml:space="preserve">013300172H</t>
  </si>
  <si>
    <t xml:space="preserve">CORDOVA CUSI DEYANIRA GISETH</t>
  </si>
  <si>
    <t xml:space="preserve">deyaniracordovacusi@gmail.com</t>
  </si>
  <si>
    <t xml:space="preserve">999191803</t>
  </si>
  <si>
    <t xml:space="preserve">Médico SERUMS</t>
  </si>
  <si>
    <t xml:space="preserve">EMP-034</t>
  </si>
  <si>
    <t xml:space="preserve">En curso o realizado – 10 DE OCTUBRE 2025 PS CACHIMAYO CUSCO</t>
  </si>
  <si>
    <t xml:space="preserve">016201302H</t>
  </si>
  <si>
    <t xml:space="preserve">CORNEJO CHAVEZ LUCERO DEL CARMEN</t>
  </si>
  <si>
    <t xml:space="preserve">lucerocch9@gmail.com</t>
  </si>
  <si>
    <t xml:space="preserve">993564132</t>
  </si>
  <si>
    <t xml:space="preserve">012100802I</t>
  </si>
  <si>
    <t xml:space="preserve">CRUZ TRUJILLO MILAGROS JOHANA</t>
  </si>
  <si>
    <t xml:space="preserve">yohana_milagritos@hotmail.com</t>
  </si>
  <si>
    <t xml:space="preserve">966438224</t>
  </si>
  <si>
    <t xml:space="preserve">015100954K</t>
  </si>
  <si>
    <t xml:space="preserve">CUBA MONTERROSO CLAUDIA ELOISA</t>
  </si>
  <si>
    <t xml:space="preserve">eloisacuba@hotmail.com</t>
  </si>
  <si>
    <t xml:space="preserve">953277733</t>
  </si>
  <si>
    <t xml:space="preserve">017100225G</t>
  </si>
  <si>
    <t xml:space="preserve">CURRO BARBOZA ARACELY CARMENPAULA</t>
  </si>
  <si>
    <t xml:space="preserve">acelycb@gmail.com</t>
  </si>
  <si>
    <t xml:space="preserve">990852634</t>
  </si>
  <si>
    <t xml:space="preserve">EMP-040</t>
  </si>
  <si>
    <t xml:space="preserve">En curso – Vizcochoni</t>
  </si>
  <si>
    <t xml:space="preserve">015300319G</t>
  </si>
  <si>
    <t xml:space="preserve">DIAZ FLORES HELEN ALEJANDRA</t>
  </si>
  <si>
    <t xml:space="preserve">alejandrita-df@hotmail.com</t>
  </si>
  <si>
    <t xml:space="preserve">946730250</t>
  </si>
  <si>
    <t xml:space="preserve">015300333J</t>
  </si>
  <si>
    <t xml:space="preserve">ESCOBEDO CABRERA JAQUELIN MABEL</t>
  </si>
  <si>
    <t xml:space="preserve">maborges408@gmail.com</t>
  </si>
  <si>
    <t xml:space="preserve">974370040</t>
  </si>
  <si>
    <t xml:space="preserve">012200773K</t>
  </si>
  <si>
    <t xml:space="preserve">ESPINOZA SALAS MIJAIL FELIX</t>
  </si>
  <si>
    <t xml:space="preserve">mijaelitoo@gmail.com</t>
  </si>
  <si>
    <t xml:space="preserve">994707662</t>
  </si>
  <si>
    <t xml:space="preserve">Médico jefe de vinicunca</t>
  </si>
  <si>
    <t xml:space="preserve">En curso o realizado – Juliaca en mayo</t>
  </si>
  <si>
    <t xml:space="preserve">015200375B</t>
  </si>
  <si>
    <t xml:space="preserve">FARFAN SAMANEZ FIORELLA</t>
  </si>
  <si>
    <t xml:space="preserve">015200375b@uandina.edu.pe</t>
  </si>
  <si>
    <t xml:space="preserve">984881175</t>
  </si>
  <si>
    <t xml:space="preserve">Postulante SERUMS 2026-II (CUSCO): nota 13.6, orden de mérito 137</t>
  </si>
  <si>
    <t xml:space="preserve">016200486H</t>
  </si>
  <si>
    <t xml:space="preserve">FIGUEROA QUISPE LIZBETH TANIA</t>
  </si>
  <si>
    <t xml:space="preserve">tanifigue2@gmail.com</t>
  </si>
  <si>
    <t xml:space="preserve">926491114</t>
  </si>
  <si>
    <t xml:space="preserve">016200503J</t>
  </si>
  <si>
    <t xml:space="preserve">FRANCO PHUYO LEYLA YULISA</t>
  </si>
  <si>
    <t xml:space="preserve">lyfapuc@gmail.com</t>
  </si>
  <si>
    <t xml:space="preserve">987789659</t>
  </si>
  <si>
    <t xml:space="preserve">016200603D</t>
  </si>
  <si>
    <t xml:space="preserve">HUAMAN ZUÑIGA HEIDY MARIELA</t>
  </si>
  <si>
    <t xml:space="preserve">h3idy1999@gmail.com</t>
  </si>
  <si>
    <t xml:space="preserve">945362976</t>
  </si>
  <si>
    <t xml:space="preserve">014101006J</t>
  </si>
  <si>
    <t xml:space="preserve">HUARANCCA MARIÑO JUDITH</t>
  </si>
  <si>
    <t xml:space="preserve">judith_27_77@hotmail.com</t>
  </si>
  <si>
    <t xml:space="preserve">953716270</t>
  </si>
  <si>
    <t xml:space="preserve">EMP-019</t>
  </si>
  <si>
    <t xml:space="preserve">016200634G</t>
  </si>
  <si>
    <t xml:space="preserve">HUISA FLORES DORIS ALEJANDRA</t>
  </si>
  <si>
    <t xml:space="preserve">dorishuisaflores@gmail.com</t>
  </si>
  <si>
    <t xml:space="preserve">973221030</t>
  </si>
  <si>
    <t xml:space="preserve">014101388J</t>
  </si>
  <si>
    <t xml:space="preserve">LOAIZA FARFAN ROYLYTH YAMYLETH</t>
  </si>
  <si>
    <t xml:space="preserve">roylyth_roy@hotmail.com</t>
  </si>
  <si>
    <t xml:space="preserve">963224403</t>
  </si>
  <si>
    <t xml:space="preserve">017101291C</t>
  </si>
  <si>
    <t xml:space="preserve">LUNA USCAMAYTA ZAYDA MILAGROS</t>
  </si>
  <si>
    <t xml:space="preserve">zaydadulce_15_@hotmail.com</t>
  </si>
  <si>
    <t xml:space="preserve">993519968</t>
  </si>
  <si>
    <t xml:space="preserve">015100928J</t>
  </si>
  <si>
    <t xml:space="preserve">MAMANI SALAZAR TAMARA ADRIANA</t>
  </si>
  <si>
    <t xml:space="preserve">tamarita-07@hotmail.com</t>
  </si>
  <si>
    <t xml:space="preserve">984365180</t>
  </si>
  <si>
    <t xml:space="preserve">Quillabamba. La Convencion</t>
  </si>
  <si>
    <t xml:space="preserve">medico</t>
  </si>
  <si>
    <t xml:space="preserve">EMP-047</t>
  </si>
  <si>
    <t xml:space="preserve">En curso o realizado – Mayo 2025. Sanidad pnp la convecion quillabamba</t>
  </si>
  <si>
    <t xml:space="preserve">017100437D</t>
  </si>
  <si>
    <t xml:space="preserve">MEJIA ANCALLE IVAN</t>
  </si>
  <si>
    <t xml:space="preserve">hormiga6666@gmail.com</t>
  </si>
  <si>
    <t xml:space="preserve">992544433</t>
  </si>
  <si>
    <t xml:space="preserve">013300715A</t>
  </si>
  <si>
    <t xml:space="preserve">MELENDEZ ZAPANA KAROL MABELI</t>
  </si>
  <si>
    <t xml:space="preserve">karol_mabeli@hotmail.com</t>
  </si>
  <si>
    <t xml:space="preserve">984600818</t>
  </si>
  <si>
    <t xml:space="preserve">016100972H</t>
  </si>
  <si>
    <t xml:space="preserve">MENDIETA ACURIO GABRIELA FATIMA</t>
  </si>
  <si>
    <t xml:space="preserve">gabmenacu@gmail.com</t>
  </si>
  <si>
    <t xml:space="preserve">963218065</t>
  </si>
  <si>
    <t xml:space="preserve">014101133A</t>
  </si>
  <si>
    <t xml:space="preserve">MENDIVIL ESCALANTE BRANDON</t>
  </si>
  <si>
    <t xml:space="preserve">mentecst@gmail.com</t>
  </si>
  <si>
    <t xml:space="preserve">943722580</t>
  </si>
  <si>
    <t xml:space="preserve">016100988A</t>
  </si>
  <si>
    <t xml:space="preserve">MENDOZA VARGAS YACQUELINE NELVITH</t>
  </si>
  <si>
    <t xml:space="preserve">yaqui12800@gmail.com</t>
  </si>
  <si>
    <t xml:space="preserve">937601826</t>
  </si>
  <si>
    <t xml:space="preserve">012200774G</t>
  </si>
  <si>
    <t xml:space="preserve">MOLINA LUZA ARIANA CHRISTEL</t>
  </si>
  <si>
    <t xml:space="preserve">arianachristelm@gmail.com</t>
  </si>
  <si>
    <t xml:space="preserve">922832449</t>
  </si>
  <si>
    <t xml:space="preserve">017201151I</t>
  </si>
  <si>
    <t xml:space="preserve">MORALES LOPEZ MARYAM KRISTELL</t>
  </si>
  <si>
    <t xml:space="preserve">maryamkristell@gmail.com</t>
  </si>
  <si>
    <t xml:space="preserve">989705847</t>
  </si>
  <si>
    <t xml:space="preserve">015300661G</t>
  </si>
  <si>
    <t xml:space="preserve">NAOLA CCORIMANYA ALINA</t>
  </si>
  <si>
    <t xml:space="preserve">alinanaolaccorimanya@yahoo.com</t>
  </si>
  <si>
    <t xml:space="preserve">978844617</t>
  </si>
  <si>
    <t xml:space="preserve">011300774J</t>
  </si>
  <si>
    <t xml:space="preserve">NECOCHEA AYBAR NOHELI ELIANA</t>
  </si>
  <si>
    <t xml:space="preserve">nohecita_0808@hotmail.com</t>
  </si>
  <si>
    <t xml:space="preserve">987400474</t>
  </si>
  <si>
    <t xml:space="preserve">015200699B</t>
  </si>
  <si>
    <t xml:space="preserve">NUÑEZ AGUIRRE LUCIA</t>
  </si>
  <si>
    <t xml:space="preserve">lnagui@hotmail.com</t>
  </si>
  <si>
    <t xml:space="preserve">974521059</t>
  </si>
  <si>
    <t xml:space="preserve">017101393K</t>
  </si>
  <si>
    <t xml:space="preserve">NUÑEZ DEL PRADO VIZCARRA MARIA JOSE</t>
  </si>
  <si>
    <t xml:space="preserve">mariajosenunezdelprado@gmail.com</t>
  </si>
  <si>
    <t xml:space="preserve">931892516</t>
  </si>
  <si>
    <t xml:space="preserve">016200842I</t>
  </si>
  <si>
    <t xml:space="preserve">OROSCO OLARTE RODRIGO NACHO</t>
  </si>
  <si>
    <t xml:space="preserve">yoroscoolarte@gmail.com</t>
  </si>
  <si>
    <t xml:space="preserve">984610410</t>
  </si>
  <si>
    <t xml:space="preserve">015100847J</t>
  </si>
  <si>
    <t xml:space="preserve">OSORIO CACERES YOSMARA EMILY</t>
  </si>
  <si>
    <t xml:space="preserve">yosmarita_29@hotmail.com</t>
  </si>
  <si>
    <t xml:space="preserve">943148415</t>
  </si>
  <si>
    <t xml:space="preserve">016101135B</t>
  </si>
  <si>
    <t xml:space="preserve">PACHECO USTO KAROLEE MARICIELO</t>
  </si>
  <si>
    <t xml:space="preserve">karitogoddess.mp@gmaiil.com</t>
  </si>
  <si>
    <t xml:space="preserve">979739347</t>
  </si>
  <si>
    <t xml:space="preserve">015200741I</t>
  </si>
  <si>
    <t xml:space="preserve">PAGUADA ALFARO CAROL GABRIELA</t>
  </si>
  <si>
    <t xml:space="preserve">015200741i@uandina.edu.pe</t>
  </si>
  <si>
    <t xml:space="preserve">982694455</t>
  </si>
  <si>
    <t xml:space="preserve">Abancay</t>
  </si>
  <si>
    <t xml:space="preserve">Médico SERUMS, JEFE DE ESTABLECIMIENTO</t>
  </si>
  <si>
    <t xml:space="preserve">EMP-038</t>
  </si>
  <si>
    <t xml:space="preserve">En curso o realizado – Mayo 2025 ,P.S PICHIRHUA</t>
  </si>
  <si>
    <t xml:space="preserve">014200194I</t>
  </si>
  <si>
    <t xml:space="preserve">PALOMINO MEDINA ANAIS SUSAN</t>
  </si>
  <si>
    <t xml:space="preserve">susanpalomino_medina@yahoo.com</t>
  </si>
  <si>
    <t xml:space="preserve">984468449</t>
  </si>
  <si>
    <t xml:space="preserve">016101187B</t>
  </si>
  <si>
    <t xml:space="preserve">PELAEZ OQUENDO RODRYGO GERMAN</t>
  </si>
  <si>
    <t xml:space="preserve">rogerman3098@gmail.com</t>
  </si>
  <si>
    <t xml:space="preserve">975182921</t>
  </si>
  <si>
    <t xml:space="preserve">Puno</t>
  </si>
  <si>
    <t xml:space="preserve">EMP-031</t>
  </si>
  <si>
    <t xml:space="preserve">Postulante SERUMS 2026-II (CUSCO): nota 14.2, orden de mérito 100</t>
  </si>
  <si>
    <t xml:space="preserve">015100867K</t>
  </si>
  <si>
    <t xml:space="preserve">PUELLES FLORES LIZ ALEXANDRA</t>
  </si>
  <si>
    <t xml:space="preserve">lizalexandrapuelles@gmail.com</t>
  </si>
  <si>
    <t xml:space="preserve">983308365</t>
  </si>
  <si>
    <t xml:space="preserve">013200749A</t>
  </si>
  <si>
    <t xml:space="preserve">ROMERO ROMERO RODY RENAN</t>
  </si>
  <si>
    <t xml:space="preserve">renan75romero@gmail.com</t>
  </si>
  <si>
    <t xml:space="preserve">928883768</t>
  </si>
  <si>
    <t xml:space="preserve">015200951C</t>
  </si>
  <si>
    <t xml:space="preserve">SANCHEZ BENITES MARILUZ</t>
  </si>
  <si>
    <t xml:space="preserve">sarah_5023@hotmail.com</t>
  </si>
  <si>
    <t xml:space="preserve">974255590</t>
  </si>
  <si>
    <t xml:space="preserve">015200955I</t>
  </si>
  <si>
    <t xml:space="preserve">SANCHEZ RIVERO JEFHREY</t>
  </si>
  <si>
    <t xml:space="preserve">jefh_23@hotmail.com</t>
  </si>
  <si>
    <t xml:space="preserve">983996779</t>
  </si>
  <si>
    <t xml:space="preserve">016101493F</t>
  </si>
  <si>
    <t xml:space="preserve">SAONA ZAPATA GLADYS STEFANY</t>
  </si>
  <si>
    <t xml:space="preserve">016101493f@uandina.edu.pe</t>
  </si>
  <si>
    <t xml:space="preserve">982058414</t>
  </si>
  <si>
    <t xml:space="preserve">Estoy en pausa temporal o dedicándome a otro ámbito</t>
  </si>
  <si>
    <t xml:space="preserve">Próximo a iniciar (oct. 2025)</t>
  </si>
  <si>
    <t xml:space="preserve">014100812B</t>
  </si>
  <si>
    <t xml:space="preserve">SERRANO QUINTANILLA JOSE CARLOS</t>
  </si>
  <si>
    <t xml:space="preserve">014100812B@uandina.edu.pe</t>
  </si>
  <si>
    <t xml:space="preserve">987343612</t>
  </si>
  <si>
    <t xml:space="preserve">016102043D</t>
  </si>
  <si>
    <t xml:space="preserve">SUBELETE MEDINA JULISSA LISETH</t>
  </si>
  <si>
    <t xml:space="preserve">julissa21198@gmail.com</t>
  </si>
  <si>
    <t xml:space="preserve">931709603</t>
  </si>
  <si>
    <t xml:space="preserve">014200969K</t>
  </si>
  <si>
    <t xml:space="preserve">TAGLE DELGADO NICOLE CECILIA</t>
  </si>
  <si>
    <t xml:space="preserve">nicole.tagle20@gmail.com</t>
  </si>
  <si>
    <t xml:space="preserve">989805953</t>
  </si>
  <si>
    <t xml:space="preserve">010101183B</t>
  </si>
  <si>
    <t xml:space="preserve">TTICA ZANABRIA MITHWAR WENCESLAO</t>
  </si>
  <si>
    <t xml:space="preserve">wentz_27@hotmail.com</t>
  </si>
  <si>
    <t xml:space="preserve">974770801</t>
  </si>
  <si>
    <t xml:space="preserve">013300732C</t>
  </si>
  <si>
    <t xml:space="preserve">TUPACYUPANQUI CCOLLATUPA FERNANDO K'ENTE</t>
  </si>
  <si>
    <t xml:space="preserve">kentefk@gmail.com</t>
  </si>
  <si>
    <t xml:space="preserve">965637327</t>
  </si>
  <si>
    <t xml:space="preserve">015201081B</t>
  </si>
  <si>
    <t xml:space="preserve">VARA VALENZUELA JEISON</t>
  </si>
  <si>
    <t xml:space="preserve">jeisonvara@gmail.com</t>
  </si>
  <si>
    <t xml:space="preserve">998801649</t>
  </si>
  <si>
    <t xml:space="preserve">015300994F</t>
  </si>
  <si>
    <t xml:space="preserve">VASQUEZ SOTO MELANY</t>
  </si>
  <si>
    <t xml:space="preserve">maria-11691@hotmail.com</t>
  </si>
  <si>
    <t xml:space="preserve">986820487</t>
  </si>
  <si>
    <t xml:space="preserve">015301026C</t>
  </si>
  <si>
    <t xml:space="preserve">WARTHON TAPIA GLORIA MARIOT</t>
  </si>
  <si>
    <t xml:space="preserve">gloriamariot1915@gmail.com</t>
  </si>
  <si>
    <t xml:space="preserve">980889923</t>
  </si>
  <si>
    <t xml:space="preserve">013300309C</t>
  </si>
  <si>
    <t xml:space="preserve">ZEA SALAS PABLO ANTONIO</t>
  </si>
  <si>
    <t xml:space="preserve">paanzesa1995@gmail.com</t>
  </si>
  <si>
    <t xml:space="preserve">941469731</t>
  </si>
  <si>
    <t xml:space="preserve">EMP-030</t>
  </si>
  <si>
    <t xml:space="preserve">015100982D</t>
  </si>
  <si>
    <t xml:space="preserve">ACHAHUI TORRES MARILIN SINGRIT</t>
  </si>
  <si>
    <t xml:space="preserve">015100982D@uandina.edu.pe</t>
  </si>
  <si>
    <t xml:space="preserve">984009599</t>
  </si>
  <si>
    <t xml:space="preserve">016100010A</t>
  </si>
  <si>
    <t xml:space="preserve">ACUÑA QUISPE NILTON</t>
  </si>
  <si>
    <t xml:space="preserve">nilton.uac@gmail.com</t>
  </si>
  <si>
    <t xml:space="preserve">989651125</t>
  </si>
  <si>
    <t xml:space="preserve">Postulante SERUMS 2026-II (CUSCO): nota 13, orden de mérito 170</t>
  </si>
  <si>
    <t xml:space="preserve">015101121B</t>
  </si>
  <si>
    <t xml:space="preserve">AEDO LUNA YANDEL MARICE</t>
  </si>
  <si>
    <t xml:space="preserve">yandel1195@gmail.com</t>
  </si>
  <si>
    <t xml:space="preserve">986812999</t>
  </si>
  <si>
    <t xml:space="preserve">015101133K</t>
  </si>
  <si>
    <t xml:space="preserve">AGUAYO GONZALES CARMEN ADIRF</t>
  </si>
  <si>
    <t xml:space="preserve">carmenaguayo199@gmail.com</t>
  </si>
  <si>
    <t xml:space="preserve">922212279</t>
  </si>
  <si>
    <t xml:space="preserve">015200014J</t>
  </si>
  <si>
    <t xml:space="preserve">AGUILAR TAMAYO JORDY CRISTHIAN</t>
  </si>
  <si>
    <t xml:space="preserve">1514151474asbcd@gmail.com</t>
  </si>
  <si>
    <t xml:space="preserve">965960469</t>
  </si>
  <si>
    <t xml:space="preserve">015101235H</t>
  </si>
  <si>
    <t xml:space="preserve">AGUIRRE BACA RENZO GABRIEL</t>
  </si>
  <si>
    <t xml:space="preserve">15101235H@uandina.edu.pe</t>
  </si>
  <si>
    <t xml:space="preserve">991061025</t>
  </si>
  <si>
    <t xml:space="preserve">017200409B</t>
  </si>
  <si>
    <t xml:space="preserve">ALEMAN PACHECO DANIELA BEATRIZ</t>
  </si>
  <si>
    <t xml:space="preserve">dani.alempacheco@gmail.com</t>
  </si>
  <si>
    <t xml:space="preserve">984010790</t>
  </si>
  <si>
    <t xml:space="preserve">015300038H</t>
  </si>
  <si>
    <t xml:space="preserve">ALVARADO ALVARADO YARAMI</t>
  </si>
  <si>
    <t xml:space="preserve">yaramialvarado@gmail.com</t>
  </si>
  <si>
    <t xml:space="preserve">994737606</t>
  </si>
  <si>
    <t xml:space="preserve">Postulante SERUMS 2026-II (CUSCO): nota 14.8, orden de mérito 63</t>
  </si>
  <si>
    <t xml:space="preserve">016100052F</t>
  </si>
  <si>
    <t xml:space="preserve">ALVAREZ FIGUEROA EUNICE MALIONOF</t>
  </si>
  <si>
    <t xml:space="preserve">016100052f@uandine.edu.pe</t>
  </si>
  <si>
    <t xml:space="preserve">920148324</t>
  </si>
  <si>
    <t xml:space="preserve">Sin fecha de inicio (oct. 2025)</t>
  </si>
  <si>
    <t xml:space="preserve">015200048A</t>
  </si>
  <si>
    <t xml:space="preserve">AMAU JAIMES WALDIR ERASMO</t>
  </si>
  <si>
    <t xml:space="preserve">waldiramauj@gmail.com</t>
  </si>
  <si>
    <t xml:space="preserve">984462931</t>
  </si>
  <si>
    <t xml:space="preserve">016100070D</t>
  </si>
  <si>
    <t xml:space="preserve">ANAYA PALZA EDISON</t>
  </si>
  <si>
    <t xml:space="preserve">dotaed30@hotmail.com</t>
  </si>
  <si>
    <t xml:space="preserve">951881282</t>
  </si>
  <si>
    <t xml:space="preserve">017200449D</t>
  </si>
  <si>
    <t xml:space="preserve">APAZA ARIAS YOHANNA PAOLA</t>
  </si>
  <si>
    <t xml:space="preserve">017200449d@uandina.edu.pe</t>
  </si>
  <si>
    <t xml:space="preserve">983455973</t>
  </si>
  <si>
    <t xml:space="preserve">Postulante SERUMS 2026-II (CUSCO): nota 16.6, orden de mérito 5</t>
  </si>
  <si>
    <t xml:space="preserve">013300688D</t>
  </si>
  <si>
    <t xml:space="preserve">APAZA SURCO GABRIELA ROCIO</t>
  </si>
  <si>
    <t xml:space="preserve">rocio_uac@hotmail.com</t>
  </si>
  <si>
    <t xml:space="preserve">984396697</t>
  </si>
  <si>
    <t xml:space="preserve">015100975H</t>
  </si>
  <si>
    <t xml:space="preserve">APAZA VILCAPAZA GYPSY VALIA</t>
  </si>
  <si>
    <t xml:space="preserve">gypsy_885_lia@hotmail.com</t>
  </si>
  <si>
    <t xml:space="preserve">900123539</t>
  </si>
  <si>
    <t xml:space="preserve">015200069I</t>
  </si>
  <si>
    <t xml:space="preserve">ARENAS DIAZ ARTHUR FREDY</t>
  </si>
  <si>
    <t xml:space="preserve">015200069I@uandin.edu.pe</t>
  </si>
  <si>
    <t xml:space="preserve">921076310</t>
  </si>
  <si>
    <t xml:space="preserve">017200469E</t>
  </si>
  <si>
    <t xml:space="preserve">ARENAS YUCA KARINA ELENA</t>
  </si>
  <si>
    <t xml:space="preserve">017200469e@uandina.edu.pe</t>
  </si>
  <si>
    <t xml:space="preserve">958061918</t>
  </si>
  <si>
    <t xml:space="preserve">016100102C</t>
  </si>
  <si>
    <t xml:space="preserve">AREVALO AGUIRRE KARLA KATHLEEN</t>
  </si>
  <si>
    <t xml:space="preserve">karla_05_06@hotmail.com</t>
  </si>
  <si>
    <t xml:space="preserve">974218474</t>
  </si>
  <si>
    <t xml:space="preserve">015300077C</t>
  </si>
  <si>
    <t xml:space="preserve">ARIAS OBLITAS LUIS ROLANDO</t>
  </si>
  <si>
    <t xml:space="preserve">luis_ariaso@hotmail.com</t>
  </si>
  <si>
    <t xml:space="preserve">974743642</t>
  </si>
  <si>
    <t xml:space="preserve">017200483H</t>
  </si>
  <si>
    <t xml:space="preserve">ARROYO SUTTA YASMIN</t>
  </si>
  <si>
    <t xml:space="preserve">017200483h@uandina.edu.pe</t>
  </si>
  <si>
    <t xml:space="preserve">946645339</t>
  </si>
  <si>
    <t xml:space="preserve">Postulante SERUMS 2026-II (CUSCO): nota 13.8, orden de mérito 120</t>
  </si>
  <si>
    <t xml:space="preserve">015100926G</t>
  </si>
  <si>
    <t xml:space="preserve">ARÓSTEGUI GALLEGOS DAVID ERNESTO</t>
  </si>
  <si>
    <t xml:space="preserve">Egresado</t>
  </si>
  <si>
    <t xml:space="preserve">015100926g@uandina.com.pe</t>
  </si>
  <si>
    <t xml:space="preserve">959614312</t>
  </si>
  <si>
    <t xml:space="preserve">016100128B</t>
  </si>
  <si>
    <t xml:space="preserve">ASCUE VALENCIA DIANA CAROLINA</t>
  </si>
  <si>
    <t xml:space="preserve">diana2_5@outlook.com.pe</t>
  </si>
  <si>
    <t xml:space="preserve">941290930</t>
  </si>
  <si>
    <t xml:space="preserve">013300395G</t>
  </si>
  <si>
    <t xml:space="preserve">ASTETE ELGUERA CRISTHIAM ADOLFO</t>
  </si>
  <si>
    <t xml:space="preserve">adol_127@hotmail.com</t>
  </si>
  <si>
    <t xml:space="preserve">965388628</t>
  </si>
  <si>
    <t xml:space="preserve">Se prepara para SERUMS/residentado</t>
  </si>
  <si>
    <t xml:space="preserve">016100155J</t>
  </si>
  <si>
    <t xml:space="preserve">AYMA VASQUEZ FERDINAND</t>
  </si>
  <si>
    <t xml:space="preserve">016100155J@uandina.edu.pe</t>
  </si>
  <si>
    <t xml:space="preserve">958002304</t>
  </si>
  <si>
    <t xml:space="preserve">016101794F</t>
  </si>
  <si>
    <t xml:space="preserve">BACA CASTILLO LORENA</t>
  </si>
  <si>
    <t xml:space="preserve">fiorella132@hotmail.com</t>
  </si>
  <si>
    <t xml:space="preserve">984840017</t>
  </si>
  <si>
    <t xml:space="preserve">013300689K</t>
  </si>
  <si>
    <t xml:space="preserve">BACA RIVERO JUAN CARLOS</t>
  </si>
  <si>
    <t xml:space="preserve">baca6156@gmail.com</t>
  </si>
  <si>
    <t xml:space="preserve">925777050</t>
  </si>
  <si>
    <t xml:space="preserve">017200518F</t>
  </si>
  <si>
    <t xml:space="preserve">BALLADARES MARMANILLO ALEXANDRA PAMELA</t>
  </si>
  <si>
    <t xml:space="preserve">017200518f@uandina.edu.pe</t>
  </si>
  <si>
    <t xml:space="preserve">963164192</t>
  </si>
  <si>
    <t xml:space="preserve">Encuesta egresados 2024-2025; I Encuentro de Egresados</t>
  </si>
  <si>
    <t xml:space="preserve">014200921H</t>
  </si>
  <si>
    <t xml:space="preserve">BARRIENTOS FERRO YENY ELIZABETH</t>
  </si>
  <si>
    <t xml:space="preserve">yeni_eli6@hotmail.com</t>
  </si>
  <si>
    <t xml:space="preserve">962933381</t>
  </si>
  <si>
    <t xml:space="preserve">015200111E</t>
  </si>
  <si>
    <t xml:space="preserve">BARRIENTOS QUISPE JULIO MANUEL</t>
  </si>
  <si>
    <t xml:space="preserve">jhulio_manuel@hotmail.com</t>
  </si>
  <si>
    <t xml:space="preserve">992517190</t>
  </si>
  <si>
    <t xml:space="preserve">016200133H</t>
  </si>
  <si>
    <t xml:space="preserve">BAUTISTA CARRASCO MARISOL</t>
  </si>
  <si>
    <t xml:space="preserve">marita.123.mbc@gmail.com</t>
  </si>
  <si>
    <t xml:space="preserve">964307182</t>
  </si>
  <si>
    <t xml:space="preserve">014200186F</t>
  </si>
  <si>
    <t xml:space="preserve">BENAVENTE HUILLCA ANDRE ANTONI</t>
  </si>
  <si>
    <t xml:space="preserve">benavente1231andre@gmail.com</t>
  </si>
  <si>
    <t xml:space="preserve">984376367</t>
  </si>
  <si>
    <t xml:space="preserve">015100236K</t>
  </si>
  <si>
    <t xml:space="preserve">BOLIVAR SILVA DIEGO ARMANDO</t>
  </si>
  <si>
    <t xml:space="preserve">diego_dragonb@hotmail.com</t>
  </si>
  <si>
    <t xml:space="preserve">953895030</t>
  </si>
  <si>
    <t xml:space="preserve">Postulante SERUMS 2026-II (CUSCO): nota 13.4, orden de mérito 147</t>
  </si>
  <si>
    <t xml:space="preserve">017100099A</t>
  </si>
  <si>
    <t xml:space="preserve">BORDA SOLORIO DANITZA MARIANNE</t>
  </si>
  <si>
    <t xml:space="preserve">danittza_3099@htotmail.com</t>
  </si>
  <si>
    <t xml:space="preserve">973171142</t>
  </si>
  <si>
    <t xml:space="preserve">014200922D</t>
  </si>
  <si>
    <t xml:space="preserve">BUENO TRIVEÑO DIEGO ADRIAN</t>
  </si>
  <si>
    <t xml:space="preserve">BT.DIEGO15@HOTMAIL.COM</t>
  </si>
  <si>
    <t xml:space="preserve">951150118</t>
  </si>
  <si>
    <t xml:space="preserve">014101383H</t>
  </si>
  <si>
    <t xml:space="preserve">CAHUANTICO LLALLA MONICA ANABELLY</t>
  </si>
  <si>
    <t xml:space="preserve">monica221294@hotmail.com</t>
  </si>
  <si>
    <t xml:space="preserve">998575756</t>
  </si>
  <si>
    <t xml:space="preserve">017100121G</t>
  </si>
  <si>
    <t xml:space="preserve">CAMACHO MENDOZA XIOMARA KATERINE</t>
  </si>
  <si>
    <t xml:space="preserve">siomira-@outlook.com</t>
  </si>
  <si>
    <t xml:space="preserve">991829219</t>
  </si>
  <si>
    <t xml:space="preserve">017200577B</t>
  </si>
  <si>
    <t xml:space="preserve">CANA GARCIA SOFIA ELIANA</t>
  </si>
  <si>
    <t xml:space="preserve">soeligunner@outlook.es</t>
  </si>
  <si>
    <t xml:space="preserve">941242914</t>
  </si>
  <si>
    <t xml:space="preserve">017200579E</t>
  </si>
  <si>
    <t xml:space="preserve">CANAL LETONA BRIAN MARCELO</t>
  </si>
  <si>
    <t xml:space="preserve">briancanalletona5@gmail.com</t>
  </si>
  <si>
    <t xml:space="preserve">961795959</t>
  </si>
  <si>
    <t xml:space="preserve">015101122I</t>
  </si>
  <si>
    <t xml:space="preserve">CANAL NINA RUBI JAGAI</t>
  </si>
  <si>
    <t xml:space="preserve">rubicanal0@gmail.com</t>
  </si>
  <si>
    <t xml:space="preserve">992925114</t>
  </si>
  <si>
    <t xml:space="preserve">015101074D</t>
  </si>
  <si>
    <t xml:space="preserve">CARI VILLA JOSE MARIA</t>
  </si>
  <si>
    <t xml:space="preserve">josecv.chema10@gmail.com</t>
  </si>
  <si>
    <t xml:space="preserve">941001440</t>
  </si>
  <si>
    <t xml:space="preserve">017100135H</t>
  </si>
  <si>
    <t xml:space="preserve">CARPIO FARFAN DANIELA SALOME</t>
  </si>
  <si>
    <t xml:space="preserve">nani09carfa@gmail.com</t>
  </si>
  <si>
    <t xml:space="preserve">962213609</t>
  </si>
  <si>
    <t xml:space="preserve">017200613I</t>
  </si>
  <si>
    <t xml:space="preserve">CASAVERDE PIMENTEL CRISCELY</t>
  </si>
  <si>
    <t xml:space="preserve">ccriscely14@gmail.com</t>
  </si>
  <si>
    <t xml:space="preserve">941074768</t>
  </si>
  <si>
    <t xml:space="preserve">EMP-035</t>
  </si>
  <si>
    <t xml:space="preserve">En curso – Puesto de salud Carybamba- Aymaraes- Apurimac</t>
  </si>
  <si>
    <t xml:space="preserve">017100145C</t>
  </si>
  <si>
    <t xml:space="preserve">CASTILLA AGUAYO RODRIGO</t>
  </si>
  <si>
    <t xml:space="preserve">rodrigo0205@live.com</t>
  </si>
  <si>
    <t xml:space="preserve">920219929</t>
  </si>
  <si>
    <t xml:space="preserve">Postulante SERUMS 2026-II (CUSCO): nota 15, orden de mérito 53</t>
  </si>
  <si>
    <t xml:space="preserve">016100334A</t>
  </si>
  <si>
    <t xml:space="preserve">CASTILLO JIBAJA CRISTHIAN</t>
  </si>
  <si>
    <t xml:space="preserve">016100334A@uandina.edu.pe</t>
  </si>
  <si>
    <t xml:space="preserve">932352920</t>
  </si>
  <si>
    <t xml:space="preserve">017200632C</t>
  </si>
  <si>
    <t xml:space="preserve">CCAHUA CCORIMANYA EDDY MARCIAL</t>
  </si>
  <si>
    <t xml:space="preserve">eddymarcialccahuacorimanya@gmail.com</t>
  </si>
  <si>
    <t xml:space="preserve">952979729</t>
  </si>
  <si>
    <t xml:space="preserve">017100159D</t>
  </si>
  <si>
    <t xml:space="preserve">CCAHUANA HUAMAN EYLHIN YADHIRA</t>
  </si>
  <si>
    <t xml:space="preserve">eylhinyadhiracc@gmail.com</t>
  </si>
  <si>
    <t xml:space="preserve">929254097</t>
  </si>
  <si>
    <t xml:space="preserve">015200213B</t>
  </si>
  <si>
    <t xml:space="preserve">CCOA PRO FATIMA ESMERALDA</t>
  </si>
  <si>
    <t xml:space="preserve">faticopro@gmail.com</t>
  </si>
  <si>
    <t xml:space="preserve">962412250</t>
  </si>
  <si>
    <t xml:space="preserve">017200639H</t>
  </si>
  <si>
    <t xml:space="preserve">CCOHUA MAYTA REYNALDO ALDAIR</t>
  </si>
  <si>
    <t xml:space="preserve">slardar15987@gmail.com</t>
  </si>
  <si>
    <t xml:space="preserve">953836033</t>
  </si>
  <si>
    <t xml:space="preserve">Postulante SERUMS 2026-II (CUSCO): nota 14.4, orden de mérito 83</t>
  </si>
  <si>
    <t xml:space="preserve">016100387H</t>
  </si>
  <si>
    <t xml:space="preserve">CEBALLOS CONDORI LILIA</t>
  </si>
  <si>
    <t xml:space="preserve">lilia__cc@hotmail.com</t>
  </si>
  <si>
    <t xml:space="preserve">972250516</t>
  </si>
  <si>
    <t xml:space="preserve">015100987F</t>
  </si>
  <si>
    <t xml:space="preserve">CERNA LOMA CARLA</t>
  </si>
  <si>
    <t xml:space="preserve">carla.cerna28@gmail.com</t>
  </si>
  <si>
    <t xml:space="preserve">965132220</t>
  </si>
  <si>
    <t xml:space="preserve">014200926J</t>
  </si>
  <si>
    <t xml:space="preserve">CHACON CASTRO ROSA AURORA</t>
  </si>
  <si>
    <t xml:space="preserve">rosech_14@hotmail.com</t>
  </si>
  <si>
    <t xml:space="preserve">Postulante SERUMS 2026-II (CUSCO): nota 14.2, orden de mérito 95</t>
  </si>
  <si>
    <t xml:space="preserve">012100998K</t>
  </si>
  <si>
    <t xml:space="preserve">CHACON ORDOÑEZ MAX JULIUS</t>
  </si>
  <si>
    <t xml:space="preserve">docmax1893@hotmail.com</t>
  </si>
  <si>
    <t xml:space="preserve">953441445</t>
  </si>
  <si>
    <t xml:space="preserve">Postulante SERUMS 2026-II (CUSCO): nota 14, orden de mérito 112</t>
  </si>
  <si>
    <t xml:space="preserve">015200234J</t>
  </si>
  <si>
    <t xml:space="preserve">CHAICO GRANEROS MILAGROS KATHERINE</t>
  </si>
  <si>
    <t xml:space="preserve">Kathe24109@gmail.com</t>
  </si>
  <si>
    <t xml:space="preserve">967755450</t>
  </si>
  <si>
    <t xml:space="preserve">018100434D</t>
  </si>
  <si>
    <t xml:space="preserve">CHARA DAMIAN RITH FERNANDO</t>
  </si>
  <si>
    <t xml:space="preserve">ritfer666@hotmail.com</t>
  </si>
  <si>
    <t xml:space="preserve">984345577</t>
  </si>
  <si>
    <t xml:space="preserve">015101080D</t>
  </si>
  <si>
    <t xml:space="preserve">CHARCA FERNANDEZ ERNESTO DUBERLY</t>
  </si>
  <si>
    <t xml:space="preserve">duber9828@gmail.com</t>
  </si>
  <si>
    <t xml:space="preserve">989805047</t>
  </si>
  <si>
    <t xml:space="preserve">Postulante SERUMS 2026-II (CUSCO): nota 13, orden de mérito 175</t>
  </si>
  <si>
    <t xml:space="preserve">015300245C</t>
  </si>
  <si>
    <t xml:space="preserve">CHILE ORTEGA ROMARIO DANIEL</t>
  </si>
  <si>
    <t xml:space="preserve">basilik-97@hotmail.com</t>
  </si>
  <si>
    <t xml:space="preserve">989432254</t>
  </si>
  <si>
    <t xml:space="preserve">016101892H</t>
  </si>
  <si>
    <t xml:space="preserve">CHURA SEQUEIROS DIANA PATRICIA</t>
  </si>
  <si>
    <t xml:space="preserve">016101892h@uandina.edu.pe</t>
  </si>
  <si>
    <t xml:space="preserve">935050596</t>
  </si>
  <si>
    <t xml:space="preserve">Postulante SERUMS 2026-II (CUSCO): nota 12.8, orden de mérito 185</t>
  </si>
  <si>
    <t xml:space="preserve">018100468F</t>
  </si>
  <si>
    <t xml:space="preserve">COANQUI ASTETE MISKI MICAELA</t>
  </si>
  <si>
    <t xml:space="preserve">018100468f@uandina.edu.pe</t>
  </si>
  <si>
    <t xml:space="preserve">944965234</t>
  </si>
  <si>
    <t xml:space="preserve">017200700I</t>
  </si>
  <si>
    <t xml:space="preserve">CONDO VALDEZ JULMAR CRISTIAN</t>
  </si>
  <si>
    <t xml:space="preserve">lab.julmar@gmail.com</t>
  </si>
  <si>
    <t xml:space="preserve">937710537</t>
  </si>
  <si>
    <t xml:space="preserve">Postulante SERUMS 2026-II (CUSCO): nota 15.4, orden de mérito 37</t>
  </si>
  <si>
    <t xml:space="preserve">015200300B</t>
  </si>
  <si>
    <t xml:space="preserve">COVARRUBIAS VILLAFUERTE JHON ERICK</t>
  </si>
  <si>
    <t xml:space="preserve">jhon.erick.covarrubias@gmail.com</t>
  </si>
  <si>
    <t xml:space="preserve">993405509</t>
  </si>
  <si>
    <t xml:space="preserve">Postulante SERUMS 2026-II (CUSCO): nota 15.8, orden de mérito 26</t>
  </si>
  <si>
    <t xml:space="preserve">018100513A</t>
  </si>
  <si>
    <t xml:space="preserve">CRUZ RAFAELE YANET CELENITA</t>
  </si>
  <si>
    <t xml:space="preserve">cruzrafa221115@gmail.com</t>
  </si>
  <si>
    <t xml:space="preserve">935513582</t>
  </si>
  <si>
    <t xml:space="preserve">013300702G</t>
  </si>
  <si>
    <t xml:space="preserve">CUELLAR TELLO DAVE ALFREDO</t>
  </si>
  <si>
    <t xml:space="preserve">daalfred95@gmail.com</t>
  </si>
  <si>
    <t xml:space="preserve">993034468</t>
  </si>
  <si>
    <t xml:space="preserve">017100235B</t>
  </si>
  <si>
    <t xml:space="preserve">DAVALOS MANZANARES BENJAMIN</t>
  </si>
  <si>
    <t xml:space="preserve">benjackal96@gmail.com</t>
  </si>
  <si>
    <t xml:space="preserve">940414041</t>
  </si>
  <si>
    <t xml:space="preserve">014200393A</t>
  </si>
  <si>
    <t xml:space="preserve">DAVILA CORS GLICERIO</t>
  </si>
  <si>
    <t xml:space="preserve">glicedaco@gmail.com</t>
  </si>
  <si>
    <t xml:space="preserve">949893371</t>
  </si>
  <si>
    <t xml:space="preserve">016200409C</t>
  </si>
  <si>
    <t xml:space="preserve">DE LA CRUZ CUSIQUISPE CONRRADO</t>
  </si>
  <si>
    <t xml:space="preserve">conrrado55555@gmail.com</t>
  </si>
  <si>
    <t xml:space="preserve">984187030</t>
  </si>
  <si>
    <t xml:space="preserve">Postulante SERUMS 2026-II (CUSCO): nota 12.4, orden de mérito 201</t>
  </si>
  <si>
    <t xml:space="preserve">012100981K</t>
  </si>
  <si>
    <t xml:space="preserve">DEL POZO APAZA KATHERIN MARION</t>
  </si>
  <si>
    <t xml:space="preserve">tierra_15_12@hotmail.com</t>
  </si>
  <si>
    <t xml:space="preserve">973016193</t>
  </si>
  <si>
    <t xml:space="preserve">Postulante SERUMS 2026-II (APURIMAC): No se presentó</t>
  </si>
  <si>
    <t xml:space="preserve">015200353I</t>
  </si>
  <si>
    <t xml:space="preserve">ESCALANTE NAHUAMEL JOSE PERCY</t>
  </si>
  <si>
    <t xml:space="preserve">escalantenahuameljosepercy@gmail.com</t>
  </si>
  <si>
    <t xml:space="preserve">928105060</t>
  </si>
  <si>
    <t xml:space="preserve">Postulante SERUMS 2026-II (CUSCO): nota 14.8, orden de mérito 64</t>
  </si>
  <si>
    <t xml:space="preserve">017100255C</t>
  </si>
  <si>
    <t xml:space="preserve">ESPERILLA PUMAYALLI LIZBETH CHASKA</t>
  </si>
  <si>
    <t xml:space="preserve">lizbethchaska@gmail.com</t>
  </si>
  <si>
    <t xml:space="preserve">993868458</t>
  </si>
  <si>
    <t xml:space="preserve">012101011E</t>
  </si>
  <si>
    <t xml:space="preserve">FARFAN CARDENAS INCRITS</t>
  </si>
  <si>
    <t xml:space="preserve">cristabelfc@hotmail.com</t>
  </si>
  <si>
    <t xml:space="preserve">915076234</t>
  </si>
  <si>
    <t xml:space="preserve">Postulante SERUMS 2026-II (CUSCO): Ficha óptica inválida</t>
  </si>
  <si>
    <t xml:space="preserve">015200374F</t>
  </si>
  <si>
    <t xml:space="preserve">FARFAN MAMANI ASLIE YANDIRA</t>
  </si>
  <si>
    <t xml:space="preserve">aslie26f@gmail.com</t>
  </si>
  <si>
    <t xml:space="preserve">900519231</t>
  </si>
  <si>
    <t xml:space="preserve">Postulante SERUMS 2026-II (CUSCO): nota 12.6, orden de mérito 193</t>
  </si>
  <si>
    <t xml:space="preserve">012100967H</t>
  </si>
  <si>
    <t xml:space="preserve">FARFAN MAMANI DANTE ENRIQUE</t>
  </si>
  <si>
    <t xml:space="preserve">enrique_5558@hotmail.com</t>
  </si>
  <si>
    <t xml:space="preserve">963448482</t>
  </si>
  <si>
    <t xml:space="preserve">Postulante SERUMS 2026-II (CUSCO): nota 12.2, orden de mérito 208</t>
  </si>
  <si>
    <t xml:space="preserve">Encuesta egresados 2024-2025; I Encuentro de Egresados; Resultados SERUMS 2026-II</t>
  </si>
  <si>
    <t xml:space="preserve">013300703C</t>
  </si>
  <si>
    <t xml:space="preserve">FERNANDEZ FERNANDEZ HANS ALFREDO</t>
  </si>
  <si>
    <t xml:space="preserve">eleale21mise@gmail.com</t>
  </si>
  <si>
    <t xml:space="preserve">984391584</t>
  </si>
  <si>
    <t xml:space="preserve">015200383E</t>
  </si>
  <si>
    <t xml:space="preserve">FERNANDEZ SANCHEZ ALEJANDRO SEBASTIAN</t>
  </si>
  <si>
    <t xml:space="preserve">asebasfs@hotmail.com</t>
  </si>
  <si>
    <t xml:space="preserve">955712893</t>
  </si>
  <si>
    <t xml:space="preserve">014100845H</t>
  </si>
  <si>
    <t xml:space="preserve">FERREL LLERENA KATHERINE PAMELA</t>
  </si>
  <si>
    <t xml:space="preserve">Latinoamericaperucz@gmail.com</t>
  </si>
  <si>
    <t xml:space="preserve">953276946</t>
  </si>
  <si>
    <t xml:space="preserve">015300357F</t>
  </si>
  <si>
    <t xml:space="preserve">FIASCUNARI MALAGA PIERINA ALESSANDRA</t>
  </si>
  <si>
    <t xml:space="preserve">pierina.fiascunari@gmail.com</t>
  </si>
  <si>
    <t xml:space="preserve">984760547</t>
  </si>
  <si>
    <t xml:space="preserve">015300358B</t>
  </si>
  <si>
    <t xml:space="preserve">FIGUEROA HUAYHUACA JOSE MARCELO</t>
  </si>
  <si>
    <t xml:space="preserve">darex2132@gmail.com</t>
  </si>
  <si>
    <t xml:space="preserve">993746452</t>
  </si>
  <si>
    <t xml:space="preserve">017200797B</t>
  </si>
  <si>
    <t xml:space="preserve">FIGUEROA POMPILLA EDITH VANESSA</t>
  </si>
  <si>
    <t xml:space="preserve">vanessa_figueroa420@hotmail.com</t>
  </si>
  <si>
    <t xml:space="preserve">943308317</t>
  </si>
  <si>
    <t xml:space="preserve">013200120F</t>
  </si>
  <si>
    <t xml:space="preserve">FLORES CARRION JAEL STHEFANY</t>
  </si>
  <si>
    <t xml:space="preserve">013200120f@uandina.edu.pe</t>
  </si>
  <si>
    <t xml:space="preserve">922722559</t>
  </si>
  <si>
    <t xml:space="preserve">Postulante SERUMS 2026-II (CUSCO): nota 12.2, orden de mérito 209</t>
  </si>
  <si>
    <t xml:space="preserve">018100636F</t>
  </si>
  <si>
    <t xml:space="preserve">FLORES GONZALES ERICK FABRICIO</t>
  </si>
  <si>
    <t xml:space="preserve">fachito360@hotmail.com</t>
  </si>
  <si>
    <t xml:space="preserve">984007910</t>
  </si>
  <si>
    <t xml:space="preserve">013300704J</t>
  </si>
  <si>
    <t xml:space="preserve">FLOREZ QQUESIHUALLPA SOLAMOR</t>
  </si>
  <si>
    <t xml:space="preserve">solamor_florez@hotmail.com</t>
  </si>
  <si>
    <t xml:space="preserve">979301810</t>
  </si>
  <si>
    <t xml:space="preserve">018100669A</t>
  </si>
  <si>
    <t xml:space="preserve">GAMARRA ROMERO DIEGO ANTONIO</t>
  </si>
  <si>
    <t xml:space="preserve">familia04129y@gmail.com</t>
  </si>
  <si>
    <t xml:space="preserve">986629827</t>
  </si>
  <si>
    <t xml:space="preserve">015300381D</t>
  </si>
  <si>
    <t xml:space="preserve">GAMIO HINOJOSA JOYCE HELEN</t>
  </si>
  <si>
    <t xml:space="preserve">joycegamio@hotmail.com</t>
  </si>
  <si>
    <t xml:space="preserve">941218507</t>
  </si>
  <si>
    <t xml:space="preserve">013100783C</t>
  </si>
  <si>
    <t xml:space="preserve">GARCIA CASTILLO YOSET CARLOS</t>
  </si>
  <si>
    <t xml:space="preserve">yoset_che@hotmail.com</t>
  </si>
  <si>
    <t xml:space="preserve">965771523</t>
  </si>
  <si>
    <t xml:space="preserve">Postulante SERUMS 2026-II (CUSCO): nota 12.2, orden de mérito 210</t>
  </si>
  <si>
    <t xml:space="preserve">017100297H</t>
  </si>
  <si>
    <t xml:space="preserve">GOMEZ ALVARADO MARIA FERNANDA</t>
  </si>
  <si>
    <t xml:space="preserve">gomezalvaradomariafernanda@gmail.com</t>
  </si>
  <si>
    <t xml:space="preserve">997300584</t>
  </si>
  <si>
    <t xml:space="preserve">EMP-033</t>
  </si>
  <si>
    <t xml:space="preserve">En curso – Puesto de Salud Aymas</t>
  </si>
  <si>
    <t xml:space="preserve">016200544H</t>
  </si>
  <si>
    <t xml:space="preserve">GUEVARA GALLEGOS JAMIL FRANCISCO</t>
  </si>
  <si>
    <t xml:space="preserve">jafrguega550@gmail.com</t>
  </si>
  <si>
    <t xml:space="preserve">936519252</t>
  </si>
  <si>
    <t xml:space="preserve">017200866D</t>
  </si>
  <si>
    <t xml:space="preserve">GUILLEN CUSIHUAMAN KAREN MILAGROS</t>
  </si>
  <si>
    <t xml:space="preserve">mily.heart101@gmail.com</t>
  </si>
  <si>
    <t xml:space="preserve">989524845</t>
  </si>
  <si>
    <t xml:space="preserve">015300424E</t>
  </si>
  <si>
    <t xml:space="preserve">GUIZADO QUISPE WENDY YOBALENA</t>
  </si>
  <si>
    <t xml:space="preserve">yobalenag@gmail.com</t>
  </si>
  <si>
    <t xml:space="preserve">968519582</t>
  </si>
  <si>
    <t xml:space="preserve">016100708I</t>
  </si>
  <si>
    <t xml:space="preserve">GUZMAN DELGADO HAROL ORLANDO</t>
  </si>
  <si>
    <t xml:space="preserve">harly_gd2006@hotmail.com</t>
  </si>
  <si>
    <t xml:space="preserve">963370650</t>
  </si>
  <si>
    <t xml:space="preserve">016100736B</t>
  </si>
  <si>
    <t xml:space="preserve">HERRERA ROQUE CELIA MARIA DE LOS ANGELES</t>
  </si>
  <si>
    <t xml:space="preserve">016100736b@uandina.edu.pe</t>
  </si>
  <si>
    <t xml:space="preserve">970575503</t>
  </si>
  <si>
    <t xml:space="preserve">015300444F</t>
  </si>
  <si>
    <t xml:space="preserve">HERRERA SONCCO MAGALY SHIRLEY</t>
  </si>
  <si>
    <t xml:space="preserve">shirleyherrera1205@gmail.com</t>
  </si>
  <si>
    <t xml:space="preserve">955727427</t>
  </si>
  <si>
    <t xml:space="preserve">Postulante SERUMS 2026-II (CUSCO): nota 13.4, orden de mérito 152</t>
  </si>
  <si>
    <t xml:space="preserve">017100325A</t>
  </si>
  <si>
    <t xml:space="preserve">HUACHACA VARGAS NARAYANA DEL PILAR</t>
  </si>
  <si>
    <t xml:space="preserve">narayanadelpilarhuachacav@gmail.com</t>
  </si>
  <si>
    <t xml:space="preserve">912220718</t>
  </si>
  <si>
    <t xml:space="preserve">015200489H</t>
  </si>
  <si>
    <t xml:space="preserve">HUALLPA LOVON YAMIT ARACELI</t>
  </si>
  <si>
    <t xml:space="preserve">yamithuallpa@gmail.com</t>
  </si>
  <si>
    <t xml:space="preserve">931706296</t>
  </si>
  <si>
    <t xml:space="preserve">Postulante SERUMS 2026-II (LIMA ESTE): nota 13.4, orden de mérito 122</t>
  </si>
  <si>
    <t xml:space="preserve">016100768A</t>
  </si>
  <si>
    <t xml:space="preserve">HUAMAN PELAIZA EVELYN</t>
  </si>
  <si>
    <t xml:space="preserve">evelynhuap@gmail.com</t>
  </si>
  <si>
    <t xml:space="preserve">962179308</t>
  </si>
  <si>
    <t xml:space="preserve">Postulante SERUMS 2026-II (APURIMAC): nota 13.8, orden de mérito 19</t>
  </si>
  <si>
    <t xml:space="preserve">014200939D</t>
  </si>
  <si>
    <t xml:space="preserve">HUAMAN SORIA IRAIDA AZUCENA</t>
  </si>
  <si>
    <t xml:space="preserve">71924731.azu@gmail.com</t>
  </si>
  <si>
    <t xml:space="preserve">997918348</t>
  </si>
  <si>
    <t xml:space="preserve">017101199J</t>
  </si>
  <si>
    <t xml:space="preserve">HUAMANI PAUCARMAITA MIRIAM</t>
  </si>
  <si>
    <t xml:space="preserve">mimi_hope24@hotmail.com</t>
  </si>
  <si>
    <t xml:space="preserve">929733609</t>
  </si>
  <si>
    <t xml:space="preserve">013300712B</t>
  </si>
  <si>
    <t xml:space="preserve">HUANCA TAPIA YOSHIMARDO</t>
  </si>
  <si>
    <t xml:space="preserve">yoshimardoht123@gmail.com</t>
  </si>
  <si>
    <t xml:space="preserve">917834339</t>
  </si>
  <si>
    <t xml:space="preserve">013100765E</t>
  </si>
  <si>
    <t xml:space="preserve">HUILLCA ORCCOTOMA ARRONS SMITH</t>
  </si>
  <si>
    <t xml:space="preserve">huillcaorccotomaarons@gmail.com</t>
  </si>
  <si>
    <t xml:space="preserve">973237261</t>
  </si>
  <si>
    <t xml:space="preserve">Postulante SERUMS 2026-II (AREQUIPA): nota 15, orden de mérito 94</t>
  </si>
  <si>
    <t xml:space="preserve">016200639I</t>
  </si>
  <si>
    <t xml:space="preserve">HURTADO FLOREZ BRENDA ARIELA</t>
  </si>
  <si>
    <t xml:space="preserve">arielahurtadoflorez2@gmail.com</t>
  </si>
  <si>
    <t xml:space="preserve">991320815</t>
  </si>
  <si>
    <t xml:space="preserve">Postulante SERUMS 2026-II (APURIMAC): nota 11.6, orden de mérito 48</t>
  </si>
  <si>
    <t xml:space="preserve">017100366J</t>
  </si>
  <si>
    <t xml:space="preserve">IBAÑEZ LOAYZA FLOR DE MARIA</t>
  </si>
  <si>
    <t xml:space="preserve">017100366j@uandina.edu.pe</t>
  </si>
  <si>
    <t xml:space="preserve">970509114</t>
  </si>
  <si>
    <t xml:space="preserve">013100762F</t>
  </si>
  <si>
    <t xml:space="preserve">INCA ORTIZ LIZ GRESIA</t>
  </si>
  <si>
    <t xml:space="preserve">gresiaortiz89@gmail.com</t>
  </si>
  <si>
    <t xml:space="preserve">960778171</t>
  </si>
  <si>
    <t xml:space="preserve">016200649D</t>
  </si>
  <si>
    <t xml:space="preserve">JAMANCA RIVEROS ENMA MARIEL</t>
  </si>
  <si>
    <t xml:space="preserve">enma1198@gmail.com</t>
  </si>
  <si>
    <t xml:space="preserve">984843366</t>
  </si>
  <si>
    <t xml:space="preserve">014200943A</t>
  </si>
  <si>
    <t xml:space="preserve">JARA QUISPE MANUEL JESUS</t>
  </si>
  <si>
    <t xml:space="preserve">manuelito230296@hotmail.com</t>
  </si>
  <si>
    <t xml:space="preserve">980743329</t>
  </si>
  <si>
    <t xml:space="preserve">016100835K</t>
  </si>
  <si>
    <t xml:space="preserve">JARAMILLO CASTRO YONAIKER</t>
  </si>
  <si>
    <t xml:space="preserve">yonaiker_@hotmail.com</t>
  </si>
  <si>
    <t xml:space="preserve">964734483</t>
  </si>
  <si>
    <t xml:space="preserve">Postulante SERUMS 2026-II (CUSCO): nota 15.4, orden de mérito 39</t>
  </si>
  <si>
    <t xml:space="preserve">011300735D</t>
  </si>
  <si>
    <t xml:space="preserve">LAYME YUCRA ROSSI ROSMERY</t>
  </si>
  <si>
    <t xml:space="preserve">rossi250894@gmail.com</t>
  </si>
  <si>
    <t xml:space="preserve">950759637</t>
  </si>
  <si>
    <t xml:space="preserve">Postulante SERUMS 2026-II (CUSCO): nota 13, orden de mérito 177</t>
  </si>
  <si>
    <t xml:space="preserve">017201032J</t>
  </si>
  <si>
    <t xml:space="preserve">LOAYZA BAZAN HAYDA SHULY</t>
  </si>
  <si>
    <t xml:space="preserve">xshulyxlb@hotmail.com</t>
  </si>
  <si>
    <t xml:space="preserve">930048814</t>
  </si>
  <si>
    <t xml:space="preserve">017201051D</t>
  </si>
  <si>
    <t xml:space="preserve">LUNA VIVANCO NOELY MAJHUR ALESSANDRA</t>
  </si>
  <si>
    <t xml:space="preserve">017201051d@uandina.edu.pe</t>
  </si>
  <si>
    <t xml:space="preserve">983782095</t>
  </si>
  <si>
    <t xml:space="preserve">017201054C</t>
  </si>
  <si>
    <t xml:space="preserve">MACEDO QUISPE BRAYAN IGNACIO</t>
  </si>
  <si>
    <t xml:space="preserve">Brayan.macedo19@outlook.com</t>
  </si>
  <si>
    <t xml:space="preserve">955575932</t>
  </si>
  <si>
    <t xml:space="preserve">015101060C</t>
  </si>
  <si>
    <t xml:space="preserve">MAMANI FERNANDEZ MARVIN GERALD</t>
  </si>
  <si>
    <t xml:space="preserve">015101060c@uandina.edu.pe</t>
  </si>
  <si>
    <t xml:space="preserve">998456798</t>
  </si>
  <si>
    <t xml:space="preserve">Postulante SERUMS 2026-II (CUSCO): nota 14.6, orden de mérito 75</t>
  </si>
  <si>
    <t xml:space="preserve">017100424J</t>
  </si>
  <si>
    <t xml:space="preserve">MAMANI SUCNO LESLY</t>
  </si>
  <si>
    <t xml:space="preserve">017100424J@UANDINA.EDU.PE</t>
  </si>
  <si>
    <t xml:space="preserve">974799306</t>
  </si>
  <si>
    <t xml:space="preserve">Postulante SERUMS 2026-II (CUSCO): nota 15.8, orden de mérito 28</t>
  </si>
  <si>
    <t xml:space="preserve">015100231I</t>
  </si>
  <si>
    <t xml:space="preserve">MANOTUPA GOMEZ CECIA</t>
  </si>
  <si>
    <t xml:space="preserve">xexiagomez@gmail.com</t>
  </si>
  <si>
    <t xml:space="preserve">955452309</t>
  </si>
  <si>
    <t xml:space="preserve">Postulante SERUMS 2026-II (CUSCO): nota 10.4, orden de mérito 261</t>
  </si>
  <si>
    <t xml:space="preserve">015200614G</t>
  </si>
  <si>
    <t xml:space="preserve">MARMANILLO HUAMAN DANNDY JOHAN</t>
  </si>
  <si>
    <t xml:space="preserve">danndyuac@gmail.com</t>
  </si>
  <si>
    <t xml:space="preserve">928842301</t>
  </si>
  <si>
    <t xml:space="preserve">Calca -Cusco</t>
  </si>
  <si>
    <t xml:space="preserve">Medico Serums</t>
  </si>
  <si>
    <t xml:space="preserve">EMP-032</t>
  </si>
  <si>
    <t xml:space="preserve">En curso o realizado – 01 de Octubre Ps Amparaes</t>
  </si>
  <si>
    <t xml:space="preserve">013300503D</t>
  </si>
  <si>
    <t xml:space="preserve">MAROCHO MONTES ABEL ALEJANDRO</t>
  </si>
  <si>
    <t xml:space="preserve">abelmontes14@gmail.com</t>
  </si>
  <si>
    <t xml:space="preserve">994609407</t>
  </si>
  <si>
    <t xml:space="preserve">016200739C</t>
  </si>
  <si>
    <t xml:space="preserve">MARTINEZ RONDAN LEE HARVEY</t>
  </si>
  <si>
    <t xml:space="preserve">dr.lharvey.allworld@gmail.com</t>
  </si>
  <si>
    <t xml:space="preserve">944747193</t>
  </si>
  <si>
    <t xml:space="preserve">015300604C</t>
  </si>
  <si>
    <t xml:space="preserve">MASIAS MONROY YERALDI</t>
  </si>
  <si>
    <t xml:space="preserve">yeraldimasiasmonroy@gmail.com</t>
  </si>
  <si>
    <t xml:space="preserve">993444595</t>
  </si>
  <si>
    <t xml:space="preserve">017201101A</t>
  </si>
  <si>
    <t xml:space="preserve">MEJIA CALVO LUIS FERNANDO</t>
  </si>
  <si>
    <t xml:space="preserve">luis_f_12@live.com</t>
  </si>
  <si>
    <t xml:space="preserve">946893636</t>
  </si>
  <si>
    <t xml:space="preserve">017100443D</t>
  </si>
  <si>
    <t xml:space="preserve">MENDOZA NUÑEZ LUIS MANUEL</t>
  </si>
  <si>
    <t xml:space="preserve">panda192010@hotmail.com</t>
  </si>
  <si>
    <t xml:space="preserve">985305401</t>
  </si>
  <si>
    <t xml:space="preserve">017100450K</t>
  </si>
  <si>
    <t xml:space="preserve">MEZA DELGADO JOAQUIN FRANCISCO</t>
  </si>
  <si>
    <t xml:space="preserve">joaqomezadelgado@gmail.com</t>
  </si>
  <si>
    <t xml:space="preserve">931277400</t>
  </si>
  <si>
    <t xml:space="preserve">EMP-014</t>
  </si>
  <si>
    <t xml:space="preserve">En curso o realizado – CAP II HUYRO - 01 DE OCTUBRE 2025</t>
  </si>
  <si>
    <t xml:space="preserve">014200948C</t>
  </si>
  <si>
    <t xml:space="preserve">MEZA QUECAÑO STHEFAN OLINDA</t>
  </si>
  <si>
    <t xml:space="preserve">thorn263@hotmail.com</t>
  </si>
  <si>
    <t xml:space="preserve">983848775</t>
  </si>
  <si>
    <t xml:space="preserve">011300760I</t>
  </si>
  <si>
    <t xml:space="preserve">MOLERO GARCIA ABEL YOJHAN</t>
  </si>
  <si>
    <t xml:space="preserve">011300760i@uandina.edu.pe</t>
  </si>
  <si>
    <t xml:space="preserve">990796962</t>
  </si>
  <si>
    <t xml:space="preserve">015100874G</t>
  </si>
  <si>
    <t xml:space="preserve">MOLINARY JARA MARIELA STEFANY</t>
  </si>
  <si>
    <t xml:space="preserve">stefany-jara@hotmail.com</t>
  </si>
  <si>
    <t xml:space="preserve">995413888</t>
  </si>
  <si>
    <t xml:space="preserve">016200798J</t>
  </si>
  <si>
    <t xml:space="preserve">MORALES CONCHA JUDITH LADY</t>
  </si>
  <si>
    <t xml:space="preserve">yuleydi.23@gmail.com</t>
  </si>
  <si>
    <t xml:space="preserve">983752793</t>
  </si>
  <si>
    <t xml:space="preserve">Postulante SERUMS 2026-II (APURIMAC): nota 11.8, orden de mérito 46</t>
  </si>
  <si>
    <t xml:space="preserve">011300738C</t>
  </si>
  <si>
    <t xml:space="preserve">MORALES FLORES PALOMA ALEJANDRA</t>
  </si>
  <si>
    <t xml:space="preserve">palomaspinetta@gmail.com</t>
  </si>
  <si>
    <t xml:space="preserve">916144394</t>
  </si>
  <si>
    <t xml:space="preserve">Postulante SERUMS 2026-II (CUSCO): nota 14.8, orden de mérito 68</t>
  </si>
  <si>
    <t xml:space="preserve">016101050G</t>
  </si>
  <si>
    <t xml:space="preserve">MORMONTOY GUZMAN AYRTHON FELIX</t>
  </si>
  <si>
    <t xml:space="preserve">ayrthfmguz@gmail.com</t>
  </si>
  <si>
    <t xml:space="preserve">963156266</t>
  </si>
  <si>
    <t xml:space="preserve">016101054B</t>
  </si>
  <si>
    <t xml:space="preserve">MOTTA MUÑOZ LUIS FERNANDO</t>
  </si>
  <si>
    <t xml:space="preserve">fernando.motta.m@gmail.com</t>
  </si>
  <si>
    <t xml:space="preserve">984067130</t>
  </si>
  <si>
    <t xml:space="preserve">013300717D</t>
  </si>
  <si>
    <t xml:space="preserve">MUELLE CASTRO MARCIA VENUS</t>
  </si>
  <si>
    <t xml:space="preserve">marciv_muca@hotmail.com</t>
  </si>
  <si>
    <t xml:space="preserve">974983157</t>
  </si>
  <si>
    <t xml:space="preserve">Postulante SERUMS 2026-II (CUSCO): nota 14.8, orden de mérito 69</t>
  </si>
  <si>
    <t xml:space="preserve">016200814E</t>
  </si>
  <si>
    <t xml:space="preserve">NINA MAMANI OLINDA MARGARITA</t>
  </si>
  <si>
    <t xml:space="preserve">marga_nm@outlook.com</t>
  </si>
  <si>
    <t xml:space="preserve">928026033</t>
  </si>
  <si>
    <t xml:space="preserve">Postulante SERUMS 2026-II (CUSCO): nota 11.6, orden de mérito 231</t>
  </si>
  <si>
    <t xml:space="preserve">015300672I</t>
  </si>
  <si>
    <t xml:space="preserve">NUÑEZ SALCEDO MARIED MILENA</t>
  </si>
  <si>
    <t xml:space="preserve">maried-milena18@hotmail.com</t>
  </si>
  <si>
    <t xml:space="preserve">984900529</t>
  </si>
  <si>
    <t xml:space="preserve">015200710F</t>
  </si>
  <si>
    <t xml:space="preserve">OLARTE PAUCAR DANIEL RODOLFO</t>
  </si>
  <si>
    <t xml:space="preserve">danielolarte141998@hotmail.com</t>
  </si>
  <si>
    <t xml:space="preserve">953205581</t>
  </si>
  <si>
    <t xml:space="preserve">Postulante SERUMS 2026-II (CUSCO): nota 10.2, orden de mérito 264</t>
  </si>
  <si>
    <t xml:space="preserve">017101416K</t>
  </si>
  <si>
    <t xml:space="preserve">OLMOS FLORES FRANK STALIN</t>
  </si>
  <si>
    <t xml:space="preserve">franknow20@gmail.com</t>
  </si>
  <si>
    <t xml:space="preserve">910601824</t>
  </si>
  <si>
    <t xml:space="preserve">013300721A</t>
  </si>
  <si>
    <t xml:space="preserve">ORIHUELA CCAPCHA JORGE JUNIOR</t>
  </si>
  <si>
    <t xml:space="preserve">013300721a@uandina.edu.pe</t>
  </si>
  <si>
    <t xml:space="preserve">952403441</t>
  </si>
  <si>
    <t xml:space="preserve">016101123D</t>
  </si>
  <si>
    <t xml:space="preserve">ORTIZ DE ZEVALLOS CARDENAS YOYA GABRIELA</t>
  </si>
  <si>
    <t xml:space="preserve">016101123d@uandina.edu.pe</t>
  </si>
  <si>
    <t xml:space="preserve">960051711</t>
  </si>
  <si>
    <t xml:space="preserve">Declaró prepararse y nombró 'GOLD MEDICAL': verificar si trabaja allí</t>
  </si>
  <si>
    <t xml:space="preserve">015200735I</t>
  </si>
  <si>
    <t xml:space="preserve">ORTIZ TAPIA DAFNA MILENKA</t>
  </si>
  <si>
    <t xml:space="preserve">mile_ot@hotmail.com</t>
  </si>
  <si>
    <t xml:space="preserve">982002923</t>
  </si>
  <si>
    <t xml:space="preserve">015100429C</t>
  </si>
  <si>
    <t xml:space="preserve">PACHECO VARGAS ALESSANDRA LEYLA</t>
  </si>
  <si>
    <t xml:space="preserve">aleyla_123@hotmail.com</t>
  </si>
  <si>
    <t xml:space="preserve">986223607</t>
  </si>
  <si>
    <t xml:space="preserve">013100775K</t>
  </si>
  <si>
    <t xml:space="preserve">PALIZA SEQUEIROS HANS MENDEL</t>
  </si>
  <si>
    <t xml:space="preserve">hanster-10@hotmail.com</t>
  </si>
  <si>
    <t xml:space="preserve">913458881</t>
  </si>
  <si>
    <t xml:space="preserve">017201238G</t>
  </si>
  <si>
    <t xml:space="preserve">PALOMINO PALOMINO NIKOL MICHELLE</t>
  </si>
  <si>
    <t xml:space="preserve">nikolpalomino94@gmail.com</t>
  </si>
  <si>
    <t xml:space="preserve">925858205</t>
  </si>
  <si>
    <t xml:space="preserve">015200757B</t>
  </si>
  <si>
    <t xml:space="preserve">PANIURA SAUÑE ALEXIS AUGUSTO</t>
  </si>
  <si>
    <t xml:space="preserve">alexis.16.280@gmail.com</t>
  </si>
  <si>
    <t xml:space="preserve">988664457</t>
  </si>
  <si>
    <t xml:space="preserve">016101162J</t>
  </si>
  <si>
    <t xml:space="preserve">PANIURA VARGAS GONZALO RENATO</t>
  </si>
  <si>
    <t xml:space="preserve">gonzaxp_bad99@hotmail.com</t>
  </si>
  <si>
    <t xml:space="preserve">956289848</t>
  </si>
  <si>
    <t xml:space="preserve">015300719E</t>
  </si>
  <si>
    <t xml:space="preserve">PAPA GARCIA AARON MARCELO</t>
  </si>
  <si>
    <t xml:space="preserve">chelito.aaron@gmail.com</t>
  </si>
  <si>
    <t xml:space="preserve">990223339</t>
  </si>
  <si>
    <t xml:space="preserve">017100514I</t>
  </si>
  <si>
    <t xml:space="preserve">PAREJA GUEVARA KATERIN CRISTEL</t>
  </si>
  <si>
    <t xml:space="preserve">017100514i@uac.edu.pe</t>
  </si>
  <si>
    <t xml:space="preserve">943578874</t>
  </si>
  <si>
    <t xml:space="preserve">017100523H</t>
  </si>
  <si>
    <t xml:space="preserve">PEÑALOZA CARDENAS JUAN JOSEPH</t>
  </si>
  <si>
    <t xml:space="preserve">josephcardenas199@hotmail.com</t>
  </si>
  <si>
    <t xml:space="preserve">974740462</t>
  </si>
  <si>
    <t xml:space="preserve">015300741K</t>
  </si>
  <si>
    <t xml:space="preserve">PILARES ROQUE LUISA SHIRLEY</t>
  </si>
  <si>
    <t xml:space="preserve">shirleypilares@gmail.com</t>
  </si>
  <si>
    <t xml:space="preserve">984252117</t>
  </si>
  <si>
    <t xml:space="preserve">Postulante SERUMS 2026-II (CUSCO): nota 13.4, orden de mérito 155</t>
  </si>
  <si>
    <t xml:space="preserve">014200953G</t>
  </si>
  <si>
    <t xml:space="preserve">PILLACA ACUÑA ANAID JIOSHIRA</t>
  </si>
  <si>
    <t xml:space="preserve">anaidpillacaacuna@gmail.com</t>
  </si>
  <si>
    <t xml:space="preserve">995976488</t>
  </si>
  <si>
    <t xml:space="preserve">Postulante SERUMS 2026-II (CUSCO): nota 14, orden de mérito 117</t>
  </si>
  <si>
    <t xml:space="preserve">016101796I</t>
  </si>
  <si>
    <t xml:space="preserve">POBLETE ECHEVARRIA ALEXANDRA MILAGROS</t>
  </si>
  <si>
    <t xml:space="preserve">nunchi2621@gmail.com</t>
  </si>
  <si>
    <t xml:space="preserve">966315184</t>
  </si>
  <si>
    <t xml:space="preserve">017101498G</t>
  </si>
  <si>
    <t xml:space="preserve">PUMA ALVAREZ MARY ALEJANDRA</t>
  </si>
  <si>
    <t xml:space="preserve">mary-ale44@hotmail.com</t>
  </si>
  <si>
    <t xml:space="preserve">984030086</t>
  </si>
  <si>
    <t xml:space="preserve">EMP-037</t>
  </si>
  <si>
    <t xml:space="preserve">En curso – Puesto de Salud Pampamarca</t>
  </si>
  <si>
    <t xml:space="preserve">017101507F</t>
  </si>
  <si>
    <t xml:space="preserve">PUMACAYO VARGAS MILAGROS</t>
  </si>
  <si>
    <t xml:space="preserve">017101507f@uandina.edu.pe</t>
  </si>
  <si>
    <t xml:space="preserve">983001573</t>
  </si>
  <si>
    <t xml:space="preserve">015300768F</t>
  </si>
  <si>
    <t xml:space="preserve">QUECHO MORALES LUZ ANGELA</t>
  </si>
  <si>
    <t xml:space="preserve">luuuuciernaga@gmail.com</t>
  </si>
  <si>
    <t xml:space="preserve">997480630</t>
  </si>
  <si>
    <t xml:space="preserve">016200940K</t>
  </si>
  <si>
    <t xml:space="preserve">QUINTANA COLOMA ENRIQUE JERALD</t>
  </si>
  <si>
    <t xml:space="preserve">geral123_159@hotmail.com</t>
  </si>
  <si>
    <t xml:space="preserve">929526350</t>
  </si>
  <si>
    <t xml:space="preserve">016200942C</t>
  </si>
  <si>
    <t xml:space="preserve">QUINTANILLA BERRIOS ANA GABRIELA</t>
  </si>
  <si>
    <t xml:space="preserve">gaby_111_anis@hotmail.com</t>
  </si>
  <si>
    <t xml:space="preserve">962326567</t>
  </si>
  <si>
    <t xml:space="preserve">017100557J</t>
  </si>
  <si>
    <t xml:space="preserve">QUIROZ CUTIPA RUBEN JOAQUIN</t>
  </si>
  <si>
    <t xml:space="preserve">ruben1603.sp@gmail.com</t>
  </si>
  <si>
    <t xml:space="preserve">974545207</t>
  </si>
  <si>
    <t xml:space="preserve">Postulante SERUMS 2026-II (CUSCO): nota 14.6, orden de mérito 77</t>
  </si>
  <si>
    <t xml:space="preserve">017100566I</t>
  </si>
  <si>
    <t xml:space="preserve">QUISPE CONDORI KATIA ROXANA</t>
  </si>
  <si>
    <t xml:space="preserve">katia.dccp@gmail.com</t>
  </si>
  <si>
    <t xml:space="preserve">973198204</t>
  </si>
  <si>
    <t xml:space="preserve">017100567E</t>
  </si>
  <si>
    <t xml:space="preserve">QUISPE FLORES KATERIN SAYURI</t>
  </si>
  <si>
    <t xml:space="preserve">017100567e@uandina.edu.pe</t>
  </si>
  <si>
    <t xml:space="preserve">948085842</t>
  </si>
  <si>
    <t xml:space="preserve">Postulante SERUMS 2026-II (CUSCO): nota 13.2, orden de mérito 163</t>
  </si>
  <si>
    <t xml:space="preserve">016101304I</t>
  </si>
  <si>
    <t xml:space="preserve">QUISPE HUILLCA ALEXANDRA</t>
  </si>
  <si>
    <t xml:space="preserve">huillcaalexandraquispe54@gmail.com</t>
  </si>
  <si>
    <t xml:space="preserve">951714240</t>
  </si>
  <si>
    <t xml:space="preserve">015200861D</t>
  </si>
  <si>
    <t xml:space="preserve">QUISPE PALOMINO STEPHANIE IVANKA</t>
  </si>
  <si>
    <t xml:space="preserve">stephanieivanka16@hotmail.com</t>
  </si>
  <si>
    <t xml:space="preserve">987454768</t>
  </si>
  <si>
    <t xml:space="preserve">016101317C</t>
  </si>
  <si>
    <t xml:space="preserve">QUISPE PAZO FLOR ANAIS</t>
  </si>
  <si>
    <t xml:space="preserve">flor07.99anais@gmail.com</t>
  </si>
  <si>
    <t xml:space="preserve">958222482</t>
  </si>
  <si>
    <t xml:space="preserve">017201359I</t>
  </si>
  <si>
    <t xml:space="preserve">QUISPE SANTA CRUZ CARLOS EDUARDO</t>
  </si>
  <si>
    <t xml:space="preserve">carlose_10@hotmail.es</t>
  </si>
  <si>
    <t xml:space="preserve">997901317</t>
  </si>
  <si>
    <t xml:space="preserve">017101552A</t>
  </si>
  <si>
    <t xml:space="preserve">QUISPE TTITO RUTH KARINA</t>
  </si>
  <si>
    <t xml:space="preserve">ruthkarinaquispettito@gmail.com</t>
  </si>
  <si>
    <t xml:space="preserve">974502113</t>
  </si>
  <si>
    <t xml:space="preserve">017201366E</t>
  </si>
  <si>
    <t xml:space="preserve">QUISPE VERA GREGORY NOEL</t>
  </si>
  <si>
    <t xml:space="preserve">gregorigregori805@yahoo.com</t>
  </si>
  <si>
    <t xml:space="preserve">989146107</t>
  </si>
  <si>
    <t xml:space="preserve">016200998I</t>
  </si>
  <si>
    <t xml:space="preserve">RAMIREZ MOINA ROCIO</t>
  </si>
  <si>
    <t xml:space="preserve">rramirezmoina@gmail.com</t>
  </si>
  <si>
    <t xml:space="preserve">979858599</t>
  </si>
  <si>
    <t xml:space="preserve">Postulante SERUMS 2026-II (CUSCO): nota 13.8, orden de mérito 130</t>
  </si>
  <si>
    <t xml:space="preserve">014200961J</t>
  </si>
  <si>
    <t xml:space="preserve">RAMOS CORNEJO CRISTELL MILAGROS</t>
  </si>
  <si>
    <t xml:space="preserve">cristell.ramos@hotmail.com</t>
  </si>
  <si>
    <t xml:space="preserve">963858887</t>
  </si>
  <si>
    <t xml:space="preserve">012200765H</t>
  </si>
  <si>
    <t xml:space="preserve">RAMOS CORNEJO JIMMY JHONATHAN</t>
  </si>
  <si>
    <t xml:space="preserve">jimmy_2421@hotmail.com</t>
  </si>
  <si>
    <t xml:space="preserve">984126726</t>
  </si>
  <si>
    <t xml:space="preserve">014200962F</t>
  </si>
  <si>
    <t xml:space="preserve">RAMOS ROBLES ARIS ANDREA</t>
  </si>
  <si>
    <t xml:space="preserve">014200962f@uandina.edu.pe</t>
  </si>
  <si>
    <t xml:space="preserve">984869786</t>
  </si>
  <si>
    <t xml:space="preserve">Respondió que trabaja pero está en búsqueda laboral: verificar</t>
  </si>
  <si>
    <t xml:space="preserve">017201388I</t>
  </si>
  <si>
    <t xml:space="preserve">RIOS JUAREZ ERICK SELWYN</t>
  </si>
  <si>
    <t xml:space="preserve">erick_sh01@hotmail.com</t>
  </si>
  <si>
    <t xml:space="preserve">944602740</t>
  </si>
  <si>
    <t xml:space="preserve">015200895F</t>
  </si>
  <si>
    <t xml:space="preserve">RIOS MENDEZ ERICSSON EDUARDO</t>
  </si>
  <si>
    <t xml:space="preserve">ericssoned@hotmail.com</t>
  </si>
  <si>
    <t xml:space="preserve">992142049</t>
  </si>
  <si>
    <t xml:space="preserve">017100599D</t>
  </si>
  <si>
    <t xml:space="preserve">RIVAS SILVERA MIA MALU</t>
  </si>
  <si>
    <t xml:space="preserve">rivassilvera18@gmail.com</t>
  </si>
  <si>
    <t xml:space="preserve">941471431</t>
  </si>
  <si>
    <t xml:space="preserve">Postulante SERUMS 2026-II (APURIMAC): nota 14, orden de mérito 18</t>
  </si>
  <si>
    <t xml:space="preserve">011300755E</t>
  </si>
  <si>
    <t xml:space="preserve">RIVEROS ROMERO DANERY JUNE</t>
  </si>
  <si>
    <t xml:space="preserve">dane_cisa@hotmail.com</t>
  </si>
  <si>
    <t xml:space="preserve">962377707</t>
  </si>
  <si>
    <t xml:space="preserve">Postulante SERUMS 2026-II (CUSCO): No se presentó</t>
  </si>
  <si>
    <t xml:space="preserve">013300012K</t>
  </si>
  <si>
    <t xml:space="preserve">RODRIGUEZ CAMINO SHANY NOELI</t>
  </si>
  <si>
    <t xml:space="preserve">SHAUNI_12263@HOTMAIL.COM</t>
  </si>
  <si>
    <t xml:space="preserve">950719559</t>
  </si>
  <si>
    <t xml:space="preserve">017201409F</t>
  </si>
  <si>
    <t xml:space="preserve">RODRIGUEZ SEQUEIROS RANDAL BRIAN</t>
  </si>
  <si>
    <t xml:space="preserve">randy.rs.rrs@gmail.com</t>
  </si>
  <si>
    <t xml:space="preserve">983246842</t>
  </si>
  <si>
    <t xml:space="preserve">017100618I</t>
  </si>
  <si>
    <t xml:space="preserve">SALAS VILLENA YNGRID MANUELA</t>
  </si>
  <si>
    <t xml:space="preserve">ymsv159@gmail.com</t>
  </si>
  <si>
    <t xml:space="preserve">980531661</t>
  </si>
  <si>
    <t xml:space="preserve">017100620C</t>
  </si>
  <si>
    <t xml:space="preserve">SALAZAR RIVERA ASHLLY GRACE</t>
  </si>
  <si>
    <t xml:space="preserve">ashllysalazar2000@gmail.com</t>
  </si>
  <si>
    <t xml:space="preserve">985097237</t>
  </si>
  <si>
    <t xml:space="preserve">Rocchacc/Apurimac</t>
  </si>
  <si>
    <t xml:space="preserve">Médico</t>
  </si>
  <si>
    <t xml:space="preserve">EMP-039</t>
  </si>
  <si>
    <t xml:space="preserve">En curso o realizado – 01/10/25 - Rocchacc</t>
  </si>
  <si>
    <t xml:space="preserve">018101415C</t>
  </si>
  <si>
    <t xml:space="preserve">SALAZAR VIVANCO GABRIELA</t>
  </si>
  <si>
    <t xml:space="preserve">salazarg871@gmail.com</t>
  </si>
  <si>
    <t xml:space="preserve">984014145</t>
  </si>
  <si>
    <t xml:space="preserve">015300873D</t>
  </si>
  <si>
    <t xml:space="preserve">SALHUA COAQUIRA JEKIUN DAYANE</t>
  </si>
  <si>
    <t xml:space="preserve">015300873d@uandina.edu.pe</t>
  </si>
  <si>
    <t xml:space="preserve">928686150</t>
  </si>
  <si>
    <t xml:space="preserve">014200002B</t>
  </si>
  <si>
    <t xml:space="preserve">SANCHEZ FLORES SADALI</t>
  </si>
  <si>
    <t xml:space="preserve">sadaa2606@gmail.com</t>
  </si>
  <si>
    <t xml:space="preserve">957228929</t>
  </si>
  <si>
    <t xml:space="preserve">Postulante SERUMS 2026-II (CUSCO): nota 13, orden de mérito 182</t>
  </si>
  <si>
    <t xml:space="preserve">014200965E</t>
  </si>
  <si>
    <t xml:space="preserve">SANCHEZ PAREDES DANIELA</t>
  </si>
  <si>
    <t xml:space="preserve">danisanchez456@gmail.com</t>
  </si>
  <si>
    <t xml:space="preserve">993036174</t>
  </si>
  <si>
    <t xml:space="preserve">015201252A</t>
  </si>
  <si>
    <t xml:space="preserve">SANTOS MORIANO JAVIER EDUARDO</t>
  </si>
  <si>
    <t xml:space="preserve">jesamo9@hotmail.com</t>
  </si>
  <si>
    <t xml:space="preserve">941002358</t>
  </si>
  <si>
    <t xml:space="preserve">018101446F</t>
  </si>
  <si>
    <t xml:space="preserve">SEGOVIA LOYOLA MILAGROS BEATRIZ</t>
  </si>
  <si>
    <t xml:space="preserve">mili.21.02.2001@gmail.com</t>
  </si>
  <si>
    <t xml:space="preserve">943046518</t>
  </si>
  <si>
    <t xml:space="preserve">017100636G</t>
  </si>
  <si>
    <t xml:space="preserve">SEGOVIA MIRANDA ELENA ALEXANDRA</t>
  </si>
  <si>
    <t xml:space="preserve">992956578</t>
  </si>
  <si>
    <t xml:space="preserve">013300727J</t>
  </si>
  <si>
    <t xml:space="preserve">SERRANO TTITO XIOMARA EMMA MADELEYNE</t>
  </si>
  <si>
    <t xml:space="preserve">xio-2122@hotmail.com</t>
  </si>
  <si>
    <t xml:space="preserve">984182734</t>
  </si>
  <si>
    <t xml:space="preserve">016101506K</t>
  </si>
  <si>
    <t xml:space="preserve">SILVA ATAULLUCO SHARON PAOLA</t>
  </si>
  <si>
    <t xml:space="preserve">sharonpaolasilvaataulluco@gmail.com</t>
  </si>
  <si>
    <t xml:space="preserve">913012736</t>
  </si>
  <si>
    <t xml:space="preserve">016101512K</t>
  </si>
  <si>
    <t xml:space="preserve">SOLIS LLAVILLA LISSETH</t>
  </si>
  <si>
    <t xml:space="preserve">lis_98_8@hotmail.com</t>
  </si>
  <si>
    <t xml:space="preserve">965281524</t>
  </si>
  <si>
    <t xml:space="preserve">015101022D</t>
  </si>
  <si>
    <t xml:space="preserve">SOTO DIAZ GABRIELADRIANA</t>
  </si>
  <si>
    <t xml:space="preserve">S-ZKE-2013@HOTMAIL.COM</t>
  </si>
  <si>
    <t xml:space="preserve">991462612</t>
  </si>
  <si>
    <t xml:space="preserve">018101497J</t>
  </si>
  <si>
    <t xml:space="preserve">TAGLE VEGA URIEL MAURICIO</t>
  </si>
  <si>
    <t xml:space="preserve">utaglevega@gmail.com</t>
  </si>
  <si>
    <t xml:space="preserve">920029208</t>
  </si>
  <si>
    <t xml:space="preserve">012101009K</t>
  </si>
  <si>
    <t xml:space="preserve">TERAN PAIVA ALONSO BRIAN ALEXANDER</t>
  </si>
  <si>
    <t xml:space="preserve">013101009k@uandina.edu.pe</t>
  </si>
  <si>
    <t xml:space="preserve">971817520</t>
  </si>
  <si>
    <t xml:space="preserve">015201020C</t>
  </si>
  <si>
    <t xml:space="preserve">TISOC HERRERA YUBETSY MELISSA</t>
  </si>
  <si>
    <t xml:space="preserve">yubetsy_23@hotmail.com</t>
  </si>
  <si>
    <t xml:space="preserve">943722740</t>
  </si>
  <si>
    <t xml:space="preserve">016201150C</t>
  </si>
  <si>
    <t xml:space="preserve">TORRES GUZMAN CARLOS</t>
  </si>
  <si>
    <t xml:space="preserve">carlosfernandot74@gmail.com</t>
  </si>
  <si>
    <t xml:space="preserve">974558438</t>
  </si>
  <si>
    <t xml:space="preserve">Postulante SERUMS 2026-II (APURIMAC): nota 15.2, orden de mérito 9</t>
  </si>
  <si>
    <t xml:space="preserve">017201550K</t>
  </si>
  <si>
    <t xml:space="preserve">TRELLES TRELLES ETHEL SOLANGE</t>
  </si>
  <si>
    <t xml:space="preserve">017201550k@uandina.edu.pe</t>
  </si>
  <si>
    <t xml:space="preserve">927133721</t>
  </si>
  <si>
    <t xml:space="preserve">016101812D</t>
  </si>
  <si>
    <t xml:space="preserve">TRUJILLO MAYORGA JUAN DIEGO</t>
  </si>
  <si>
    <t xml:space="preserve">016101812D@uandina.edu.pe</t>
  </si>
  <si>
    <t xml:space="preserve">992723585</t>
  </si>
  <si>
    <t xml:space="preserve">017101698F</t>
  </si>
  <si>
    <t xml:space="preserve">TUCO MORENO JOSHELLYN CECILIA</t>
  </si>
  <si>
    <t xml:space="preserve">jctuco17@gmail.com</t>
  </si>
  <si>
    <t xml:space="preserve">970970313</t>
  </si>
  <si>
    <t xml:space="preserve">013200755A</t>
  </si>
  <si>
    <t xml:space="preserve">TUMPE AYALA WILBERT ALEX</t>
  </si>
  <si>
    <t xml:space="preserve">ALEXTUMPE96@GMAIL.COM</t>
  </si>
  <si>
    <t xml:space="preserve">962720745</t>
  </si>
  <si>
    <t xml:space="preserve">016201172G</t>
  </si>
  <si>
    <t xml:space="preserve">TUNQUI GARCIA ESTIVEN ELBER</t>
  </si>
  <si>
    <t xml:space="preserve">estiven_tp@hotmail.com</t>
  </si>
  <si>
    <t xml:space="preserve">989324035</t>
  </si>
  <si>
    <t xml:space="preserve">Postulante SERUMS 2026-II (CUSCO): nota 11, orden de mérito 249</t>
  </si>
  <si>
    <t xml:space="preserve">017100691H</t>
  </si>
  <si>
    <t xml:space="preserve">UMERES OMONTE GABRIELA VERIOUSKA</t>
  </si>
  <si>
    <t xml:space="preserve">veriouska@hotmail.com</t>
  </si>
  <si>
    <t xml:space="preserve">952240119</t>
  </si>
  <si>
    <t xml:space="preserve">Postulante SERUMS 2026-II (CUSCO): nota 14.2, orden de mérito 107</t>
  </si>
  <si>
    <t xml:space="preserve">011300765K</t>
  </si>
  <si>
    <t xml:space="preserve">URQUIZO CALLATA PAOLA YBET DEL CARMEN</t>
  </si>
  <si>
    <t xml:space="preserve">pahola_quizoca@hotmail.com</t>
  </si>
  <si>
    <t xml:space="preserve">969356757</t>
  </si>
  <si>
    <t xml:space="preserve">013100784J</t>
  </si>
  <si>
    <t xml:space="preserve">VALENZUELA MUJICA ALICIA</t>
  </si>
  <si>
    <t xml:space="preserve">013100784j@uandina.edu.pe</t>
  </si>
  <si>
    <t xml:space="preserve">981623065</t>
  </si>
  <si>
    <t xml:space="preserve">Lugar de trabajo declarado: 02</t>
  </si>
  <si>
    <t xml:space="preserve">Postulante SERUMS 2026-II (CUSCO): nota 15.4, orden de mérito 45</t>
  </si>
  <si>
    <t xml:space="preserve">016201221H</t>
  </si>
  <si>
    <t xml:space="preserve">VASQUEZ CORIMANYA ANDREW GHESU</t>
  </si>
  <si>
    <t xml:space="preserve">016201221H@uandina.edu.pe</t>
  </si>
  <si>
    <t xml:space="preserve">935499015</t>
  </si>
  <si>
    <t xml:space="preserve">Postulante SERUMS 2026-II (APURIMAC): nota 13.6, orden de mérito 28</t>
  </si>
  <si>
    <t xml:space="preserve">015201100G</t>
  </si>
  <si>
    <t xml:space="preserve">VEGA VALDEZ GABRIEL ALEJANDRO</t>
  </si>
  <si>
    <t xml:space="preserve">gabriel_1_9_9_8@hotmail.com</t>
  </si>
  <si>
    <t xml:space="preserve">920699983</t>
  </si>
  <si>
    <t xml:space="preserve">017201624D</t>
  </si>
  <si>
    <t xml:space="preserve">VERA SEGOVIA DZHAMILA MARICELA</t>
  </si>
  <si>
    <t xml:space="preserve">killa_2298@hotmail.com</t>
  </si>
  <si>
    <t xml:space="preserve">944270028</t>
  </si>
  <si>
    <t xml:space="preserve">017100741E</t>
  </si>
  <si>
    <t xml:space="preserve">VIRTO FARFAN CARLOS HESED</t>
  </si>
  <si>
    <t xml:space="preserve">hesedvirto@gmail.com</t>
  </si>
  <si>
    <t xml:space="preserve">984410334</t>
  </si>
  <si>
    <t xml:space="preserve">017201651A</t>
  </si>
  <si>
    <t xml:space="preserve">YABAR VENEGAS VALERIA SALOME</t>
  </si>
  <si>
    <t xml:space="preserve">017201651a@uandina.edu.pe</t>
  </si>
  <si>
    <t xml:space="preserve">954440418</t>
  </si>
  <si>
    <t xml:space="preserve">016101815C</t>
  </si>
  <si>
    <t xml:space="preserve">YEPEZ MEDINA ALEXANDER NICOLAS</t>
  </si>
  <si>
    <t xml:space="preserve">frealbean_y_m@hotmail.com</t>
  </si>
  <si>
    <t xml:space="preserve">972441668</t>
  </si>
  <si>
    <t xml:space="preserve">Postulante SERUMS 2026-II (CUSCO): nota 14.6, orden de mérito 81</t>
  </si>
  <si>
    <t xml:space="preserve">017100753C</t>
  </si>
  <si>
    <t xml:space="preserve">YUCRA JARA GREDY CAROLINE</t>
  </si>
  <si>
    <t xml:space="preserve">carolineyuja@gmail.com</t>
  </si>
  <si>
    <t xml:space="preserve">974674633</t>
  </si>
  <si>
    <t xml:space="preserve">016101854I</t>
  </si>
  <si>
    <t xml:space="preserve">ZANABRIA AGUILAR PAMELA DENISE</t>
  </si>
  <si>
    <t xml:space="preserve">pame_denis15@hotmail.com</t>
  </si>
  <si>
    <t xml:space="preserve">993793002</t>
  </si>
  <si>
    <t xml:space="preserve">011300771K</t>
  </si>
  <si>
    <t xml:space="preserve">ZEGARRA CAMPANA MIGUEL ANGEL</t>
  </si>
  <si>
    <t xml:space="preserve">011300771K@UANDINA.EDU.PE</t>
  </si>
  <si>
    <t xml:space="preserve">931687354</t>
  </si>
  <si>
    <t xml:space="preserve">Postulante SERUMS 2026-II (APURIMAC): nota 11.2, orden de mérito 53</t>
  </si>
  <si>
    <t xml:space="preserve">016201287I</t>
  </si>
  <si>
    <t xml:space="preserve">ZEGARRA PEREZ YSABEL MILAGROS</t>
  </si>
  <si>
    <t xml:space="preserve">mzegarra@uandina.edu.pe</t>
  </si>
  <si>
    <t xml:space="preserve">980715543</t>
  </si>
  <si>
    <t xml:space="preserve">017201689I</t>
  </si>
  <si>
    <t xml:space="preserve">ZUTA HURTADO MARIAFE DANIELA</t>
  </si>
  <si>
    <t xml:space="preserve">mdanizutah@gmail.com</t>
  </si>
  <si>
    <t xml:space="preserve">941411894</t>
  </si>
  <si>
    <t xml:space="preserve">017100770E</t>
  </si>
  <si>
    <t xml:space="preserve">AGÜERO MOLLINEDO MILAGROS VICTORIA</t>
  </si>
  <si>
    <t xml:space="preserve">a.m_52@hotmail.com</t>
  </si>
  <si>
    <t xml:space="preserve">997962819</t>
  </si>
  <si>
    <t xml:space="preserve">Postulante SERUMS 2026-II (CUSCO): nota 11.2, orden de mérito 236</t>
  </si>
  <si>
    <t xml:space="preserve">015300034B</t>
  </si>
  <si>
    <t xml:space="preserve">ALIAGA PACHECO DIEGO OSWALDO</t>
  </si>
  <si>
    <t xml:space="preserve">weedfresch@hotmail.com</t>
  </si>
  <si>
    <t xml:space="preserve">916165328</t>
  </si>
  <si>
    <t xml:space="preserve">Postulante SERUMS 2026-II (CUSCO): nota 13, orden de mérito 171</t>
  </si>
  <si>
    <t xml:space="preserve">013100767H</t>
  </si>
  <si>
    <t xml:space="preserve">ARANGO VASQUEZ OBED NAHUM</t>
  </si>
  <si>
    <t xml:space="preserve">nik_504@hotmail.com</t>
  </si>
  <si>
    <t xml:space="preserve">986850276</t>
  </si>
  <si>
    <t xml:space="preserve">017100823A</t>
  </si>
  <si>
    <t xml:space="preserve">ARDILES CCOSI JONATHAN WILLIAMS</t>
  </si>
  <si>
    <t xml:space="preserve">017100823a@uandina.edu.pe</t>
  </si>
  <si>
    <t xml:space="preserve">984556155</t>
  </si>
  <si>
    <t xml:space="preserve">-</t>
  </si>
  <si>
    <t xml:space="preserve">Postulante SERUMS 2026-II (CUSCO): nota 15.6, orden de mérito 33</t>
  </si>
  <si>
    <t xml:space="preserve">017200480I</t>
  </si>
  <si>
    <t xml:space="preserve">ARREDONDO SORIA AMARU YUYASKANI</t>
  </si>
  <si>
    <t xml:space="preserve">017200480i@uandina.edu.pe</t>
  </si>
  <si>
    <t xml:space="preserve">926796643</t>
  </si>
  <si>
    <t xml:space="preserve">Postulante SERUMS 2026-II (CUSCO): nota 16, orden de mérito 17</t>
  </si>
  <si>
    <t xml:space="preserve">015200081I</t>
  </si>
  <si>
    <t xml:space="preserve">ARREGUI FUENTES VALERIA ANTONIA</t>
  </si>
  <si>
    <t xml:space="preserve">015200081i@uandina.edu.pe</t>
  </si>
  <si>
    <t xml:space="preserve">994735539</t>
  </si>
  <si>
    <t xml:space="preserve">Postulante SERUMS 2026-II (CUSCO): nota 15.2, orden de mérito 46</t>
  </si>
  <si>
    <t xml:space="preserve">Encuesta primera de egreso; Resultados SERUMS 2026-II</t>
  </si>
  <si>
    <t xml:space="preserve">014200920A</t>
  </si>
  <si>
    <t xml:space="preserve">ATAU GONZALES PAUL</t>
  </si>
  <si>
    <t xml:space="preserve">cosmo-88@hotmail.com</t>
  </si>
  <si>
    <t xml:space="preserve">958356502</t>
  </si>
  <si>
    <t xml:space="preserve">Postulante SERUMS 2026-II (CUSCO): nota 12.8, orden de mérito 184</t>
  </si>
  <si>
    <t xml:space="preserve">015200101J</t>
  </si>
  <si>
    <t xml:space="preserve">AYQUIPA ORTEGA NICHOL ARACELY</t>
  </si>
  <si>
    <t xml:space="preserve">015200101j@uandina.edu.pe</t>
  </si>
  <si>
    <t xml:space="preserve">983929090</t>
  </si>
  <si>
    <t xml:space="preserve">Postulante SERUMS 2026-II (CUSCO): nota 10.4, orden de mérito 259</t>
  </si>
  <si>
    <t xml:space="preserve">018200419G</t>
  </si>
  <si>
    <t xml:space="preserve">BARRERA ZAVALA CHRYSTEL JOSCELLYN PIERINA</t>
  </si>
  <si>
    <t xml:space="preserve">barreracristel@gmail.com</t>
  </si>
  <si>
    <t xml:space="preserve">949643017</t>
  </si>
  <si>
    <t xml:space="preserve">015300123E</t>
  </si>
  <si>
    <t xml:space="preserve">BECERRA MANOTUPA RAYMI CRIS</t>
  </si>
  <si>
    <t xml:space="preserve">raymi_1024@hotmail.com</t>
  </si>
  <si>
    <t xml:space="preserve">999180020</t>
  </si>
  <si>
    <t xml:space="preserve">Postulante SERUMS 2026-II (CUSCO): nota 15, orden de mérito 52</t>
  </si>
  <si>
    <t xml:space="preserve">017100874E</t>
  </si>
  <si>
    <t xml:space="preserve">BLANCO JAIMES GABRIELA GUADALUPE</t>
  </si>
  <si>
    <t xml:space="preserve">gabbyjaimes56@gmail.com</t>
  </si>
  <si>
    <t xml:space="preserve">978645504</t>
  </si>
  <si>
    <t xml:space="preserve">No realizado (nov.-dic. 2025)</t>
  </si>
  <si>
    <t xml:space="preserve">I Encuentro de Egresados; Encuesta primera de egreso</t>
  </si>
  <si>
    <t xml:space="preserve">016201330A</t>
  </si>
  <si>
    <t xml:space="preserve">BUSTINZA APAZA MILAGROS HILARY</t>
  </si>
  <si>
    <t xml:space="preserve">mhbustinzaapaza@gmail.com</t>
  </si>
  <si>
    <t xml:space="preserve">926599184</t>
  </si>
  <si>
    <t xml:space="preserve">Encuesta primera de egreso</t>
  </si>
  <si>
    <t xml:space="preserve">017200558H</t>
  </si>
  <si>
    <t xml:space="preserve">CACERES VILLCAS KATHERINE LIZBETH</t>
  </si>
  <si>
    <t xml:space="preserve">kcaceresvillcas@gmail.com</t>
  </si>
  <si>
    <t xml:space="preserve">924312105</t>
  </si>
  <si>
    <t xml:space="preserve">Postulante SERUMS 2026-II (LIMA SUR): nota 15.6, orden de mérito 25</t>
  </si>
  <si>
    <t xml:space="preserve">015300824C</t>
  </si>
  <si>
    <t xml:space="preserve">CARBAJAL JUSTO KAROL SOLANGE</t>
  </si>
  <si>
    <t xml:space="preserve">karito_10_1998@hotmail.com</t>
  </si>
  <si>
    <t xml:space="preserve">987098736</t>
  </si>
  <si>
    <t xml:space="preserve">017200603C</t>
  </si>
  <si>
    <t xml:space="preserve">CARRASCO GUERRA JUAN FRANCISCO</t>
  </si>
  <si>
    <t xml:space="preserve">elcurromax123@gmail.com</t>
  </si>
  <si>
    <t xml:space="preserve">933713063</t>
  </si>
  <si>
    <t xml:space="preserve">Postulante SERUMS 2026-II (CUSCO): nota 12.2, orden de mérito 207</t>
  </si>
  <si>
    <t xml:space="preserve">014200925C</t>
  </si>
  <si>
    <t xml:space="preserve">CARRION ASCARZA MIRKA DANIELA</t>
  </si>
  <si>
    <t xml:space="preserve">mirkadca12@gmail.com</t>
  </si>
  <si>
    <t xml:space="preserve">946778942</t>
  </si>
  <si>
    <t xml:space="preserve">Postulante SERUMS 2026-II (APURIMAC): nota 15.2, orden de mérito 7</t>
  </si>
  <si>
    <t xml:space="preserve">018100387F</t>
  </si>
  <si>
    <t xml:space="preserve">CASTILLO HERENCIA ANGELIQUE NICOLE</t>
  </si>
  <si>
    <t xml:space="preserve">nicole2001.nch@gmail.com</t>
  </si>
  <si>
    <t xml:space="preserve">997574732</t>
  </si>
  <si>
    <t xml:space="preserve">Postulante SERUMS 2026-II (CUSCO): nota 14, orden de mérito 111</t>
  </si>
  <si>
    <t xml:space="preserve">016100350G</t>
  </si>
  <si>
    <t xml:space="preserve">CAVIEDES PALOMINO DIEGO RODRIGO</t>
  </si>
  <si>
    <t xml:space="preserve">rodrigo.caviedes.drcp@gmail.com</t>
  </si>
  <si>
    <t xml:space="preserve">928348884</t>
  </si>
  <si>
    <t xml:space="preserve">013100752K</t>
  </si>
  <si>
    <t xml:space="preserve">CCORAHUA AGRAMONTE LADY DANITZA</t>
  </si>
  <si>
    <t xml:space="preserve">ladyccorahuaagramonte@gmail.com</t>
  </si>
  <si>
    <t xml:space="preserve">989804481</t>
  </si>
  <si>
    <t xml:space="preserve">Declaró prepararse y nombró 'Clinica': verificar si trabaja allí</t>
  </si>
  <si>
    <t xml:space="preserve">Postulante SERUMS 2026-II (CUSCO): nota 13.8, orden de mérito 122</t>
  </si>
  <si>
    <t xml:space="preserve">Encuesta egresados 2024-2025; I Encuentro de Egresados; Encuesta primera de egreso; Resultados SERUMS 2026-II</t>
  </si>
  <si>
    <t xml:space="preserve">018200584H</t>
  </si>
  <si>
    <t xml:space="preserve">CHINO PALOMINO MARIELA</t>
  </si>
  <si>
    <t xml:space="preserve">marichi908@gmail.com</t>
  </si>
  <si>
    <t xml:space="preserve">987685575</t>
  </si>
  <si>
    <t xml:space="preserve">015300262E</t>
  </si>
  <si>
    <t xml:space="preserve">COLLADO ARANA ARLETH ABIGAIL</t>
  </si>
  <si>
    <t xml:space="preserve">mj_par98@hotmail.com</t>
  </si>
  <si>
    <t xml:space="preserve">986144369</t>
  </si>
  <si>
    <t xml:space="preserve">Postulante SERUMS 2026-II (APURIMAC): nota 12.6, orden de mérito 37</t>
  </si>
  <si>
    <t xml:space="preserve">016100514J</t>
  </si>
  <si>
    <t xml:space="preserve">DEL CASTILLO PEZO ALEJANDRA DANIELA</t>
  </si>
  <si>
    <t xml:space="preserve">adelcastillopezo@gmail.com</t>
  </si>
  <si>
    <t xml:space="preserve">994176353</t>
  </si>
  <si>
    <t xml:space="preserve">014200936E</t>
  </si>
  <si>
    <t xml:space="preserve">DURAND AUCACUSI EDER</t>
  </si>
  <si>
    <t xml:space="preserve">rederixst@hotmail.com</t>
  </si>
  <si>
    <t xml:space="preserve">973576070</t>
  </si>
  <si>
    <t xml:space="preserve">016100662I</t>
  </si>
  <si>
    <t xml:space="preserve">GIL PALOMINO CARLA MIREYA</t>
  </si>
  <si>
    <t xml:space="preserve">016100672i@uandina.edu.pe</t>
  </si>
  <si>
    <t xml:space="preserve">962750548</t>
  </si>
  <si>
    <t xml:space="preserve">Postulante SERUMS 2026-II (CUSCO): nota 14.8, orden de mérito 65</t>
  </si>
  <si>
    <t xml:space="preserve">018100694F</t>
  </si>
  <si>
    <t xml:space="preserve">GONZALES PEÑA BRIHAM JESUS</t>
  </si>
  <si>
    <t xml:space="preserve">018100694f@uandina.edu.pe</t>
  </si>
  <si>
    <t xml:space="preserve">974795044</t>
  </si>
  <si>
    <t xml:space="preserve">016200571E</t>
  </si>
  <si>
    <t xml:space="preserve">HINOJOSA FERNANDEZ BACA JOSEPH</t>
  </si>
  <si>
    <t xml:space="preserve">j0539h_95@hotmail.com</t>
  </si>
  <si>
    <t xml:space="preserve">993874477</t>
  </si>
  <si>
    <t xml:space="preserve">015200516E</t>
  </si>
  <si>
    <t xml:space="preserve">HUAMANI RAMOS LUIS ENRIQUE</t>
  </si>
  <si>
    <t xml:space="preserve">lui_hr@hotmail.com</t>
  </si>
  <si>
    <t xml:space="preserve">997709809</t>
  </si>
  <si>
    <t xml:space="preserve">Postulante SERUMS 2026-II (CUSCO): nota 10.6, orden de mérito 257</t>
  </si>
  <si>
    <t xml:space="preserve">015100833I</t>
  </si>
  <si>
    <t xml:space="preserve">JANQUI ESQUIVEL LUCERO</t>
  </si>
  <si>
    <t xml:space="preserve">janqui1812@gmail.com</t>
  </si>
  <si>
    <t xml:space="preserve">956422811</t>
  </si>
  <si>
    <t xml:space="preserve">Postulante SERUMS 2026-II (APURIMAC): nota 13, orden de mérito 33</t>
  </si>
  <si>
    <t xml:space="preserve">018200926F</t>
  </si>
  <si>
    <t xml:space="preserve">LA TORRE PUMA GIOVANNA KARLET</t>
  </si>
  <si>
    <t xml:space="preserve">giovannakarlet1008@gmail.com</t>
  </si>
  <si>
    <t xml:space="preserve">940840402</t>
  </si>
  <si>
    <t xml:space="preserve">Postulante SERUMS 2026-II (CUSCO): nota 13.6, orden de mérito 138</t>
  </si>
  <si>
    <t xml:space="preserve">017201006I</t>
  </si>
  <si>
    <t xml:space="preserve">LAUREL PEDRAZA MILAGROS</t>
  </si>
  <si>
    <t xml:space="preserve">mililaupe@gmail.com</t>
  </si>
  <si>
    <t xml:space="preserve">954683537</t>
  </si>
  <si>
    <t xml:space="preserve">Estoy en proceso de búsqueda laboral</t>
  </si>
  <si>
    <t xml:space="preserve">Postulante SERUMS 2026-II (CUSCO): nota 13.2, orden de mérito 161</t>
  </si>
  <si>
    <t xml:space="preserve">014101031D</t>
  </si>
  <si>
    <t xml:space="preserve">MERCADO CRUZ JOAQUIN PAUL</t>
  </si>
  <si>
    <t xml:space="preserve">joaquinpaul96@gmail.com</t>
  </si>
  <si>
    <t xml:space="preserve">982372447</t>
  </si>
  <si>
    <t xml:space="preserve">Postulante SERUMS 2026-II (APURIMAC): nota 12.8, orden de mérito 35</t>
  </si>
  <si>
    <t xml:space="preserve">017100465H</t>
  </si>
  <si>
    <t xml:space="preserve">MORALES MENDOZA JOSE JULIO</t>
  </si>
  <si>
    <t xml:space="preserve">jjuliomm98@gmail.com</t>
  </si>
  <si>
    <t xml:space="preserve">958487582</t>
  </si>
  <si>
    <t xml:space="preserve">Postulante SERUMS 2026-II (CUSCO): nota 12.2, orden de mérito 212</t>
  </si>
  <si>
    <t xml:space="preserve">015101079F</t>
  </si>
  <si>
    <t xml:space="preserve">MUÑOZ CARDENAS JEAN CARLOS</t>
  </si>
  <si>
    <t xml:space="preserve">jeanca-2-0@hotmail.com</t>
  </si>
  <si>
    <t xml:space="preserve">984289202</t>
  </si>
  <si>
    <t xml:space="preserve">Postulante SERUMS 2026-II (CUSCO): nota 12.8, orden de mérito 187</t>
  </si>
  <si>
    <t xml:space="preserve">017201167B</t>
  </si>
  <si>
    <t xml:space="preserve">NINA AYMA EDUARDO GONZALO</t>
  </si>
  <si>
    <t xml:space="preserve">eduninaayma@gmail.com</t>
  </si>
  <si>
    <t xml:space="preserve">969479055</t>
  </si>
  <si>
    <t xml:space="preserve">014200511D</t>
  </si>
  <si>
    <t xml:space="preserve">OLIVERA OJEDA MELANY MILAGROS</t>
  </si>
  <si>
    <t xml:space="preserve">melojeda20@gmail.com</t>
  </si>
  <si>
    <t xml:space="preserve">924035732</t>
  </si>
  <si>
    <t xml:space="preserve">016101137E</t>
  </si>
  <si>
    <t xml:space="preserve">PACORI CALLAÑAUPA RICHARD</t>
  </si>
  <si>
    <t xml:space="preserve">richardmed14@gmail.com</t>
  </si>
  <si>
    <t xml:space="preserve">984790096</t>
  </si>
  <si>
    <t xml:space="preserve">Postulante SERUMS 2026-II (CUSCO): nota 13.6, orden de mérito 140</t>
  </si>
  <si>
    <t xml:space="preserve">016200883G</t>
  </si>
  <si>
    <t xml:space="preserve">PAUCAR AMPUERO SHIRLEY TALYA</t>
  </si>
  <si>
    <t xml:space="preserve">shir_pau@hotmail.com</t>
  </si>
  <si>
    <t xml:space="preserve">930140850</t>
  </si>
  <si>
    <t xml:space="preserve">Postulante SERUMS 2026-II (CUSCO): nota 11.2, orden de mérito 241</t>
  </si>
  <si>
    <t xml:space="preserve">017101474K</t>
  </si>
  <si>
    <t xml:space="preserve">PEREZ SOTOMAYOR ESMERALDA NOHELIA</t>
  </si>
  <si>
    <t xml:space="preserve">noheliaperez123sotomayor@hotmail.com</t>
  </si>
  <si>
    <t xml:space="preserve">932472708</t>
  </si>
  <si>
    <t xml:space="preserve">Postulante SERUMS 2026-II (CUSCO): nota 15.2, orden de mérito 48</t>
  </si>
  <si>
    <t xml:space="preserve">015300738J</t>
  </si>
  <si>
    <t xml:space="preserve">PFUTURE SILVA MIGUEL ANGEL</t>
  </si>
  <si>
    <t xml:space="preserve">Miguelpfuture11@gmail.com</t>
  </si>
  <si>
    <t xml:space="preserve">923487333</t>
  </si>
  <si>
    <t xml:space="preserve">Postulante SERUMS 2026-II (CUSCO): nota 11.8, orden de mérito 227</t>
  </si>
  <si>
    <t xml:space="preserve">016101217I</t>
  </si>
  <si>
    <t xml:space="preserve">PINELO TOMAICONZA ANETH</t>
  </si>
  <si>
    <t xml:space="preserve">anetepinelo@gmail.com</t>
  </si>
  <si>
    <t xml:space="preserve">985874509</t>
  </si>
  <si>
    <t xml:space="preserve">015300750J</t>
  </si>
  <si>
    <t xml:space="preserve">PORTILLA GARRIDO FRANK ERIC</t>
  </si>
  <si>
    <t xml:space="preserve">frankportilla@yahoo.com</t>
  </si>
  <si>
    <t xml:space="preserve">940916476</t>
  </si>
  <si>
    <t xml:space="preserve">018101236A</t>
  </si>
  <si>
    <t xml:space="preserve">PUMA JIMENEZ IVAN</t>
  </si>
  <si>
    <t xml:space="preserve">ivanpumajimenez1@gmail.com</t>
  </si>
  <si>
    <t xml:space="preserve">957526479</t>
  </si>
  <si>
    <t xml:space="preserve">Postulante SERUMS 2026-II (CUSCO): nota 15, orden de mérito 60</t>
  </si>
  <si>
    <t xml:space="preserve">017201306B</t>
  </si>
  <si>
    <t xml:space="preserve">QQUESIHUALLPA ACHAHUI MARIA FERNANDA</t>
  </si>
  <si>
    <t xml:space="preserve">fernandaqquesihuallpa@gmail.com</t>
  </si>
  <si>
    <t xml:space="preserve">984003041</t>
  </si>
  <si>
    <t xml:space="preserve">016200988C</t>
  </si>
  <si>
    <t xml:space="preserve">QUISPE TORRE KATERINE YAJAIDA</t>
  </si>
  <si>
    <t xml:space="preserve">katerinequispetorr@gmail.com</t>
  </si>
  <si>
    <t xml:space="preserve">997715857</t>
  </si>
  <si>
    <t xml:space="preserve">Postulante SERUMS 2026-II (CUSCO): nota 14.6, orden de mérito 78</t>
  </si>
  <si>
    <t xml:space="preserve">016201334G</t>
  </si>
  <si>
    <t xml:space="preserve">ROZAS HUAMPUTUPA GUILLERMO ALEXANDER</t>
  </si>
  <si>
    <t xml:space="preserve">guille13rozas@gmail.com</t>
  </si>
  <si>
    <t xml:space="preserve">970848289</t>
  </si>
  <si>
    <t xml:space="preserve">Postulante SERUMS 2026-II (CUSCO): nota 12.6, orden de mérito 198</t>
  </si>
  <si>
    <t xml:space="preserve">016201066B</t>
  </si>
  <si>
    <t xml:space="preserve">SALINAS PINO GERMAN HORACIO MARIO</t>
  </si>
  <si>
    <t xml:space="preserve">wydars@gmail.com</t>
  </si>
  <si>
    <t xml:space="preserve">955709172</t>
  </si>
  <si>
    <t xml:space="preserve">TECNOLOGO MEDICO</t>
  </si>
  <si>
    <t xml:space="preserve">Trabaja como tecnólogo médico</t>
  </si>
  <si>
    <t xml:space="preserve">Encuesta egresados 2024-2025; Encuesta primera de egreso</t>
  </si>
  <si>
    <t xml:space="preserve">015100567G</t>
  </si>
  <si>
    <t xml:space="preserve">SANDOVAL CARAZAS KELY WENDY</t>
  </si>
  <si>
    <t xml:space="preserve">kelysandovalc@gmail.com</t>
  </si>
  <si>
    <t xml:space="preserve">916064614</t>
  </si>
  <si>
    <t xml:space="preserve">014200966A</t>
  </si>
  <si>
    <t xml:space="preserve">SANTOS PINARES KEVIN ANDRE</t>
  </si>
  <si>
    <t xml:space="preserve">kevinasp1996@gmail.com</t>
  </si>
  <si>
    <t xml:space="preserve">987165671</t>
  </si>
  <si>
    <t xml:space="preserve">017201486K</t>
  </si>
  <si>
    <t xml:space="preserve">SENCIA PACCO FERNANDO</t>
  </si>
  <si>
    <t xml:space="preserve">017201486k@hotmail.com</t>
  </si>
  <si>
    <t xml:space="preserve">925735743</t>
  </si>
  <si>
    <t xml:space="preserve">018101454I</t>
  </si>
  <si>
    <t xml:space="preserve">SIERRA SALAS MARIA JIMENA</t>
  </si>
  <si>
    <t xml:space="preserve">m.jimenasierrasalas88888@gmail.com</t>
  </si>
  <si>
    <t xml:space="preserve">984528207</t>
  </si>
  <si>
    <t xml:space="preserve">Postulante SERUMS 2026-II (CUSCO): nota 9.2, orden de mérito 282</t>
  </si>
  <si>
    <t xml:space="preserve">016201094F</t>
  </si>
  <si>
    <t xml:space="preserve">SILVA SALAZAR ADELMO RODRIGO</t>
  </si>
  <si>
    <t xml:space="preserve">rodrigosilvasalazar2014@gmail.com</t>
  </si>
  <si>
    <t xml:space="preserve">987526435</t>
  </si>
  <si>
    <t xml:space="preserve">015300907F</t>
  </si>
  <si>
    <t xml:space="preserve">SOLIS NUÑEZ AMBERELY ANDREA</t>
  </si>
  <si>
    <t xml:space="preserve">amberely_sp@hotmail.com</t>
  </si>
  <si>
    <t xml:space="preserve">987052980</t>
  </si>
  <si>
    <t xml:space="preserve">016101528D</t>
  </si>
  <si>
    <t xml:space="preserve">SOTO QUISPE ROBINSON JORGE</t>
  </si>
  <si>
    <t xml:space="preserve">robinsotjorgeq@gmail.com</t>
  </si>
  <si>
    <t xml:space="preserve">938207828</t>
  </si>
  <si>
    <t xml:space="preserve">016201112D</t>
  </si>
  <si>
    <t xml:space="preserve">SULLCAPUMA HUILLCAHUAMAN PAOLA</t>
  </si>
  <si>
    <t xml:space="preserve">plsh789@gmail.com</t>
  </si>
  <si>
    <t xml:space="preserve">966787316</t>
  </si>
  <si>
    <t xml:space="preserve">Postulante SERUMS 2026-II (CUSCO): nota 13.6, orden de mérito 143</t>
  </si>
  <si>
    <t xml:space="preserve">016101536G</t>
  </si>
  <si>
    <t xml:space="preserve">SUPO ROQUE RENZO ADOLFO</t>
  </si>
  <si>
    <t xml:space="preserve">renzosupo5@gmail.com</t>
  </si>
  <si>
    <t xml:space="preserve">973250067</t>
  </si>
  <si>
    <t xml:space="preserve">016101540D</t>
  </si>
  <si>
    <t xml:space="preserve">TACURI FIGUEROA BRAYAN ALEXIS</t>
  </si>
  <si>
    <t xml:space="preserve">016101540d@uandina.edu.pe</t>
  </si>
  <si>
    <t xml:space="preserve">958168668</t>
  </si>
  <si>
    <t xml:space="preserve">013300366G</t>
  </si>
  <si>
    <t xml:space="preserve">VALDEZ OVIEDO DONNA BROOKE</t>
  </si>
  <si>
    <t xml:space="preserve">013300366g@uandina.edu.pe</t>
  </si>
  <si>
    <t xml:space="preserve">984796549</t>
  </si>
  <si>
    <t xml:space="preserve">Postulante SERUMS 2026-II (CUSCO): nota 13.2, orden de mérito 167</t>
  </si>
  <si>
    <t xml:space="preserve">017100696J</t>
  </si>
  <si>
    <t xml:space="preserve">VALDEZ SALAS MIGUEL ENRIQUE</t>
  </si>
  <si>
    <t xml:space="preserve">chentix26_92@outlook.com</t>
  </si>
  <si>
    <t xml:space="preserve">974751533</t>
  </si>
  <si>
    <t xml:space="preserve">Postulante SERUMS 2026-II (CUSCO): nota 12, orden de mérito 224</t>
  </si>
  <si>
    <t xml:space="preserve">016201189G</t>
  </si>
  <si>
    <t xml:space="preserve">VALDIVIA ESTRADA YIDKA SHARON</t>
  </si>
  <si>
    <t xml:space="preserve">valestra0407@gmail.com</t>
  </si>
  <si>
    <t xml:space="preserve">962055120</t>
  </si>
  <si>
    <t xml:space="preserve">Postulante SERUMS 2026-II (APURIMAC): nota 13.8, orden de mérito 23</t>
  </si>
  <si>
    <t xml:space="preserve">016201196C</t>
  </si>
  <si>
    <t xml:space="preserve">VALENZUELA ESCALANTE JHORDY DANIEL ANIBAL</t>
  </si>
  <si>
    <t xml:space="preserve">12.jve.dess@gmail.com</t>
  </si>
  <si>
    <t xml:space="preserve">953880343</t>
  </si>
  <si>
    <t xml:space="preserve">Postulante SERUMS 2026-II (CUSCO): nota 13.2, orden de mérito 168</t>
  </si>
  <si>
    <t xml:space="preserve">016101643H</t>
  </si>
  <si>
    <t xml:space="preserve">VALLENAS CHAVEZ ROSA MASHENKA</t>
  </si>
  <si>
    <t xml:space="preserve">mashenkav@hotmail.com</t>
  </si>
  <si>
    <t xml:space="preserve">974731688</t>
  </si>
  <si>
    <t xml:space="preserve">Postulante SERUMS 2026-II (CUSCO): nota 13, orden de mérito 183</t>
  </si>
  <si>
    <t xml:space="preserve">016101859K</t>
  </si>
  <si>
    <t xml:space="preserve">VELEZ HUALLPA GABRIELA</t>
  </si>
  <si>
    <t xml:space="preserve">vhgabriela295@gmail.com</t>
  </si>
  <si>
    <t xml:space="preserve">982086229</t>
  </si>
  <si>
    <t xml:space="preserve">017100725J</t>
  </si>
  <si>
    <t xml:space="preserve">VERA LUZA ADAI ALEXANDRA</t>
  </si>
  <si>
    <t xml:space="preserve">adita22_vera@live.com</t>
  </si>
  <si>
    <t xml:space="preserve">949135582</t>
  </si>
  <si>
    <t xml:space="preserve">Postulante SERUMS 2026-II (CUSCO): nota 12.8, orden de mérito 190</t>
  </si>
  <si>
    <t xml:space="preserve">012101003B</t>
  </si>
  <si>
    <t xml:space="preserve">VILLAFUERTE QUISPE MARIA FERNANDA</t>
  </si>
  <si>
    <t xml:space="preserve">f161009069900@gmail.com</t>
  </si>
  <si>
    <t xml:space="preserve">941470953</t>
  </si>
  <si>
    <t xml:space="preserve">Postulante SERUMS 2026-II (CUSCO): nota 12.4, orden de mérito 206</t>
  </si>
  <si>
    <t xml:space="preserve">015201147C</t>
  </si>
  <si>
    <t xml:space="preserve">ZARATE TACUSI YAMPIER RENE</t>
  </si>
  <si>
    <t xml:space="preserve">yampierzarate@gmail.com</t>
  </si>
  <si>
    <t xml:space="preserve">929527807</t>
  </si>
  <si>
    <t xml:space="preserve">018200313D</t>
  </si>
  <si>
    <t xml:space="preserve">ACUÑA ANGULO MARIA FERNANDA</t>
  </si>
  <si>
    <t xml:space="preserve">019101264D</t>
  </si>
  <si>
    <t xml:space="preserve">ALFARO PANIURA ANGGIE YOHANA</t>
  </si>
  <si>
    <t xml:space="preserve">018100114J</t>
  </si>
  <si>
    <t xml:space="preserve">ALVAREZ ARCE BRENDA GRETEL</t>
  </si>
  <si>
    <t xml:space="preserve">018200345C</t>
  </si>
  <si>
    <t xml:space="preserve">ALVIZURI DALGUER VERALUCIA VICTORIA</t>
  </si>
  <si>
    <t xml:space="preserve">Postulante SERUMS 2026-II (CUSCO): nota 14.2, orden de mérito 91</t>
  </si>
  <si>
    <t xml:space="preserve">018100148A</t>
  </si>
  <si>
    <t xml:space="preserve">APAZA GARCIA ASTRID ANEL</t>
  </si>
  <si>
    <t xml:space="preserve">Postulante SERUMS 2026-II (CUSCO): nota 13.4, orden de mérito 145</t>
  </si>
  <si>
    <t xml:space="preserve">017200475E</t>
  </si>
  <si>
    <t xml:space="preserve">ARIAS TUME LUCERO YADHIRA</t>
  </si>
  <si>
    <t xml:space="preserve">Postulante SERUMS 2026-II (CUSCO): nota 13, orden de mérito 172</t>
  </si>
  <si>
    <t xml:space="preserve">017200479K</t>
  </si>
  <si>
    <t xml:space="preserve">ARQQUE JARA KATTY LUZ</t>
  </si>
  <si>
    <t xml:space="preserve">Postulante SERUMS 2026-II (CUSCO): nota 14.4, orden de mérito 82</t>
  </si>
  <si>
    <t xml:space="preserve">017200491K</t>
  </si>
  <si>
    <t xml:space="preserve">ASTETE VEGA LUCIANA</t>
  </si>
  <si>
    <t xml:space="preserve">018200386A</t>
  </si>
  <si>
    <t xml:space="preserve">ATAUCHI ESCALANTE VALERIA</t>
  </si>
  <si>
    <t xml:space="preserve">Postulante SERUMS 2026-II (CUSCO): nota 16, orden de mérito 18</t>
  </si>
  <si>
    <t xml:space="preserve">019101291A</t>
  </si>
  <si>
    <t xml:space="preserve">AYALA YABAR NOHELY JOLI</t>
  </si>
  <si>
    <t xml:space="preserve">018100226B</t>
  </si>
  <si>
    <t xml:space="preserve">AYMARA ORTIZ BRIGITE ANTHUANE</t>
  </si>
  <si>
    <t xml:space="preserve">017100081E</t>
  </si>
  <si>
    <t xml:space="preserve">BACA MAMANI PAOLA ALEXANDRA</t>
  </si>
  <si>
    <t xml:space="preserve">017200551C</t>
  </si>
  <si>
    <t xml:space="preserve">CACERES AMPUERO YESENIA</t>
  </si>
  <si>
    <t xml:space="preserve">Postulante SERUMS 2026-II (CUSCO): nota 13, orden de mérito 173</t>
  </si>
  <si>
    <t xml:space="preserve">018100302K</t>
  </si>
  <si>
    <t xml:space="preserve">CACERES CALLO NIURKA DALIA</t>
  </si>
  <si>
    <t xml:space="preserve">Postulante SERUMS 2026-II (CUSCO): nota 13.8, orden de mérito 121</t>
  </si>
  <si>
    <t xml:space="preserve">016200177E</t>
  </si>
  <si>
    <t xml:space="preserve">CAHUANA MOSQUEIRA BRIZIA SHAKIRA</t>
  </si>
  <si>
    <t xml:space="preserve">Postulante SERUMS 2026-II (CUSCO): nota 16, orden de mérito 19</t>
  </si>
  <si>
    <t xml:space="preserve">015200153J</t>
  </si>
  <si>
    <t xml:space="preserve">CALDERON ABARCA FRINE</t>
  </si>
  <si>
    <t xml:space="preserve">Postulante SERUMS 2026-II (CUSCO): nota 13.4, orden de mérito 148</t>
  </si>
  <si>
    <t xml:space="preserve">013300692A</t>
  </si>
  <si>
    <t xml:space="preserve">CALLAPIÑA CALLAPIÑA ANDRE</t>
  </si>
  <si>
    <t xml:space="preserve">018100328J</t>
  </si>
  <si>
    <t xml:space="preserve">CAMACHO PEÑA CARLOS ALBERTO</t>
  </si>
  <si>
    <t xml:space="preserve">013300694D</t>
  </si>
  <si>
    <t xml:space="preserve">CAMERO CCONUCUYCA YURI SANDRO</t>
  </si>
  <si>
    <t xml:space="preserve">013300696G</t>
  </si>
  <si>
    <t xml:space="preserve">CANA UÑAPILLCO LEE JAN ALFREDO</t>
  </si>
  <si>
    <t xml:space="preserve">018100344E</t>
  </si>
  <si>
    <t xml:space="preserve">CANDIA PONCE HYLARY SILVANIA</t>
  </si>
  <si>
    <t xml:space="preserve">Postulante SERUMS 2026-II (CUSCO): nota 15.6, orden de mérito 34</t>
  </si>
  <si>
    <t xml:space="preserve">019200588B</t>
  </si>
  <si>
    <t xml:space="preserve">CARMONA CHOQUEMAMANI SHEILA PAOLA</t>
  </si>
  <si>
    <t xml:space="preserve">017200611F</t>
  </si>
  <si>
    <t xml:space="preserve">CARRION VEGA CORALI</t>
  </si>
  <si>
    <t xml:space="preserve">018100379C</t>
  </si>
  <si>
    <t xml:space="preserve">CASTAÑEDA TUNQUE JOSSELYN DANA</t>
  </si>
  <si>
    <t xml:space="preserve">Postulante SERUMS 2026-II (CUSCO): nota 16.2, orden de mérito 13</t>
  </si>
  <si>
    <t xml:space="preserve">016201308F</t>
  </si>
  <si>
    <t xml:space="preserve">CCAHUAYA CORONEL MAIRA MILAGROS</t>
  </si>
  <si>
    <t xml:space="preserve">018200551B</t>
  </si>
  <si>
    <t xml:space="preserve">CENTENO CANDIA JOAQUIN GABRIEL</t>
  </si>
  <si>
    <t xml:space="preserve">Postulante SERUMS 2026-II (CUSCO): nota 13.8, orden de mérito 123</t>
  </si>
  <si>
    <t xml:space="preserve">015300232I</t>
  </si>
  <si>
    <t xml:space="preserve">CHALLCO MORENO ESMERALDA YELIZELI</t>
  </si>
  <si>
    <t xml:space="preserve">017100972G</t>
  </si>
  <si>
    <t xml:space="preserve">CHAVEZ ARAGON ESTRELLA VIANNY</t>
  </si>
  <si>
    <t xml:space="preserve">Postulante SERUMS 2026-II (CUSCO): nota 16, orden de mérito 20</t>
  </si>
  <si>
    <t xml:space="preserve">013100756F</t>
  </si>
  <si>
    <t xml:space="preserve">CHIRINOS QUISPE MACK YILMAN</t>
  </si>
  <si>
    <t xml:space="preserve">019101239J</t>
  </si>
  <si>
    <t xml:space="preserve">COLLAZOS CRUZ JAVIER JESUS</t>
  </si>
  <si>
    <t xml:space="preserve">018100474F</t>
  </si>
  <si>
    <t xml:space="preserve">CONDE RAMOS LUIS ALEXIS</t>
  </si>
  <si>
    <t xml:space="preserve">017101000I</t>
  </si>
  <si>
    <t xml:space="preserve">CONDORI ANTEZANA ANGIE ORIELL ANDREA</t>
  </si>
  <si>
    <t xml:space="preserve">014101384D</t>
  </si>
  <si>
    <t xml:space="preserve">CONDORI AUCCAPURI GIANELLA</t>
  </si>
  <si>
    <t xml:space="preserve">012100965E</t>
  </si>
  <si>
    <t xml:space="preserve">CONDORI CHAIÑA DIANA KAREN</t>
  </si>
  <si>
    <t xml:space="preserve">018200620D</t>
  </si>
  <si>
    <t xml:space="preserve">CONDORI GUEVARA CARLA BETZABE</t>
  </si>
  <si>
    <t xml:space="preserve">013300700D</t>
  </si>
  <si>
    <t xml:space="preserve">CONDORI HUAMANI JULIO ALEJANDRO</t>
  </si>
  <si>
    <t xml:space="preserve">016200351E</t>
  </si>
  <si>
    <t xml:space="preserve">CONDORI QUISPE AXEL HERNAN</t>
  </si>
  <si>
    <t xml:space="preserve">014200930G</t>
  </si>
  <si>
    <t xml:space="preserve">CONDORI SAAVEDRA JUAN DIEGO</t>
  </si>
  <si>
    <t xml:space="preserve">016200370J</t>
  </si>
  <si>
    <t xml:space="preserve">CORTEZ CONDEMAITA JAEL BIANCA</t>
  </si>
  <si>
    <t xml:space="preserve">Postulante SERUMS 2026-II (CUSCO): nota 13.4, orden de mérito 150</t>
  </si>
  <si>
    <t xml:space="preserve">019101240H</t>
  </si>
  <si>
    <t xml:space="preserve">CORTEZ HUAMAN JASMIN ROCIO</t>
  </si>
  <si>
    <t xml:space="preserve">017200720J</t>
  </si>
  <si>
    <t xml:space="preserve">COSIO QUISPE EVA DAYANA</t>
  </si>
  <si>
    <t xml:space="preserve">Postulante SERUMS 2026-II (APURIMAC): nota 13.4, orden de mérito 29</t>
  </si>
  <si>
    <t xml:space="preserve">015300291E</t>
  </si>
  <si>
    <t xml:space="preserve">CRUZ QUISPE MARIA CONCEPCION</t>
  </si>
  <si>
    <t xml:space="preserve">015100646D</t>
  </si>
  <si>
    <t xml:space="preserve">CUELA HUACCHO GWYNETH DAYAHANNA</t>
  </si>
  <si>
    <t xml:space="preserve">Postulante SERUMS 2026-II (CUSCO): nota 14.4, orden de mérito 85</t>
  </si>
  <si>
    <t xml:space="preserve">018200650K</t>
  </si>
  <si>
    <t xml:space="preserve">CUSI HUANCA LUZ VALERY</t>
  </si>
  <si>
    <t xml:space="preserve">017200734K</t>
  </si>
  <si>
    <t xml:space="preserve">CUSI TICONA MIRIAM</t>
  </si>
  <si>
    <t xml:space="preserve">019101241D</t>
  </si>
  <si>
    <t xml:space="preserve">CUSSI GONZALES YENNY MARIANA</t>
  </si>
  <si>
    <t xml:space="preserve">Postulante SERUMS 2026-II (CUSCO): nota 13.6, orden de mérito 136</t>
  </si>
  <si>
    <t xml:space="preserve">018200659H</t>
  </si>
  <si>
    <t xml:space="preserve">DELGADO ALVAREZ VINSENT JEFFERSON</t>
  </si>
  <si>
    <t xml:space="preserve">017200764G</t>
  </si>
  <si>
    <t xml:space="preserve">DURAN COELLO ANDREA</t>
  </si>
  <si>
    <t xml:space="preserve">017101075I</t>
  </si>
  <si>
    <t xml:space="preserve">ESTRADA TORRES CESAR AUGUSTO</t>
  </si>
  <si>
    <t xml:space="preserve">013200722F</t>
  </si>
  <si>
    <t xml:space="preserve">FERNANDEZ CRUZ CIELOLUZ</t>
  </si>
  <si>
    <t xml:space="preserve">010100992D</t>
  </si>
  <si>
    <t xml:space="preserve">FLORES TELLO MARIO LUIS</t>
  </si>
  <si>
    <t xml:space="preserve">018100649K</t>
  </si>
  <si>
    <t xml:space="preserve">FLOREZ CHIPANA GABRIELA ALANA</t>
  </si>
  <si>
    <t xml:space="preserve">Postulante SERUMS 2026-II (CUSCO): nota 16, orden de mérito 21</t>
  </si>
  <si>
    <t xml:space="preserve">017101101J</t>
  </si>
  <si>
    <t xml:space="preserve">FLOREZ PORCEL MARIA DEL PILAR</t>
  </si>
  <si>
    <t xml:space="preserve">018100662G</t>
  </si>
  <si>
    <t xml:space="preserve">GALDOS RODRIGO DANIEL ALFONSO</t>
  </si>
  <si>
    <t xml:space="preserve">Postulante SERUMS 2026-II (CUSCO): nota 15.8, orden de mérito 27</t>
  </si>
  <si>
    <t xml:space="preserve">018200746H</t>
  </si>
  <si>
    <t xml:space="preserve">GALIANO MEDINA LUCY ANEL</t>
  </si>
  <si>
    <t xml:space="preserve">018100665F</t>
  </si>
  <si>
    <t xml:space="preserve">GALLEGOS LAGUNA YVAN</t>
  </si>
  <si>
    <t xml:space="preserve">019100508G</t>
  </si>
  <si>
    <t xml:space="preserve">GARCIA FIGUEROA NATALY NICOLE</t>
  </si>
  <si>
    <t xml:space="preserve">017101127I</t>
  </si>
  <si>
    <t xml:space="preserve">GONGORA HERRERA MARY CLAUDIA</t>
  </si>
  <si>
    <t xml:space="preserve">Postulante SERUMS 2026-II (CUSCO): nota 14, orden de mérito 115</t>
  </si>
  <si>
    <t xml:space="preserve">016100686E</t>
  </si>
  <si>
    <t xml:space="preserve">GONZALES SOLORZANO ALBERTO AGUSTIN</t>
  </si>
  <si>
    <t xml:space="preserve">017200851G</t>
  </si>
  <si>
    <t xml:space="preserve">GONZALES SOTO SANDRA ESTHER</t>
  </si>
  <si>
    <t xml:space="preserve">017200854F</t>
  </si>
  <si>
    <t xml:space="preserve">GONZALEZ QUISPE CARMEN ESTEPHANY</t>
  </si>
  <si>
    <t xml:space="preserve">Postulante SERUMS 2026-II (CUSCO): nota 17, orden de mérito 4</t>
  </si>
  <si>
    <t xml:space="preserve">017101140E</t>
  </si>
  <si>
    <t xml:space="preserve">GOYZUETA HANCO ALVARO JOAN</t>
  </si>
  <si>
    <t xml:space="preserve">Postulante SERUMS 2026-II (CUSCO): nota 14.6, orden de mérito 74</t>
  </si>
  <si>
    <t xml:space="preserve">016101850C</t>
  </si>
  <si>
    <t xml:space="preserve">GRAJEDA ESCALANTE FLOR MILAGROS</t>
  </si>
  <si>
    <t xml:space="preserve">Postulante SERUMS 2026-II (CUSCO): nota 13.4, orden de mérito 151</t>
  </si>
  <si>
    <t xml:space="preserve">018200791C</t>
  </si>
  <si>
    <t xml:space="preserve">GRANILLA MENDOZA ANDERSON STEVE</t>
  </si>
  <si>
    <t xml:space="preserve">017200861B</t>
  </si>
  <si>
    <t xml:space="preserve">GUERRA DALGUERRE GABRIELA ALEXANDRA</t>
  </si>
  <si>
    <t xml:space="preserve">Postulante SERUMS 2026-II (CUSCO): nota 16.6, orden de mérito 6</t>
  </si>
  <si>
    <t xml:space="preserve">017200873K</t>
  </si>
  <si>
    <t xml:space="preserve">GUZMAN MERINO SHARON LEIZA</t>
  </si>
  <si>
    <t xml:space="preserve">018200813G</t>
  </si>
  <si>
    <t xml:space="preserve">HERRERA ALVAREZ ARISTIDES</t>
  </si>
  <si>
    <t xml:space="preserve">016100748K</t>
  </si>
  <si>
    <t xml:space="preserve">HUAILLANI LEZAMA BLANCA ROSA</t>
  </si>
  <si>
    <t xml:space="preserve">016200580D</t>
  </si>
  <si>
    <t xml:space="preserve">HUALLPA CJUNO KAREN</t>
  </si>
  <si>
    <t xml:space="preserve">Postulante SERUMS 2026-II (CUSCO): nota 11, orden de mérito 247</t>
  </si>
  <si>
    <t xml:space="preserve">017100330E</t>
  </si>
  <si>
    <t xml:space="preserve">HUALLPA OLIVERA JOSE MANUEL</t>
  </si>
  <si>
    <t xml:space="preserve">Postulante SERUMS 2026-II (CUSCO): nota 16.4, orden de mérito 9</t>
  </si>
  <si>
    <t xml:space="preserve">018100793D</t>
  </si>
  <si>
    <t xml:space="preserve">HUAMAN GRANILLA MILUSKA ANDREA</t>
  </si>
  <si>
    <t xml:space="preserve">016100809J</t>
  </si>
  <si>
    <t xml:space="preserve">HUILLCA MAMANI EDWAR WILFREDO</t>
  </si>
  <si>
    <t xml:space="preserve">Postulante SERUMS 2026-II (CUSCO): nota 11.2, orden de mérito 240</t>
  </si>
  <si>
    <t xml:space="preserve">012200796K</t>
  </si>
  <si>
    <t xml:space="preserve">HUISA APARICIO RONY AMBERSON</t>
  </si>
  <si>
    <t xml:space="preserve">014100397E</t>
  </si>
  <si>
    <t xml:space="preserve">HURTADO FLOREZ PAMELA VIOLETA</t>
  </si>
  <si>
    <t xml:space="preserve">018200900G</t>
  </si>
  <si>
    <t xml:space="preserve">ICHILLUMPA PEREZ SUYETKA LAURA</t>
  </si>
  <si>
    <t xml:space="preserve">015200551E</t>
  </si>
  <si>
    <t xml:space="preserve">JORDAN BEISAGA PAULA ALEJANDRA</t>
  </si>
  <si>
    <t xml:space="preserve">019101390J</t>
  </si>
  <si>
    <t xml:space="preserve">JURADO BACA KARLA DANIELA</t>
  </si>
  <si>
    <t xml:space="preserve">Postulante SERUMS 2026-II (CUSCO): nota 14.8, orden de mérito 67</t>
  </si>
  <si>
    <t xml:space="preserve">017201003J</t>
  </si>
  <si>
    <t xml:space="preserve">LAROTA MAMANI ROSA LUZ</t>
  </si>
  <si>
    <t xml:space="preserve">016200673B</t>
  </si>
  <si>
    <t xml:space="preserve">LEIVA SORIA JHON ALEXANDER</t>
  </si>
  <si>
    <t xml:space="preserve">017101285C</t>
  </si>
  <si>
    <t xml:space="preserve">LOZANO HORURO MARICIELO</t>
  </si>
  <si>
    <t xml:space="preserve">019101625G</t>
  </si>
  <si>
    <t xml:space="preserve">LUNA CRUZ GIULIANA ANELISSE</t>
  </si>
  <si>
    <t xml:space="preserve">Postulante SERUMS 2026-II (CUSCO): nota 17.2, orden de mérito 2</t>
  </si>
  <si>
    <t xml:space="preserve">018100953A</t>
  </si>
  <si>
    <t xml:space="preserve">LUNA ORTIZ GERALDINE ARACELI</t>
  </si>
  <si>
    <t xml:space="preserve">Postulante SERUMS 2026-II (CUSCO): nota 12.2, orden de mérito 211</t>
  </si>
  <si>
    <t xml:space="preserve">019101406C</t>
  </si>
  <si>
    <t xml:space="preserve">MANTILLA OSCCO WILL BRISSIHAN</t>
  </si>
  <si>
    <t xml:space="preserve">Postulante SERUMS 2026-II (CUSCO): nota 16, orden de mérito 22</t>
  </si>
  <si>
    <t xml:space="preserve">019101409B</t>
  </si>
  <si>
    <t xml:space="preserve">MARTINEZ OSPINAL DALEZKA NICOLE</t>
  </si>
  <si>
    <t xml:space="preserve">014200946K</t>
  </si>
  <si>
    <t xml:space="preserve">MASCIOTTI APARICIO BILL GARREND</t>
  </si>
  <si>
    <t xml:space="preserve">015300620I</t>
  </si>
  <si>
    <t xml:space="preserve">MENDOZA ANAYA JUAN MANUEL</t>
  </si>
  <si>
    <t xml:space="preserve">017201109B</t>
  </si>
  <si>
    <t xml:space="preserve">MENDOZA JANCCO MARIO JULIHNO</t>
  </si>
  <si>
    <t xml:space="preserve">017201139I</t>
  </si>
  <si>
    <t xml:space="preserve">MONDRAGON SARMIENTO DELIA HAMILI</t>
  </si>
  <si>
    <t xml:space="preserve">Postulante SERUMS 2026-II (CUSCO): nota 14.2, orden de mérito 98</t>
  </si>
  <si>
    <t xml:space="preserve">017100454F</t>
  </si>
  <si>
    <t xml:space="preserve">MONDRAGON YUTO LISBETH</t>
  </si>
  <si>
    <t xml:space="preserve">018101069H</t>
  </si>
  <si>
    <t xml:space="preserve">MOSQUEIRA CANAL GILBERT ANDRE</t>
  </si>
  <si>
    <t xml:space="preserve">Postulante SERUMS 2026-II (CUSCO): nota 15.8, orden de mérito 30</t>
  </si>
  <si>
    <t xml:space="preserve">017101390A</t>
  </si>
  <si>
    <t xml:space="preserve">NINA MORENO RONNY DANIEL</t>
  </si>
  <si>
    <t xml:space="preserve">019100813D</t>
  </si>
  <si>
    <t xml:space="preserve">ORIHUELA BENITES ALVARO GABRIEL</t>
  </si>
  <si>
    <t xml:space="preserve">Postulante SERUMS 2026-II (CUSCO): nota 14, orden de mérito 116</t>
  </si>
  <si>
    <t xml:space="preserve">018201127J</t>
  </si>
  <si>
    <t xml:space="preserve">ORTIZ DE ORUE SEGOVIA ANNIE NAYELA</t>
  </si>
  <si>
    <t xml:space="preserve">017201206H</t>
  </si>
  <si>
    <t xml:space="preserve">OSCCO FIGUEROA OMAR STALIN</t>
  </si>
  <si>
    <t xml:space="preserve">016101884E</t>
  </si>
  <si>
    <t xml:space="preserve">PACHECO GONZALES NOHEL</t>
  </si>
  <si>
    <t xml:space="preserve">017100501D</t>
  </si>
  <si>
    <t xml:space="preserve">PACHECO OLABARRERA DULIA ALHELI</t>
  </si>
  <si>
    <t xml:space="preserve">018101164K</t>
  </si>
  <si>
    <t xml:space="preserve">PALOMINO UTANI JANETH LILIA</t>
  </si>
  <si>
    <t xml:space="preserve">016101175D</t>
  </si>
  <si>
    <t xml:space="preserve">PARI QUISPE JHOEL JORGE</t>
  </si>
  <si>
    <t xml:space="preserve">011300751J</t>
  </si>
  <si>
    <t xml:space="preserve">PAUCAR AGUIRRE NILO</t>
  </si>
  <si>
    <t xml:space="preserve">018101177E</t>
  </si>
  <si>
    <t xml:space="preserve">PAUCAR QUECANO CLAUDIO DAMMERT</t>
  </si>
  <si>
    <t xml:space="preserve">Postulante SERUMS 2026-II (CUSCO): nota 15.8, orden de mérito 31</t>
  </si>
  <si>
    <t xml:space="preserve">018101179H</t>
  </si>
  <si>
    <t xml:space="preserve">PAUCAR ROMERO PAOLA ALEJANDRA</t>
  </si>
  <si>
    <t xml:space="preserve">017101465A</t>
  </si>
  <si>
    <t xml:space="preserve">PERALTA OROSCO IRIS BETSAIDA</t>
  </si>
  <si>
    <t xml:space="preserve">015300733H</t>
  </si>
  <si>
    <t xml:space="preserve">PEREZ MOINA SHEILA TECHY</t>
  </si>
  <si>
    <t xml:space="preserve">017201274C</t>
  </si>
  <si>
    <t xml:space="preserve">PEREZ ROJAS PAOLA SOFIA</t>
  </si>
  <si>
    <t xml:space="preserve">018101752J</t>
  </si>
  <si>
    <t xml:space="preserve">PHOCCO HUARACA KELLY NANCY</t>
  </si>
  <si>
    <t xml:space="preserve">016101814G</t>
  </si>
  <si>
    <t xml:space="preserve">PINEDA ESPINOZA PABLO MANUEL</t>
  </si>
  <si>
    <t xml:space="preserve">Postulante SERUMS 2026-II (CUSCO): nota 14.2, orden de mérito 102</t>
  </si>
  <si>
    <t xml:space="preserve">017201283B</t>
  </si>
  <si>
    <t xml:space="preserve">PIZARRO FLORES HAROL EDELFRE</t>
  </si>
  <si>
    <t xml:space="preserve">017101488A</t>
  </si>
  <si>
    <t xml:space="preserve">PORRAS CASAS RENZO MARCELO</t>
  </si>
  <si>
    <t xml:space="preserve">018201185J</t>
  </si>
  <si>
    <t xml:space="preserve">PORTILLA RIVERA KARLA BELINDA</t>
  </si>
  <si>
    <t xml:space="preserve">Postulante SERUMS 2026-II (CUSCO): nota 15, orden de mérito 59</t>
  </si>
  <si>
    <t xml:space="preserve">018101235E</t>
  </si>
  <si>
    <t xml:space="preserve">PUMA ECHARRI WILMER JAIR</t>
  </si>
  <si>
    <t xml:space="preserve">017201317D</t>
  </si>
  <si>
    <t xml:space="preserve">QUISPE AQUINO ROSA ELIZABETH</t>
  </si>
  <si>
    <t xml:space="preserve">Postulante SERUMS 2026-II (CUSCO): nota 12.6, orden de mérito 196</t>
  </si>
  <si>
    <t xml:space="preserve">018201243J</t>
  </si>
  <si>
    <t xml:space="preserve">QUISPE MAMANI MARCO ANTONIO</t>
  </si>
  <si>
    <t xml:space="preserve">017201360G</t>
  </si>
  <si>
    <t xml:space="preserve">QUISPE SARMIENTO LAURA MORAYMA</t>
  </si>
  <si>
    <t xml:space="preserve">Postulante SERUMS 2026-II (CUSCO): nota 14.2, orden de mérito 106</t>
  </si>
  <si>
    <t xml:space="preserve">017101557C</t>
  </si>
  <si>
    <t xml:space="preserve">QUISPE YUNGURI GREYVI PAULINA</t>
  </si>
  <si>
    <t xml:space="preserve">014200960C</t>
  </si>
  <si>
    <t xml:space="preserve">RAMIREZ PALOMINO HAROLD XAVIER</t>
  </si>
  <si>
    <t xml:space="preserve">017201383G</t>
  </si>
  <si>
    <t xml:space="preserve">RETAMOZO VERA JESSER ANTONY</t>
  </si>
  <si>
    <t xml:space="preserve">011300484A</t>
  </si>
  <si>
    <t xml:space="preserve">RIVAS PAPA HAROLD GONZALO</t>
  </si>
  <si>
    <t xml:space="preserve">013300726C</t>
  </si>
  <si>
    <t xml:space="preserve">ROJAS TRUYENQUE MISHEL ALEXANDRA</t>
  </si>
  <si>
    <t xml:space="preserve">Postulante SERUMS 2026-II (CUSCO): nota 15.2, orden de mérito 50</t>
  </si>
  <si>
    <t xml:space="preserve">016101801B</t>
  </si>
  <si>
    <t xml:space="preserve">SAJI SAIRE JEYMY JHESARE</t>
  </si>
  <si>
    <t xml:space="preserve">Postulante SERUMS 2026-II (CUSCO): nota 15.4, orden de mérito 43</t>
  </si>
  <si>
    <t xml:space="preserve">018101413K</t>
  </si>
  <si>
    <t xml:space="preserve">SALAZAR MANRIQUE MONICA MARCELA</t>
  </si>
  <si>
    <t xml:space="preserve">Postulante SERUMS 2026-II (CUSCO): nota 16.6, orden de mérito 7</t>
  </si>
  <si>
    <t xml:space="preserve">018201332B</t>
  </si>
  <si>
    <t xml:space="preserve">SALDIVAR AGUIRRE WILLMORE ANDRE AMIR</t>
  </si>
  <si>
    <t xml:space="preserve">017201467F</t>
  </si>
  <si>
    <t xml:space="preserve">SANCHEZ CANDIA MARDELI ADRIANA</t>
  </si>
  <si>
    <t xml:space="preserve">Postulante SERUMS 2026-II (CUSCO): nota 14.6, orden de mérito 79</t>
  </si>
  <si>
    <t xml:space="preserve">018101432E</t>
  </si>
  <si>
    <t xml:space="preserve">SANCHEZ WARTON PIERO ANDRE</t>
  </si>
  <si>
    <t xml:space="preserve">018201353J</t>
  </si>
  <si>
    <t xml:space="preserve">SEGOVIA HUAMAN BRIGGITH LIBERTAD</t>
  </si>
  <si>
    <t xml:space="preserve">017201499E</t>
  </si>
  <si>
    <t xml:space="preserve">SONCCO RIVERA DANIELA</t>
  </si>
  <si>
    <t xml:space="preserve">Postulante SERUMS 2026-II (CUSCO): nota 14.6, orden de mérito 80</t>
  </si>
  <si>
    <t xml:space="preserve">019101492G</t>
  </si>
  <si>
    <t xml:space="preserve">SUTTA VISA JUVENAL</t>
  </si>
  <si>
    <t xml:space="preserve">018201397G</t>
  </si>
  <si>
    <t xml:space="preserve">TACO BUENO GONZALO MORRIS</t>
  </si>
  <si>
    <t xml:space="preserve">017201535A</t>
  </si>
  <si>
    <t xml:space="preserve">TINTAYA QUISPE BENGAYLUZ SHIRLEY</t>
  </si>
  <si>
    <t xml:space="preserve">Postulante SERUMS 2026-II (CUSCO): nota 15.4, orden de mérito 44</t>
  </si>
  <si>
    <t xml:space="preserve">017100677E</t>
  </si>
  <si>
    <t xml:space="preserve">TRIBEÑO CALLIRGOS LORI JOAN</t>
  </si>
  <si>
    <t xml:space="preserve">019101501F</t>
  </si>
  <si>
    <t xml:space="preserve">UCAÑANI URQUIZO VALERIA LESSANDRA</t>
  </si>
  <si>
    <t xml:space="preserve">018101576G</t>
  </si>
  <si>
    <t xml:space="preserve">USCA MEZA BRITNEY MARSHELL</t>
  </si>
  <si>
    <t xml:space="preserve">Postulante SERUMS 2026-II (CUSCO): nota 14, orden de mérito 118</t>
  </si>
  <si>
    <t xml:space="preserve">016201185A</t>
  </si>
  <si>
    <t xml:space="preserve">VALDERRAMA QUISPE YAQUELINE LISBETH</t>
  </si>
  <si>
    <t xml:space="preserve">013100786B</t>
  </si>
  <si>
    <t xml:space="preserve">VARGAS ABUHADBA SHADIR DENNIS</t>
  </si>
  <si>
    <t xml:space="preserve">015300985G</t>
  </si>
  <si>
    <t xml:space="preserve">VARGAS JURADO YURI</t>
  </si>
  <si>
    <t xml:space="preserve">016201214A</t>
  </si>
  <si>
    <t xml:space="preserve">VARGAS LEON YURI OMAR</t>
  </si>
  <si>
    <t xml:space="preserve">016101655F</t>
  </si>
  <si>
    <t xml:space="preserve">VARGAS TEJADA ALCIDES SEBASTIAN</t>
  </si>
  <si>
    <t xml:space="preserve">017201606F</t>
  </si>
  <si>
    <t xml:space="preserve">VASQUEZ ARANA CRISTIAN JAIR</t>
  </si>
  <si>
    <t xml:space="preserve">Postulante SERUMS 2026-II (CUSCO): nota 13.2, orden de mérito 169</t>
  </si>
  <si>
    <t xml:space="preserve">013100787I</t>
  </si>
  <si>
    <t xml:space="preserve">VEGA AUCCATINCO MARYORY DAMILET</t>
  </si>
  <si>
    <t xml:space="preserve">Postulante SERUMS 2026-II (CUSCO): nota 11.2, orden de mérito 243</t>
  </si>
  <si>
    <t xml:space="preserve">018101650B</t>
  </si>
  <si>
    <t xml:space="preserve">VIDAL ZEGARRA CAMILA ARLETTE</t>
  </si>
  <si>
    <t xml:space="preserve">018101651I</t>
  </si>
  <si>
    <t xml:space="preserve">VIGNATTI APAZA WALTER ANGHELO</t>
  </si>
  <si>
    <t xml:space="preserve">019101522C</t>
  </si>
  <si>
    <t xml:space="preserve">VILLAVICENCIO CARCAMO ALEXANDRA</t>
  </si>
  <si>
    <t xml:space="preserve">Postulante SERUMS 2026-II (CUSCO): nota 16, orden de mérito 25</t>
  </si>
  <si>
    <t xml:space="preserve">019101524F</t>
  </si>
  <si>
    <t xml:space="preserve">VIVANCO ROZAS AURIA</t>
  </si>
  <si>
    <t xml:space="preserve">011200679E</t>
  </si>
  <si>
    <t xml:space="preserve">ZAPANA GARAYAR MIRIAN LISSETT</t>
  </si>
  <si>
    <t xml:space="preserve">017101798K</t>
  </si>
  <si>
    <t xml:space="preserve">ZARATE TERAN KARLA ROSARIO</t>
  </si>
  <si>
    <t xml:space="preserve">018201554E</t>
  </si>
  <si>
    <t xml:space="preserve">ZEVALLOS HUAMANI KARLA YHOANA</t>
  </si>
  <si>
    <t xml:space="preserve">017100760J</t>
  </si>
  <si>
    <t xml:space="preserve">ZUBILETA HUAMAN DARINKA</t>
  </si>
  <si>
    <t xml:space="preserve">018101731B</t>
  </si>
  <si>
    <t xml:space="preserve">ZUÑIGA TAPIA ZELY ANDREA</t>
  </si>
  <si>
    <t xml:space="preserve">Postulante SERUMS 2026-II (CUSCO): nota 14.8, orden de mérito 72</t>
  </si>
  <si>
    <t xml:space="preserve">Institución / razón social</t>
  </si>
  <si>
    <t xml:space="preserve">RUC</t>
  </si>
  <si>
    <t xml:space="preserve">Tipo de institución</t>
  </si>
  <si>
    <t xml:space="preserve">Sector</t>
  </si>
  <si>
    <t xml:space="preserve">Red / región</t>
  </si>
  <si>
    <t xml:space="preserve">Ciudad</t>
  </si>
  <si>
    <t xml:space="preserve">Contacto</t>
  </si>
  <si>
    <t xml:space="preserve">Cargo del contacto</t>
  </si>
  <si>
    <t xml:space="preserve">Teléfono</t>
  </si>
  <si>
    <t xml:space="preserve">Egresados UAC registrados</t>
  </si>
  <si>
    <t xml:space="preserve">Encuesta F1-SSEG-02 respondida</t>
  </si>
  <si>
    <t xml:space="preserve">Satisfacción del empleador (1–5)</t>
  </si>
  <si>
    <t xml:space="preserve">Fecha de encuesta</t>
  </si>
  <si>
    <t xml:space="preserve">Hospital Regional del Cusco</t>
  </si>
  <si>
    <t xml:space="preserve">Hospital</t>
  </si>
  <si>
    <t xml:space="preserve">MINSA</t>
  </si>
  <si>
    <t xml:space="preserve">DIRESA Cusco</t>
  </si>
  <si>
    <t xml:space="preserve">Clínica Gold Medical</t>
  </si>
  <si>
    <t xml:space="preserve">Clínica</t>
  </si>
  <si>
    <t xml:space="preserve">Privado</t>
  </si>
  <si>
    <t xml:space="preserve">—</t>
  </si>
  <si>
    <t xml:space="preserve">Hospital de la Solidaridad – Cusco</t>
  </si>
  <si>
    <t xml:space="preserve">Otro</t>
  </si>
  <si>
    <t xml:space="preserve">SISOL</t>
  </si>
  <si>
    <t xml:space="preserve">Universidad Andina del Cusco – EP Medicina Humana</t>
  </si>
  <si>
    <t xml:space="preserve">Universidad</t>
  </si>
  <si>
    <t xml:space="preserve">Hospital Antonio Lorena</t>
  </si>
  <si>
    <t xml:space="preserve">Hospital Nacional Adolfo Guevara Velasco</t>
  </si>
  <si>
    <t xml:space="preserve">EsSalud</t>
  </si>
  <si>
    <t xml:space="preserve">Red Asistencial Cusco</t>
  </si>
  <si>
    <t xml:space="preserve">C.S. Calca</t>
  </si>
  <si>
    <t xml:space="preserve">Centro de salud</t>
  </si>
  <si>
    <t xml:space="preserve">Calca</t>
  </si>
  <si>
    <t xml:space="preserve">C.S. Combapata</t>
  </si>
  <si>
    <t xml:space="preserve">Combapata</t>
  </si>
  <si>
    <t xml:space="preserve">C.S. La Quebrada – Yanatile</t>
  </si>
  <si>
    <t xml:space="preserve">Yanatile</t>
  </si>
  <si>
    <t xml:space="preserve">C.S. Ollantaytambo</t>
  </si>
  <si>
    <t xml:space="preserve">Ollantaytambo</t>
  </si>
  <si>
    <t xml:space="preserve">C.S. Santo Tomás – Chumbivilcas</t>
  </si>
  <si>
    <t xml:space="preserve">Santo Tomás</t>
  </si>
  <si>
    <t xml:space="preserve">C.S. Tamburco</t>
  </si>
  <si>
    <t xml:space="preserve">DIRESA Apurímac</t>
  </si>
  <si>
    <t xml:space="preserve">C.S. Techo Obrero – Sicuani</t>
  </si>
  <si>
    <t xml:space="preserve">Sicuani</t>
  </si>
  <si>
    <t xml:space="preserve">CAP II Huyro – EsSalud</t>
  </si>
  <si>
    <t xml:space="preserve">Huyro (La Convención)</t>
  </si>
  <si>
    <t xml:space="preserve">Centro Médico CIMA</t>
  </si>
  <si>
    <t xml:space="preserve">Centro Médico Prana</t>
  </si>
  <si>
    <t xml:space="preserve">Centro Médico Señor de Exaltación</t>
  </si>
  <si>
    <t xml:space="preserve">Centro de Salud Integral Qhali Runa – UAC</t>
  </si>
  <si>
    <t xml:space="preserve">Club Cienciano</t>
  </si>
  <si>
    <t xml:space="preserve">Clínica Nuestra Divina Familia</t>
  </si>
  <si>
    <t xml:space="preserve">Clínica Peruano Suiza</t>
  </si>
  <si>
    <t xml:space="preserve">Clínica SOS</t>
  </si>
  <si>
    <t xml:space="preserve">Hospital Nacional Alberto Sabogal Sologuren</t>
  </si>
  <si>
    <t xml:space="preserve">Red Prestacional Sabogal</t>
  </si>
  <si>
    <t xml:space="preserve">Callao</t>
  </si>
  <si>
    <t xml:space="preserve">Hospital Nacional Arzobispo Loayza</t>
  </si>
  <si>
    <t xml:space="preserve">DIRIS Lima Centro</t>
  </si>
  <si>
    <t xml:space="preserve">Lima</t>
  </si>
  <si>
    <t xml:space="preserve">Hospital Nacional Edgardo Rebagliati Martins</t>
  </si>
  <si>
    <t xml:space="preserve">Red Prestacional Rebagliati</t>
  </si>
  <si>
    <t xml:space="preserve">Hospital Nacional Hipólito Unanue</t>
  </si>
  <si>
    <t xml:space="preserve">DIRIS Lima Este</t>
  </si>
  <si>
    <t xml:space="preserve">Hospital Nacional PNP Luis N. Sáenz</t>
  </si>
  <si>
    <t xml:space="preserve">FF.AA. y PNP</t>
  </si>
  <si>
    <t xml:space="preserve">Sanidad PNP</t>
  </si>
  <si>
    <t xml:space="preserve">Hospital Regional Honorio Delgado</t>
  </si>
  <si>
    <t xml:space="preserve">GERESA Arequipa</t>
  </si>
  <si>
    <t xml:space="preserve">Arequipa</t>
  </si>
  <si>
    <t xml:space="preserve">Instituto Nacional de Enfermedades Neoplásicas</t>
  </si>
  <si>
    <t xml:space="preserve">MacSalud</t>
  </si>
  <si>
    <t xml:space="preserve">O2 Medical Network</t>
  </si>
  <si>
    <t xml:space="preserve">P.S. Amparaes</t>
  </si>
  <si>
    <t xml:space="preserve">P.S. Aymas</t>
  </si>
  <si>
    <t xml:space="preserve">P.S. Cachimayo</t>
  </si>
  <si>
    <t xml:space="preserve">Anta</t>
  </si>
  <si>
    <t xml:space="preserve">P.S. Carybamba – Aymaraes</t>
  </si>
  <si>
    <t xml:space="preserve">Aymaraes</t>
  </si>
  <si>
    <t xml:space="preserve">P.S. Ccahuayo</t>
  </si>
  <si>
    <t xml:space="preserve">P.S. Pampamarca</t>
  </si>
  <si>
    <t xml:space="preserve">P.S. Pichirhua</t>
  </si>
  <si>
    <t xml:space="preserve">P.S. Santa Rosa – Rocchacc</t>
  </si>
  <si>
    <t xml:space="preserve">Rocchacc</t>
  </si>
  <si>
    <t xml:space="preserve">P.S. Vizcochoni</t>
  </si>
  <si>
    <t xml:space="preserve">P.S. Yajchata</t>
  </si>
  <si>
    <t xml:space="preserve">DIRESA Puno</t>
  </si>
  <si>
    <t xml:space="preserve">Azángaro</t>
  </si>
  <si>
    <t xml:space="preserve">PMC Ergonomic</t>
  </si>
  <si>
    <t xml:space="preserve">Pluspetrol Perú Corporation</t>
  </si>
  <si>
    <t xml:space="preserve">Red Asistencial EsSalud Cusco (establecimiento no precisado)</t>
  </si>
  <si>
    <t xml:space="preserve">Red / DIRESA</t>
  </si>
  <si>
    <t xml:space="preserve">SAMU Cusco</t>
  </si>
  <si>
    <t xml:space="preserve">SUNAT</t>
  </si>
  <si>
    <t xml:space="preserve">Sanidad PNP – Quillabamba</t>
  </si>
  <si>
    <t xml:space="preserve">Quillabamba</t>
  </si>
  <si>
    <t xml:space="preserve">N.°</t>
  </si>
  <si>
    <t xml:space="preserve">Fecha</t>
  </si>
  <si>
    <t xml:space="preserve">Mes</t>
  </si>
  <si>
    <t xml:space="preserve">Actividad</t>
  </si>
  <si>
    <t xml:space="preserve">Tipo de actividad</t>
  </si>
  <si>
    <t xml:space="preserve">Tramo dirigido</t>
  </si>
  <si>
    <t xml:space="preserve">Coordina con</t>
  </si>
  <si>
    <t xml:space="preserve">Programada en el Plan</t>
  </si>
  <si>
    <t xml:space="preserve">Estado</t>
  </si>
  <si>
    <t xml:space="preserve">Participantes (n)</t>
  </si>
  <si>
    <t xml:space="preserve">Evidencia</t>
  </si>
  <si>
    <t xml:space="preserve">Enlace a evidencia</t>
  </si>
  <si>
    <t xml:space="preserve">Llamadas de seguimiento a egresados 2022-I</t>
  </si>
  <si>
    <t xml:space="preserve">Actualización de BD</t>
  </si>
  <si>
    <t xml:space="preserve">Servicios Académicos</t>
  </si>
  <si>
    <t xml:space="preserve">Ejecutada</t>
  </si>
  <si>
    <t xml:space="preserve">Registro de llamadas (BD 2022-I)</t>
  </si>
  <si>
    <t xml:space="preserve">31 de 59 egresados respondieron; 23 may. al 16 jun. 2025</t>
  </si>
  <si>
    <t xml:space="preserve">Encuesta a egresados 2024-2025 (situación laboral y SERUMS)</t>
  </si>
  <si>
    <t xml:space="preserve">Aplicación de encuesta</t>
  </si>
  <si>
    <t xml:space="preserve">DIRSEU</t>
  </si>
  <si>
    <t xml:space="preserve">Respuestas de formulario (Google Forms)</t>
  </si>
  <si>
    <t xml:space="preserve">36 respuestas; 16 al 26 oct. 2025</t>
  </si>
  <si>
    <t xml:space="preserve">I Encuentro de Egresados de Medicina Humana</t>
  </si>
  <si>
    <t xml:space="preserve">Evento académico</t>
  </si>
  <si>
    <t xml:space="preserve">Todos</t>
  </si>
  <si>
    <t xml:space="preserve">Asociación de Egresados</t>
  </si>
  <si>
    <t xml:space="preserve">Registro de asistencia (formulario)</t>
  </si>
  <si>
    <t xml:space="preserve">92 registros; asistentes identificados en la relación oficial</t>
  </si>
  <si>
    <t xml:space="preserve">Encuesta primera de egreso (satisfacción con la formación)</t>
  </si>
  <si>
    <t xml:space="preserve">Respuestas de formulario</t>
  </si>
  <si>
    <t xml:space="preserve">13 respuestas; 13 nov. al 9 dic. 2025</t>
  </si>
  <si>
    <t xml:space="preserve">Encuesta a egresados que son docentes de la EPMH</t>
  </si>
  <si>
    <t xml:space="preserve">Departamento Académico</t>
  </si>
  <si>
    <t xml:space="preserve">11 docentes egresados; 8 egresaron antes de 2017-2 (ver Por conciliar)</t>
  </si>
  <si>
    <t xml:space="preserve">Cruce con resultados finales SERUMS 2026-II (MINSA)</t>
  </si>
  <si>
    <t xml:space="preserve">Egresados_UAC_SERUMS_2026-II.xlsx</t>
  </si>
  <si>
    <t xml:space="preserve">153 evaluados, 4 no se presentaron, 1 ficha inválida</t>
  </si>
  <si>
    <t xml:space="preserve">Consolidación de la matriz de seguimiento según plantilla PSC-S-06</t>
  </si>
  <si>
    <t xml:space="preserve">Dirección de Escuela</t>
  </si>
  <si>
    <t xml:space="preserve">BD_Seguimiento_Egresado_EPMH (esta matriz)</t>
  </si>
  <si>
    <t xml:space="preserve">976 egresados 2017-2 a 2025-2</t>
  </si>
  <si>
    <t xml:space="preserve">Fuente</t>
  </si>
  <si>
    <t xml:space="preserve">Apellidos y nombres (como respondió)</t>
  </si>
  <si>
    <t xml:space="preserve">Año de egreso declarado</t>
  </si>
  <si>
    <t xml:space="preserve">Respuesta</t>
  </si>
  <si>
    <t xml:space="preserve">Motivo</t>
  </si>
  <si>
    <t xml:space="preserve">Acción sugerida</t>
  </si>
  <si>
    <t xml:space="preserve">Tinta Yupaiccana Debbie Marcela</t>
  </si>
  <si>
    <t xml:space="preserve">912867184</t>
  </si>
  <si>
    <t xml:space="preserve">Registro de asistencia</t>
  </si>
  <si>
    <t xml:space="preserve">Egresó en 2026; aún no figura en la relación oficial</t>
  </si>
  <si>
    <t xml:space="preserve">Solicitar código a Servicios Académicos y agregar a Egresados</t>
  </si>
  <si>
    <t xml:space="preserve">Ttito Accostupa Susy</t>
  </si>
  <si>
    <t xml:space="preserve">973609249</t>
  </si>
  <si>
    <t xml:space="preserve">Trabajo como Medico – Hospital Nacional Adolfo Guevara Velasco - Eesalud Cusco </t>
  </si>
  <si>
    <t xml:space="preserve">Egresó antes de 2017-2; fuera del rango de la relación oficial</t>
  </si>
  <si>
    <t xml:space="preserve">Zuniga Jara Angel Johnatan</t>
  </si>
  <si>
    <t xml:space="preserve">984724906</t>
  </si>
  <si>
    <t xml:space="preserve">Trabajo como Medico – Hospital Antonio Lorena </t>
  </si>
  <si>
    <t xml:space="preserve">Vargas Galiano Adriano</t>
  </si>
  <si>
    <t xml:space="preserve">Trabajo como Medico – Essalud Cusco</t>
  </si>
  <si>
    <t xml:space="preserve">Carla Gabriela Roman Ojeda</t>
  </si>
  <si>
    <t xml:space="preserve">993817604</t>
  </si>
  <si>
    <t xml:space="preserve">Docente EPMH: Semiologia neurologica</t>
  </si>
  <si>
    <t xml:space="preserve">NILDA CONDE CJUIRO</t>
  </si>
  <si>
    <t xml:space="preserve">9845280749</t>
  </si>
  <si>
    <t xml:space="preserve">Docente EPMH: Biología y Ambiente y DS</t>
  </si>
  <si>
    <t xml:space="preserve">Angel Johnatan Zuniga Jara</t>
  </si>
  <si>
    <t xml:space="preserve">Docente EPMH: Hematologia, fisiologia</t>
  </si>
  <si>
    <t xml:space="preserve">Jean Carlo Farfán Aparicio</t>
  </si>
  <si>
    <t xml:space="preserve">962771630</t>
  </si>
  <si>
    <t xml:space="preserve">Docente EPMH: Segmento Neurologia en Medicina Interna</t>
  </si>
  <si>
    <t xml:space="preserve">Carlos Enrique Gamarra Valdivia</t>
  </si>
  <si>
    <t xml:space="preserve">984765123</t>
  </si>
  <si>
    <t xml:space="preserve">Docente EPMH: Medicina Física y Rehabilitación</t>
  </si>
  <si>
    <t xml:space="preserve">Diana Beatriz Estela Andia Castro</t>
  </si>
  <si>
    <t xml:space="preserve">963506265</t>
  </si>
  <si>
    <t xml:space="preserve">Docente EPMH: Fisiopatología y pediatria</t>
  </si>
  <si>
    <t xml:space="preserve">Edwin Daniel Castañeda Ponze</t>
  </si>
  <si>
    <t xml:space="preserve">984690640</t>
  </si>
  <si>
    <t xml:space="preserve">Docente EPMH: Anatomía Humana y Salud Pública</t>
  </si>
  <si>
    <t xml:space="preserve">Ivans Percy Villavicencio Oquendo</t>
  </si>
  <si>
    <t xml:space="preserve">928935010</t>
  </si>
  <si>
    <t xml:space="preserve">Docente EPMH: Laboratorio clínico, técnicas quirúrgicas y nudos y suturas</t>
  </si>
  <si>
    <t xml:space="preserve">No se encontró por nombre ni teléfono</t>
  </si>
  <si>
    <t xml:space="preserve">Archivo</t>
  </si>
  <si>
    <t xml:space="preserve">Fecha de los datos</t>
  </si>
  <si>
    <t xml:space="preserve">Registros</t>
  </si>
  <si>
    <t xml:space="preserve">Cruzados con la relación oficial</t>
  </si>
  <si>
    <t xml:space="preserve">Datos que aporta</t>
  </si>
  <si>
    <t xml:space="preserve">Relación oficial de egresados</t>
  </si>
  <si>
    <t xml:space="preserve">RELACION DE EGRESADOS ... base servicios academicos.xlsx</t>
  </si>
  <si>
    <t xml:space="preserve">Semestres 2017-2 a 2025-2</t>
  </si>
  <si>
    <t xml:space="preserve">Código, nombre, semestre y fecha de egreso (universo)</t>
  </si>
  <si>
    <t xml:space="preserve">Plantilla con datos previos</t>
  </si>
  <si>
    <t xml:space="preserve">BD_Seguimiento_Egresado_EPMH_PLANTILLA para DASH bord.xlsx</t>
  </si>
  <si>
    <t xml:space="preserve">Sexo, condición académica, correo y celular de 2017-2 a 2025-1</t>
  </si>
  <si>
    <t xml:space="preserve">Copia de bd 2022 iy ii.xlsx – hoja 2022 I</t>
  </si>
  <si>
    <t xml:space="preserve">23/05/2025 a 16/06/2025</t>
  </si>
  <si>
    <t xml:space="preserve">Contacto, bachiller/título, SERUMS, situación laboral</t>
  </si>
  <si>
    <t xml:space="preserve">BD 2022-II</t>
  </si>
  <si>
    <t xml:space="preserve">Copia de bd 2022 iy ii.xlsx – hoja 2022II</t>
  </si>
  <si>
    <t xml:space="preserve">Contacto, fechas de bachiller y título</t>
  </si>
  <si>
    <t xml:space="preserve">BD 2024-II</t>
  </si>
  <si>
    <t xml:space="preserve">Copia de bd 2022 iy ii.xlsx – Hoja 5</t>
  </si>
  <si>
    <t xml:space="preserve">Contacto, fecha de bachiller</t>
  </si>
  <si>
    <t xml:space="preserve">EGRESADOS DE EP MEDICINA HUMANA 2024-2025 respuestas 1.xlsx</t>
  </si>
  <si>
    <t xml:space="preserve">16/10/2025 a 26/10/2025</t>
  </si>
  <si>
    <t xml:space="preserve">Situación laboral, centro de trabajo, SERUMS</t>
  </si>
  <si>
    <t xml:space="preserve">I ENCUENTRO DE EGRESADOS DE MEDICINA HUMANA respuestas 1.xlsx</t>
  </si>
  <si>
    <t xml:space="preserve">30/10/2025 a 13/11/2025</t>
  </si>
  <si>
    <t xml:space="preserve">Asistencia, celular, situación y lugar de trabajo</t>
  </si>
  <si>
    <t xml:space="preserve">ENCUESTA PRIMERA DE EGRESO EPMH respuestas.xlsx</t>
  </si>
  <si>
    <t xml:space="preserve">13/11/2025 a 09/12/2025</t>
  </si>
  <si>
    <t xml:space="preserve">Título, situación laboral, satisfacción con la formación, SERUMS</t>
  </si>
  <si>
    <t xml:space="preserve">Egresados EPMH – Docentes de Medicina Humana UAC respuestas.xlsx</t>
  </si>
  <si>
    <t xml:space="preserve">10/08/2026</t>
  </si>
  <si>
    <t xml:space="preserve">Docencia en la EPMH, interés en vinculación</t>
  </si>
  <si>
    <t xml:space="preserve">SERUMS 2026-II (MINSA)</t>
  </si>
  <si>
    <t xml:space="preserve">01/10/2026</t>
  </si>
  <si>
    <t xml:space="preserve">Postulación SERUMS 2026-II, nota y orden de mérito</t>
  </si>
  <si>
    <t xml:space="preserve">Procedimiento</t>
  </si>
  <si>
    <t xml:space="preserve">seguimiento al egresado 2062.pdf (PSC-S-06 v03)</t>
  </si>
  <si>
    <t xml:space="preserve">Tramos, indicadores 10.1 a 10.5 y metas del Anexo 01</t>
  </si>
  <si>
    <t xml:space="preserve">Nota: los registros de encuestas se cruzaron por celular (validado con al menos dos nombres) o por nombre completo. Las respuestas repetidas de una misma persona se cuentan una vez por egresado.</t>
  </si>
  <si>
    <t xml:space="preserve">Numerador</t>
  </si>
  <si>
    <t xml:space="preserve">Denominador</t>
  </si>
  <si>
    <t xml:space="preserve">Frecuencia</t>
  </si>
  <si>
    <t xml:space="preserve">Responsable</t>
  </si>
  <si>
    <t xml:space="preserve">% de egresados registrados por tramo</t>
  </si>
  <si>
    <t xml:space="preserve">Egresados del tramo con datos actualizados dentro de la vigencia (Config C15)</t>
  </si>
  <si>
    <t xml:space="preserve">Total de egresados del tramo en la BD</t>
  </si>
  <si>
    <t xml:space="preserve">T1 90%, T2 80%, T3 70%, T4 60% (Anexo 01)</t>
  </si>
  <si>
    <t xml:space="preserve">Hoja Egresados</t>
  </si>
  <si>
    <t xml:space="preserve">Mensual</t>
  </si>
  <si>
    <t xml:space="preserve">% de egresados laborando en su especialidad</t>
  </si>
  <si>
    <t xml:space="preserve">Egresados en situación Asistencial, SERUMS, Residentado o Gestión/docencia en salud</t>
  </si>
  <si>
    <t xml:space="preserve">Egresados con situación laboral conocida</t>
  </si>
  <si>
    <t xml:space="preserve">70% (propuesta)</t>
  </si>
  <si>
    <t xml:space="preserve">Semestral</t>
  </si>
  <si>
    <t xml:space="preserve">10.3</t>
  </si>
  <si>
    <t xml:space="preserve">% de egresados por semestre según situación laboral</t>
  </si>
  <si>
    <t xml:space="preserve">Egresados del semestre de egreso en cada situación</t>
  </si>
  <si>
    <t xml:space="preserve">Egresados del semestre con situación conocida</t>
  </si>
  <si>
    <t xml:space="preserve">Descriptivo</t>
  </si>
  <si>
    <t xml:space="preserve">% de satisfacción con el perfil de egreso</t>
  </si>
  <si>
    <t xml:space="preserve">Respuestas con puntaje 4 o 5</t>
  </si>
  <si>
    <t xml:space="preserve">Total de respuestas con puntaje</t>
  </si>
  <si>
    <t xml:space="preserve">80% (propuesta)</t>
  </si>
  <si>
    <t xml:space="preserve">Encuesta primera de egreso / F1-SSEG-01</t>
  </si>
  <si>
    <t xml:space="preserve">Coordinación DIRSEU</t>
  </si>
  <si>
    <t xml:space="preserve">% de empleabilidad alcanzado</t>
  </si>
  <si>
    <t xml:space="preserve">Egresados con empleo en cualquier rubro</t>
  </si>
  <si>
    <t xml:space="preserve">85% (propuesta)</t>
  </si>
  <si>
    <t xml:space="preserve">% de satisfacción del empleador (complementario)</t>
  </si>
  <si>
    <t xml:space="preserve">Empleadores con puntaje 4 o 5</t>
  </si>
  <si>
    <t xml:space="preserve">Empleadores con puntaje</t>
  </si>
  <si>
    <t xml:space="preserve">A definir</t>
  </si>
  <si>
    <t xml:space="preserve">F1-SSEG-02</t>
  </si>
  <si>
    <t xml:space="preserve">Sí/No</t>
  </si>
  <si>
    <t xml:space="preserve">Escala 1–5</t>
  </si>
  <si>
    <t xml:space="preserve">Programada</t>
  </si>
  <si>
    <t xml:space="preserve">1</t>
  </si>
  <si>
    <t xml:space="preserve">No</t>
  </si>
  <si>
    <t xml:space="preserve">Filial Puerto Maldonado</t>
  </si>
  <si>
    <t xml:space="preserve">Taller / capacitación</t>
  </si>
  <si>
    <t xml:space="preserve">2</t>
  </si>
  <si>
    <t xml:space="preserve">Filial Sicuani</t>
  </si>
  <si>
    <t xml:space="preserve">Reunión con asociación</t>
  </si>
  <si>
    <t xml:space="preserve">Reprogramada</t>
  </si>
  <si>
    <t xml:space="preserve">3</t>
  </si>
  <si>
    <t xml:space="preserve">Filial Quillabamba</t>
  </si>
  <si>
    <t xml:space="preserve">Cancelada</t>
  </si>
  <si>
    <t xml:space="preserve">4</t>
  </si>
  <si>
    <t xml:space="preserve">ONG / Cooperación</t>
  </si>
  <si>
    <t xml:space="preserve">5</t>
  </si>
  <si>
    <t xml:space="preserve">Reunión con empleadores</t>
  </si>
  <si>
    <t xml:space="preserve">Informe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</si>
</sst>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%"/>
    <numFmt numFmtId="167" formatCode="0.0%"/>
    <numFmt numFmtId="168" formatCode="0.0"/>
    <numFmt numFmtId="169" formatCode="General"/>
    <numFmt numFmtId="170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4B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3294B"/>
      <name val="Arial"/>
      <family val="0"/>
      <charset val="1"/>
    </font>
    <font>
      <b val="true"/>
      <sz val="13"/>
      <color rgb="FF13294B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CE8B2"/>
      </patternFill>
    </fill>
    <fill>
      <patternFill patternType="solid">
        <fgColor rgb="FFE8EEF6"/>
        <bgColor rgb="FFFFFFFF"/>
      </patternFill>
    </fill>
    <fill>
      <patternFill patternType="solid">
        <fgColor rgb="FF13294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8EBD2"/>
        </patternFill>
      </fill>
    </dxf>
    <dxf>
      <fill>
        <patternFill>
          <bgColor rgb="FFFCE8B2"/>
        </patternFill>
      </fill>
    </dxf>
    <dxf>
      <fill>
        <patternFill>
          <bgColor rgb="FFF6C9C4"/>
        </patternFill>
      </fill>
    </dxf>
    <dxf>
      <fill>
        <patternFill patternType="solid">
          <fgColor rgb="FF13294B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EE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E8EEF6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BD2"/>
      <rgbColor rgb="FFFCE8B2"/>
      <rgbColor rgb="FF99CCFF"/>
      <rgbColor rgb="FFFF99CC"/>
      <rgbColor rgb="FFCC99FF"/>
      <rgbColor rgb="FFF6C9C4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23.8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6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14</v>
      </c>
    </row>
    <row r="19" customFormat="false" ht="23.8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23.8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  <row r="25" customFormat="false" ht="23.85" hidden="false" customHeight="false" outlineLevel="0" collapsed="false">
      <c r="A25" s="3" t="s">
        <v>19</v>
      </c>
    </row>
    <row r="26" customFormat="false" ht="23.85" hidden="false" customHeight="false" outlineLevel="0" collapsed="false">
      <c r="A26" s="3" t="s">
        <v>20</v>
      </c>
    </row>
    <row r="27" customFormat="false" ht="23.85" hidden="false" customHeight="false" outlineLevel="0" collapsed="false">
      <c r="A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6.15" hidden="false" customHeight="false" outlineLevel="0" collapsed="false">
      <c r="B1" s="7" t="s">
        <v>22</v>
      </c>
    </row>
    <row r="2" customFormat="false" ht="15" hidden="false" customHeight="false" outlineLevel="0" collapsed="false">
      <c r="B2" s="8" t="s">
        <v>23</v>
      </c>
      <c r="C2" s="9" t="s">
        <v>24</v>
      </c>
    </row>
    <row r="3" customFormat="false" ht="15" hidden="false" customHeight="false" outlineLevel="0" collapsed="false">
      <c r="B3" s="8" t="s">
        <v>25</v>
      </c>
      <c r="C3" s="9" t="s">
        <v>26</v>
      </c>
    </row>
    <row r="4" customFormat="false" ht="15" hidden="false" customHeight="false" outlineLevel="0" collapsed="false">
      <c r="B4" s="8" t="s">
        <v>27</v>
      </c>
      <c r="C4" s="10" t="n">
        <v>46296</v>
      </c>
    </row>
    <row r="5" customFormat="false" ht="15" hidden="false" customHeight="false" outlineLevel="0" collapsed="false">
      <c r="B5" s="8" t="s">
        <v>28</v>
      </c>
      <c r="C5" s="9" t="s">
        <v>29</v>
      </c>
    </row>
    <row r="6" customFormat="false" ht="15" hidden="false" customHeight="false" outlineLevel="0" collapsed="false">
      <c r="B6" s="8" t="s">
        <v>30</v>
      </c>
      <c r="C6" s="9" t="s">
        <v>31</v>
      </c>
    </row>
    <row r="7" customFormat="false" ht="15" hidden="false" customHeight="false" outlineLevel="0" collapsed="false">
      <c r="B7" s="8"/>
    </row>
    <row r="8" customFormat="false" ht="15" hidden="false" customHeight="false" outlineLevel="0" collapsed="false">
      <c r="B8" s="8" t="s">
        <v>32</v>
      </c>
      <c r="C8" s="11" t="n">
        <v>0.9</v>
      </c>
      <c r="D8" s="12" t="s">
        <v>33</v>
      </c>
    </row>
    <row r="9" customFormat="false" ht="15" hidden="false" customHeight="false" outlineLevel="0" collapsed="false">
      <c r="B9" s="8" t="s">
        <v>34</v>
      </c>
      <c r="C9" s="11" t="n">
        <v>0.8</v>
      </c>
    </row>
    <row r="10" customFormat="false" ht="15" hidden="false" customHeight="false" outlineLevel="0" collapsed="false">
      <c r="B10" s="8" t="s">
        <v>35</v>
      </c>
      <c r="C10" s="11" t="n">
        <v>0.7</v>
      </c>
    </row>
    <row r="11" customFormat="false" ht="15" hidden="false" customHeight="false" outlineLevel="0" collapsed="false">
      <c r="B11" s="8" t="s">
        <v>36</v>
      </c>
      <c r="C11" s="11" t="n">
        <v>0.6</v>
      </c>
    </row>
    <row r="12" customFormat="false" ht="15" hidden="false" customHeight="false" outlineLevel="0" collapsed="false">
      <c r="B12" s="8" t="s">
        <v>37</v>
      </c>
      <c r="C12" s="11" t="n">
        <v>0.7</v>
      </c>
      <c r="D12" s="12" t="s">
        <v>38</v>
      </c>
    </row>
    <row r="13" customFormat="false" ht="15" hidden="false" customHeight="false" outlineLevel="0" collapsed="false">
      <c r="B13" s="8" t="s">
        <v>39</v>
      </c>
      <c r="C13" s="11" t="n">
        <v>0.8</v>
      </c>
      <c r="D13" s="12" t="s">
        <v>38</v>
      </c>
    </row>
    <row r="14" customFormat="false" ht="15" hidden="false" customHeight="false" outlineLevel="0" collapsed="false">
      <c r="B14" s="8" t="s">
        <v>40</v>
      </c>
      <c r="C14" s="11" t="n">
        <v>0.85</v>
      </c>
      <c r="D14" s="12" t="s">
        <v>38</v>
      </c>
    </row>
    <row r="15" customFormat="false" ht="15" hidden="false" customHeight="false" outlineLevel="0" collapsed="false">
      <c r="B15" s="8" t="s">
        <v>41</v>
      </c>
      <c r="C15" s="9" t="n">
        <v>365</v>
      </c>
      <c r="D15" s="1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9" min="7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3" t="s">
        <v>43</v>
      </c>
    </row>
    <row r="2" customFormat="false" ht="15" hidden="false" customHeight="false" outlineLevel="0" collapsed="false">
      <c r="A2" s="14" t="str">
        <f aca="false">"Fecha de corte: "&amp;TEXT(Config!C4,"dd/mm/yyyy")&amp;"   ·   Semestre "&amp;Config!C3&amp;"   ·   Vigencia de actualización: "&amp;Config!C15&amp;" días"</f>
        <v>Fecha de corte: 01/10/2026   ·   Semestre 2026-II   ·   Vigencia de actualización: 365 días</v>
      </c>
    </row>
    <row r="4" customFormat="false" ht="15" hidden="false" customHeight="false" outlineLevel="0" collapsed="false">
      <c r="A4" s="15" t="s">
        <v>44</v>
      </c>
    </row>
    <row r="5" customFormat="false" ht="23.85" hidden="false" customHeight="false" outlineLevel="0" collapsed="false">
      <c r="A5" s="16" t="s">
        <v>45</v>
      </c>
      <c r="B5" s="16" t="s">
        <v>46</v>
      </c>
      <c r="C5" s="16" t="s">
        <v>47</v>
      </c>
      <c r="D5" s="16" t="s">
        <v>48</v>
      </c>
      <c r="E5" s="16" t="s">
        <v>49</v>
      </c>
      <c r="F5" s="16" t="s">
        <v>50</v>
      </c>
      <c r="G5" s="16" t="s">
        <v>51</v>
      </c>
    </row>
    <row r="6" customFormat="false" ht="15" hidden="false" customHeight="false" outlineLevel="0" collapsed="false">
      <c r="A6" s="17" t="s">
        <v>52</v>
      </c>
      <c r="B6" s="17" t="n">
        <f aca="false">COUNTIF(Egresados!$I$2:$I$1501,A6)</f>
        <v>147</v>
      </c>
      <c r="C6" s="17" t="n">
        <f aca="false">COUNTIFS(Egresados!$I$2:$I$1501,A6,Egresados!$U$2:$U$1501,"Sí")</f>
        <v>0</v>
      </c>
      <c r="D6" s="18" t="n">
        <f aca="false">IF(B6=0,0,C6/B6)</f>
        <v>0</v>
      </c>
      <c r="E6" s="19" t="n">
        <f aca="false">Config!C8</f>
        <v>0.9</v>
      </c>
      <c r="F6" s="20" t="n">
        <f aca="false">(D6-E6)*100</f>
        <v>-90</v>
      </c>
      <c r="G6" s="17" t="str">
        <f aca="false">IF(B6=0,"Sin datos",IF(D6&gt;=E6,"Cumple",IF(D6&gt;=E6-0.1,"En proceso","Crítico")))</f>
        <v>Crítico</v>
      </c>
    </row>
    <row r="7" customFormat="false" ht="15" hidden="false" customHeight="false" outlineLevel="0" collapsed="false">
      <c r="A7" s="17" t="s">
        <v>53</v>
      </c>
      <c r="B7" s="17" t="n">
        <f aca="false">COUNTIF(Egresados!$I$2:$I$1501,A7)</f>
        <v>459</v>
      </c>
      <c r="C7" s="17" t="n">
        <f aca="false">COUNTIFS(Egresados!$I$2:$I$1501,A7,Egresados!$U$2:$U$1501,"Sí")</f>
        <v>80</v>
      </c>
      <c r="D7" s="18" t="n">
        <f aca="false">IF(B7=0,0,C7/B7)</f>
        <v>0.174291938997821</v>
      </c>
      <c r="E7" s="19" t="n">
        <f aca="false">Config!C9</f>
        <v>0.8</v>
      </c>
      <c r="F7" s="20" t="n">
        <f aca="false">(D7-E7)*100</f>
        <v>-62.5708061002179</v>
      </c>
      <c r="G7" s="17" t="str">
        <f aca="false">IF(B7=0,"Sin datos",IF(D7&gt;=E7,"Cumple",IF(D7&gt;=E7-0.1,"En proceso","Crítico")))</f>
        <v>Crítico</v>
      </c>
    </row>
    <row r="8" customFormat="false" ht="15" hidden="false" customHeight="false" outlineLevel="0" collapsed="false">
      <c r="A8" s="17" t="s">
        <v>54</v>
      </c>
      <c r="B8" s="17" t="n">
        <f aca="false">COUNTIF(Egresados!$I$2:$I$1501,A8)</f>
        <v>206</v>
      </c>
      <c r="C8" s="17" t="n">
        <f aca="false">COUNTIFS(Egresados!$I$2:$I$1501,A8,Egresados!$U$2:$U$1501,"Sí")</f>
        <v>15</v>
      </c>
      <c r="D8" s="18" t="n">
        <f aca="false">IF(B8=0,0,C8/B8)</f>
        <v>0.0728155339805825</v>
      </c>
      <c r="E8" s="19" t="n">
        <f aca="false">Config!C10</f>
        <v>0.7</v>
      </c>
      <c r="F8" s="20" t="n">
        <f aca="false">(D8-E8)*100</f>
        <v>-62.7184466019418</v>
      </c>
      <c r="G8" s="17" t="str">
        <f aca="false">IF(B8=0,"Sin datos",IF(D8&gt;=E8,"Cumple",IF(D8&gt;=E8-0.1,"En proceso","Crítico")))</f>
        <v>Crítico</v>
      </c>
    </row>
    <row r="9" customFormat="false" ht="15" hidden="false" customHeight="false" outlineLevel="0" collapsed="false">
      <c r="A9" s="17" t="s">
        <v>55</v>
      </c>
      <c r="B9" s="17" t="n">
        <f aca="false">COUNTIF(Egresados!$I$2:$I$1501,A9)</f>
        <v>164</v>
      </c>
      <c r="C9" s="17" t="n">
        <f aca="false">COUNTIFS(Egresados!$I$2:$I$1501,A9,Egresados!$U$2:$U$1501,"Sí")</f>
        <v>19</v>
      </c>
      <c r="D9" s="18" t="n">
        <f aca="false">IF(B9=0,0,C9/B9)</f>
        <v>0.115853658536585</v>
      </c>
      <c r="E9" s="19" t="n">
        <f aca="false">Config!C11</f>
        <v>0.6</v>
      </c>
      <c r="F9" s="20" t="n">
        <f aca="false">(D9-E9)*100</f>
        <v>-48.4146341463415</v>
      </c>
      <c r="G9" s="17" t="str">
        <f aca="false">IF(B9=0,"Sin datos",IF(D9&gt;=E9,"Cumple",IF(D9&gt;=E9-0.1,"En proceso","Crítico")))</f>
        <v>Crítico</v>
      </c>
    </row>
    <row r="10" customFormat="false" ht="15" hidden="false" customHeight="false" outlineLevel="0" collapsed="false">
      <c r="A10" s="17" t="s">
        <v>56</v>
      </c>
      <c r="B10" s="17" t="n">
        <f aca="false">SUM(B6:B9)</f>
        <v>976</v>
      </c>
      <c r="C10" s="17" t="n">
        <f aca="false">SUM(C6:C9)</f>
        <v>114</v>
      </c>
      <c r="D10" s="18" t="n">
        <f aca="false">IF(B10=0,0,C10/B10)</f>
        <v>0.116803278688525</v>
      </c>
      <c r="E10" s="19"/>
      <c r="F10" s="20"/>
      <c r="G10" s="17"/>
    </row>
    <row r="12" customFormat="false" ht="15" hidden="false" customHeight="false" outlineLevel="0" collapsed="false">
      <c r="A12" s="15" t="s">
        <v>57</v>
      </c>
    </row>
    <row r="13" customFormat="false" ht="23.85" hidden="false" customHeight="false" outlineLevel="0" collapsed="false">
      <c r="A13" s="16" t="s">
        <v>45</v>
      </c>
      <c r="B13" s="16" t="s">
        <v>58</v>
      </c>
      <c r="C13" s="16" t="s">
        <v>59</v>
      </c>
      <c r="D13" s="16" t="s">
        <v>60</v>
      </c>
      <c r="E13" s="16" t="s">
        <v>61</v>
      </c>
      <c r="F13" s="16" t="s">
        <v>62</v>
      </c>
      <c r="G13" s="16" t="s">
        <v>63</v>
      </c>
    </row>
    <row r="14" customFormat="false" ht="15" hidden="false" customHeight="false" outlineLevel="0" collapsed="false">
      <c r="A14" s="17" t="s">
        <v>52</v>
      </c>
      <c r="B14" s="17" t="n">
        <f aca="false">C14+COUNTIFS(Egresados!$I$2:$I$1501,A14,Egresados!$P$2:$P$1501,"No")</f>
        <v>0</v>
      </c>
      <c r="C14" s="17" t="n">
        <f aca="false">COUNTIFS(Egresados!$I$2:$I$1501,A14,Egresados!$P$2:$P$1501,"Sí")</f>
        <v>0</v>
      </c>
      <c r="D14" s="17" t="n">
        <f aca="false">COUNTIFS(Egresados!$I$2:$I$1501,A14,Egresados!$Q$2:$Q$1501,"Sí")</f>
        <v>0</v>
      </c>
      <c r="E14" s="18" t="n">
        <f aca="false">IF(B14=0,0,C14/B14)</f>
        <v>0</v>
      </c>
      <c r="F14" s="18" t="n">
        <f aca="false">IF(B14=0,0,D14/B14)</f>
        <v>0</v>
      </c>
      <c r="G14" s="17" t="n">
        <f aca="false">COUNTIFS(Egresados!$I$2:$I$1501,A14,Egresados!$O$2:$O$1501,"Sin información")</f>
        <v>147</v>
      </c>
    </row>
    <row r="15" customFormat="false" ht="15" hidden="false" customHeight="false" outlineLevel="0" collapsed="false">
      <c r="A15" s="17" t="s">
        <v>53</v>
      </c>
      <c r="B15" s="17" t="n">
        <f aca="false">C15+COUNTIFS(Egresados!$I$2:$I$1501,A15,Egresados!$P$2:$P$1501,"No")</f>
        <v>69</v>
      </c>
      <c r="C15" s="17" t="n">
        <f aca="false">COUNTIFS(Egresados!$I$2:$I$1501,A15,Egresados!$P$2:$P$1501,"Sí")</f>
        <v>19</v>
      </c>
      <c r="D15" s="17" t="n">
        <f aca="false">COUNTIFS(Egresados!$I$2:$I$1501,A15,Egresados!$Q$2:$Q$1501,"Sí")</f>
        <v>18</v>
      </c>
      <c r="E15" s="18" t="n">
        <f aca="false">IF(B15=0,0,C15/B15)</f>
        <v>0.27536231884058</v>
      </c>
      <c r="F15" s="18" t="n">
        <f aca="false">IF(B15=0,0,D15/B15)</f>
        <v>0.260869565217391</v>
      </c>
      <c r="G15" s="17" t="n">
        <f aca="false">COUNTIFS(Egresados!$I$2:$I$1501,A15,Egresados!$O$2:$O$1501,"Sin información")</f>
        <v>390</v>
      </c>
    </row>
    <row r="16" customFormat="false" ht="15" hidden="false" customHeight="false" outlineLevel="0" collapsed="false">
      <c r="A16" s="17" t="s">
        <v>54</v>
      </c>
      <c r="B16" s="17" t="n">
        <f aca="false">C16+COUNTIFS(Egresados!$I$2:$I$1501,A16,Egresados!$P$2:$P$1501,"No")</f>
        <v>38</v>
      </c>
      <c r="C16" s="17" t="n">
        <f aca="false">COUNTIFS(Egresados!$I$2:$I$1501,A16,Egresados!$P$2:$P$1501,"Sí")</f>
        <v>28</v>
      </c>
      <c r="D16" s="17" t="n">
        <f aca="false">COUNTIFS(Egresados!$I$2:$I$1501,A16,Egresados!$Q$2:$Q$1501,"Sí")</f>
        <v>28</v>
      </c>
      <c r="E16" s="18" t="n">
        <f aca="false">IF(B16=0,0,C16/B16)</f>
        <v>0.736842105263158</v>
      </c>
      <c r="F16" s="18" t="n">
        <f aca="false">IF(B16=0,0,D16/B16)</f>
        <v>0.736842105263158</v>
      </c>
      <c r="G16" s="17" t="n">
        <f aca="false">COUNTIFS(Egresados!$I$2:$I$1501,A16,Egresados!$O$2:$O$1501,"Sin información")</f>
        <v>168</v>
      </c>
    </row>
    <row r="17" customFormat="false" ht="15" hidden="false" customHeight="false" outlineLevel="0" collapsed="false">
      <c r="A17" s="17" t="s">
        <v>55</v>
      </c>
      <c r="B17" s="17" t="n">
        <f aca="false">C17+COUNTIFS(Egresados!$I$2:$I$1501,A17,Egresados!$P$2:$P$1501,"No")</f>
        <v>17</v>
      </c>
      <c r="C17" s="17" t="n">
        <f aca="false">COUNTIFS(Egresados!$I$2:$I$1501,A17,Egresados!$P$2:$P$1501,"Sí")</f>
        <v>17</v>
      </c>
      <c r="D17" s="17" t="n">
        <f aca="false">COUNTIFS(Egresados!$I$2:$I$1501,A17,Egresados!$Q$2:$Q$1501,"Sí")</f>
        <v>17</v>
      </c>
      <c r="E17" s="18" t="n">
        <f aca="false">IF(B17=0,0,C17/B17)</f>
        <v>1</v>
      </c>
      <c r="F17" s="18" t="n">
        <f aca="false">IF(B17=0,0,D17/B17)</f>
        <v>1</v>
      </c>
      <c r="G17" s="17" t="n">
        <f aca="false">COUNTIFS(Egresados!$I$2:$I$1501,A17,Egresados!$O$2:$O$1501,"Sin información")</f>
        <v>147</v>
      </c>
    </row>
    <row r="18" customFormat="false" ht="15" hidden="false" customHeight="false" outlineLevel="0" collapsed="false">
      <c r="A18" s="17" t="s">
        <v>56</v>
      </c>
      <c r="B18" s="17" t="n">
        <f aca="false">SUM(B14:B17)</f>
        <v>124</v>
      </c>
      <c r="C18" s="17" t="n">
        <f aca="false">SUM(C14:C17)</f>
        <v>64</v>
      </c>
      <c r="D18" s="17" t="n">
        <f aca="false">SUM(D14:D17)</f>
        <v>63</v>
      </c>
      <c r="E18" s="18" t="n">
        <f aca="false">IF(B18=0,0,C18/B18)</f>
        <v>0.516129032258065</v>
      </c>
      <c r="F18" s="18" t="n">
        <f aca="false">IF(B18=0,0,D18/B18)</f>
        <v>0.508064516129032</v>
      </c>
      <c r="G18" s="17" t="n">
        <f aca="false">SUM(G14:G17)</f>
        <v>852</v>
      </c>
    </row>
    <row r="21" customFormat="false" ht="15" hidden="false" customHeight="false" outlineLevel="0" collapsed="false">
      <c r="A21" s="15" t="s">
        <v>64</v>
      </c>
    </row>
    <row r="22" customFormat="false" ht="15" hidden="false" customHeight="false" outlineLevel="0" collapsed="false">
      <c r="A22" s="16" t="s">
        <v>65</v>
      </c>
      <c r="B22" s="16" t="s">
        <v>66</v>
      </c>
      <c r="C22" s="16" t="s">
        <v>67</v>
      </c>
      <c r="D22" s="16" t="s">
        <v>49</v>
      </c>
      <c r="E22" s="16" t="s">
        <v>50</v>
      </c>
      <c r="F22" s="16" t="s">
        <v>51</v>
      </c>
      <c r="G22" s="16" t="s">
        <v>68</v>
      </c>
    </row>
    <row r="23" customFormat="false" ht="15" hidden="false" customHeight="false" outlineLevel="0" collapsed="false">
      <c r="A23" s="17" t="s">
        <v>69</v>
      </c>
      <c r="B23" s="17" t="s">
        <v>70</v>
      </c>
      <c r="C23" s="18" t="n">
        <f aca="false">D10</f>
        <v>0.116803278688525</v>
      </c>
      <c r="D23" s="19"/>
      <c r="E23" s="20"/>
      <c r="F23" s="17"/>
      <c r="G23" s="17" t="n">
        <f aca="false">B10</f>
        <v>976</v>
      </c>
    </row>
    <row r="24" customFormat="false" ht="15" hidden="false" customHeight="false" outlineLevel="0" collapsed="false">
      <c r="A24" s="17" t="s">
        <v>71</v>
      </c>
      <c r="B24" s="17" t="s">
        <v>72</v>
      </c>
      <c r="C24" s="18" t="n">
        <f aca="false">F18</f>
        <v>0.508064516129032</v>
      </c>
      <c r="D24" s="19" t="n">
        <f aca="false">Config!C12</f>
        <v>0.7</v>
      </c>
      <c r="E24" s="20" t="n">
        <f aca="false">IF(D24="","",(C24-D24)*100)</f>
        <v>-19.1935483870968</v>
      </c>
      <c r="F24" s="17" t="str">
        <f aca="false">IF(D24="","",IF(C24&gt;=D24,"Cumple",IF(C24&gt;=D24-0.1,"En proceso","Crítico")))</f>
        <v>Crítico</v>
      </c>
      <c r="G24" s="17" t="n">
        <f aca="false">B18</f>
        <v>124</v>
      </c>
    </row>
    <row r="25" customFormat="false" ht="15" hidden="false" customHeight="false" outlineLevel="0" collapsed="false">
      <c r="A25" s="17" t="s">
        <v>73</v>
      </c>
      <c r="B25" s="17" t="s">
        <v>74</v>
      </c>
      <c r="C25" s="18" t="n">
        <f aca="false">IF(COUNT(Egresados!$X$2:$X$1501)=0,0,COUNTIF(Egresados!$X$2:$X$1501,"&gt;=4")/COUNT(Egresados!$X$2:$X$1501))</f>
        <v>0.461538461538462</v>
      </c>
      <c r="D25" s="19" t="n">
        <f aca="false">Config!C13</f>
        <v>0.8</v>
      </c>
      <c r="E25" s="20" t="n">
        <f aca="false">IF(D25="","",(C25-D25)*100)</f>
        <v>-33.8461538461539</v>
      </c>
      <c r="F25" s="17" t="str">
        <f aca="false">IF(D25="","",IF(C25&gt;=D25,"Cumple",IF(C25&gt;=D25-0.1,"En proceso","Crítico")))</f>
        <v>Crítico</v>
      </c>
      <c r="G25" s="17" t="n">
        <f aca="false">COUNT(Egresados!$X$2:$X$1501)</f>
        <v>13</v>
      </c>
    </row>
    <row r="26" customFormat="false" ht="15" hidden="false" customHeight="false" outlineLevel="0" collapsed="false">
      <c r="A26" s="17" t="s">
        <v>75</v>
      </c>
      <c r="B26" s="17" t="s">
        <v>76</v>
      </c>
      <c r="C26" s="18" t="n">
        <f aca="false">E18</f>
        <v>0.516129032258065</v>
      </c>
      <c r="D26" s="19" t="n">
        <f aca="false">Config!C14</f>
        <v>0.85</v>
      </c>
      <c r="E26" s="20" t="n">
        <f aca="false">IF(D26="","",(C26-D26)*100)</f>
        <v>-33.3870967741935</v>
      </c>
      <c r="F26" s="17" t="str">
        <f aca="false">IF(D26="","",IF(C26&gt;=D26,"Cumple",IF(C26&gt;=D26-0.1,"En proceso","Crítico")))</f>
        <v>Crítico</v>
      </c>
      <c r="G26" s="17" t="n">
        <f aca="false">B18</f>
        <v>124</v>
      </c>
    </row>
    <row r="27" customFormat="false" ht="15" hidden="false" customHeight="false" outlineLevel="0" collapsed="false">
      <c r="A27" s="17" t="s">
        <v>77</v>
      </c>
      <c r="B27" s="17" t="s">
        <v>78</v>
      </c>
      <c r="C27" s="18" t="n">
        <f aca="false">IF(COUNT(Empleadores!$N$2:$N$601)=0,0,COUNTIF(Empleadores!$N$2:$N$601,"&gt;=4")/COUNT(Empleadores!$N$2:$N$601))</f>
        <v>0</v>
      </c>
      <c r="D27" s="19"/>
      <c r="E27" s="20"/>
      <c r="F27" s="17"/>
      <c r="G27" s="17" t="n">
        <f aca="false">COUNT(Empleadores!$N$2:$N$601)</f>
        <v>0</v>
      </c>
    </row>
    <row r="28" customFormat="false" ht="15" hidden="false" customHeight="false" outlineLevel="0" collapsed="false">
      <c r="A28" s="17" t="s">
        <v>79</v>
      </c>
      <c r="B28" s="17" t="s">
        <v>80</v>
      </c>
      <c r="C28" s="18" t="n">
        <f aca="false">IF(COUNTIF(Actividades!$H$2:$H$300,"Sí")=0,0,COUNTIFS(Actividades!$H$2:$H$300,"Sí",Actividades!$I$2:$I$300,"Ejecutada")/COUNTIF(Actividades!$H$2:$H$300,"Sí"))</f>
        <v>0</v>
      </c>
      <c r="D28" s="19"/>
      <c r="E28" s="20"/>
      <c r="F28" s="17"/>
      <c r="G28" s="17" t="n">
        <f aca="false">COUNTIF(Actividades!$H$2:$H$300,"Sí")</f>
        <v>0</v>
      </c>
    </row>
    <row r="29" customFormat="false" ht="15" hidden="false" customHeight="false" outlineLevel="0" collapsed="false">
      <c r="A29" s="17" t="s">
        <v>81</v>
      </c>
      <c r="B29" s="17" t="s">
        <v>82</v>
      </c>
      <c r="C29" s="17" t="n">
        <f aca="false">COUNTIF(Egresados!$AA$2:$AA$1501,"Postulante SERUMS 2026-II*")</f>
        <v>158</v>
      </c>
      <c r="D29" s="17"/>
      <c r="E29" s="17"/>
      <c r="F29" s="17"/>
      <c r="G29" s="17"/>
    </row>
    <row r="31" customFormat="false" ht="15" hidden="false" customHeight="false" outlineLevel="0" collapsed="false">
      <c r="A31" s="15" t="s">
        <v>83</v>
      </c>
    </row>
    <row r="32" customFormat="false" ht="35.05" hidden="false" customHeight="false" outlineLevel="0" collapsed="false">
      <c r="A32" s="16" t="s">
        <v>84</v>
      </c>
      <c r="B32" s="16" t="s">
        <v>85</v>
      </c>
      <c r="C32" s="16" t="s">
        <v>81</v>
      </c>
      <c r="D32" s="16" t="s">
        <v>86</v>
      </c>
      <c r="E32" s="16" t="s">
        <v>87</v>
      </c>
      <c r="F32" s="16" t="s">
        <v>88</v>
      </c>
      <c r="G32" s="16" t="s">
        <v>89</v>
      </c>
      <c r="H32" s="16" t="s">
        <v>90</v>
      </c>
      <c r="I32" s="16" t="s">
        <v>58</v>
      </c>
      <c r="J32" s="16" t="s">
        <v>63</v>
      </c>
    </row>
    <row r="33" customFormat="false" ht="15" hidden="false" customHeight="false" outlineLevel="0" collapsed="false">
      <c r="A33" s="17" t="s">
        <v>91</v>
      </c>
      <c r="B33" s="19" t="str">
        <f aca="false">IF($I33=0,"",COUNTIFS(Egresados!$F$2:$F$1501,$A33,Egresados!$O$2:$O$1501,"Asistencial")/$I33)</f>
        <v/>
      </c>
      <c r="C33" s="19" t="str">
        <f aca="false">IF($I33=0,"",COUNTIFS(Egresados!$F$2:$F$1501,$A33,Egresados!$O$2:$O$1501,"SERUMS")/$I33)</f>
        <v/>
      </c>
      <c r="D33" s="19" t="str">
        <f aca="false">IF($I33=0,"",COUNTIFS(Egresados!$F$2:$F$1501,$A33,Egresados!$O$2:$O$1501,"Residentado")/$I33)</f>
        <v/>
      </c>
      <c r="E33" s="19" t="str">
        <f aca="false">IF($I33=0,"",COUNTIFS(Egresados!$F$2:$F$1501,$A33,Egresados!$O$2:$O$1501,"Gestión o docencia en salud")/$I33)</f>
        <v/>
      </c>
      <c r="F33" s="19" t="str">
        <f aca="false">IF($I33=0,"",COUNTIFS(Egresados!$F$2:$F$1501,$A33,Egresados!$O$2:$O$1501,"Otra área")/$I33)</f>
        <v/>
      </c>
      <c r="G33" s="19" t="str">
        <f aca="false">IF($I33=0,"",COUNTIFS(Egresados!$F$2:$F$1501,$A33,Egresados!$O$2:$O$1501,"Posgrado sin laborar")/$I33)</f>
        <v/>
      </c>
      <c r="H33" s="19" t="str">
        <f aca="false">IF($I33=0,"",COUNTIFS(Egresados!$F$2:$F$1501,$A33,Egresados!$O$2:$O$1501,"Sin empleo")/$I33)</f>
        <v/>
      </c>
      <c r="I33" s="17" t="n">
        <f aca="false">COUNTIFS(Egresados!$F$2:$F$1501,$A33,Egresados!$O$2:$O$1501,"&lt;&gt;Sin información",Egresados!$O$2:$O$1501,"&lt;&gt;")</f>
        <v>0</v>
      </c>
      <c r="J33" s="21" t="n">
        <f aca="false">COUNTIFS(Egresados!$F$2:$F$1501,$A33,Egresados!$O$2:$O$1501,"Sin información")</f>
        <v>0</v>
      </c>
    </row>
    <row r="34" customFormat="false" ht="15" hidden="false" customHeight="false" outlineLevel="0" collapsed="false">
      <c r="A34" s="17" t="s">
        <v>92</v>
      </c>
      <c r="B34" s="19" t="n">
        <f aca="false">IF($I34=0,"",COUNTIFS(Egresados!$F$2:$F$1501,$A34,Egresados!$O$2:$O$1501,"Asistencial")/$I34)</f>
        <v>1</v>
      </c>
      <c r="C34" s="19" t="n">
        <f aca="false">IF($I34=0,"",COUNTIFS(Egresados!$F$2:$F$1501,$A34,Egresados!$O$2:$O$1501,"SERUMS")/$I34)</f>
        <v>0</v>
      </c>
      <c r="D34" s="19" t="n">
        <f aca="false">IF($I34=0,"",COUNTIFS(Egresados!$F$2:$F$1501,$A34,Egresados!$O$2:$O$1501,"Residentado")/$I34)</f>
        <v>0</v>
      </c>
      <c r="E34" s="19" t="n">
        <f aca="false">IF($I34=0,"",COUNTIFS(Egresados!$F$2:$F$1501,$A34,Egresados!$O$2:$O$1501,"Gestión o docencia en salud")/$I34)</f>
        <v>0</v>
      </c>
      <c r="F34" s="19" t="n">
        <f aca="false">IF($I34=0,"",COUNTIFS(Egresados!$F$2:$F$1501,$A34,Egresados!$O$2:$O$1501,"Otra área")/$I34)</f>
        <v>0</v>
      </c>
      <c r="G34" s="19" t="n">
        <f aca="false">IF($I34=0,"",COUNTIFS(Egresados!$F$2:$F$1501,$A34,Egresados!$O$2:$O$1501,"Posgrado sin laborar")/$I34)</f>
        <v>0</v>
      </c>
      <c r="H34" s="19" t="n">
        <f aca="false">IF($I34=0,"",COUNTIFS(Egresados!$F$2:$F$1501,$A34,Egresados!$O$2:$O$1501,"Sin empleo")/$I34)</f>
        <v>0</v>
      </c>
      <c r="I34" s="17" t="n">
        <f aca="false">COUNTIFS(Egresados!$F$2:$F$1501,$A34,Egresados!$O$2:$O$1501,"&lt;&gt;Sin información",Egresados!$O$2:$O$1501,"&lt;&gt;")</f>
        <v>7</v>
      </c>
      <c r="J34" s="21" t="n">
        <f aca="false">COUNTIFS(Egresados!$F$2:$F$1501,$A34,Egresados!$O$2:$O$1501,"Sin información")</f>
        <v>39</v>
      </c>
    </row>
    <row r="35" customFormat="false" ht="15" hidden="false" customHeight="false" outlineLevel="0" collapsed="false">
      <c r="A35" s="17" t="s">
        <v>93</v>
      </c>
      <c r="B35" s="19" t="str">
        <f aca="false">IF($I35=0,"",COUNTIFS(Egresados!$F$2:$F$1501,$A35,Egresados!$O$2:$O$1501,"Asistencial")/$I35)</f>
        <v/>
      </c>
      <c r="C35" s="19" t="str">
        <f aca="false">IF($I35=0,"",COUNTIFS(Egresados!$F$2:$F$1501,$A35,Egresados!$O$2:$O$1501,"SERUMS")/$I35)</f>
        <v/>
      </c>
      <c r="D35" s="19" t="str">
        <f aca="false">IF($I35=0,"",COUNTIFS(Egresados!$F$2:$F$1501,$A35,Egresados!$O$2:$O$1501,"Residentado")/$I35)</f>
        <v/>
      </c>
      <c r="E35" s="19" t="str">
        <f aca="false">IF($I35=0,"",COUNTIFS(Egresados!$F$2:$F$1501,$A35,Egresados!$O$2:$O$1501,"Gestión o docencia en salud")/$I35)</f>
        <v/>
      </c>
      <c r="F35" s="19" t="str">
        <f aca="false">IF($I35=0,"",COUNTIFS(Egresados!$F$2:$F$1501,$A35,Egresados!$O$2:$O$1501,"Otra área")/$I35)</f>
        <v/>
      </c>
      <c r="G35" s="19" t="str">
        <f aca="false">IF($I35=0,"",COUNTIFS(Egresados!$F$2:$F$1501,$A35,Egresados!$O$2:$O$1501,"Posgrado sin laborar")/$I35)</f>
        <v/>
      </c>
      <c r="H35" s="19" t="str">
        <f aca="false">IF($I35=0,"",COUNTIFS(Egresados!$F$2:$F$1501,$A35,Egresados!$O$2:$O$1501,"Sin empleo")/$I35)</f>
        <v/>
      </c>
      <c r="I35" s="17" t="n">
        <f aca="false">COUNTIFS(Egresados!$F$2:$F$1501,$A35,Egresados!$O$2:$O$1501,"&lt;&gt;Sin información",Egresados!$O$2:$O$1501,"&lt;&gt;")</f>
        <v>0</v>
      </c>
      <c r="J35" s="21" t="n">
        <f aca="false">COUNTIFS(Egresados!$F$2:$F$1501,$A35,Egresados!$O$2:$O$1501,"Sin información")</f>
        <v>0</v>
      </c>
    </row>
    <row r="36" customFormat="false" ht="15" hidden="false" customHeight="false" outlineLevel="0" collapsed="false">
      <c r="A36" s="17" t="s">
        <v>94</v>
      </c>
      <c r="B36" s="19" t="n">
        <f aca="false">IF($I36=0,"",COUNTIFS(Egresados!$F$2:$F$1501,$A36,Egresados!$O$2:$O$1501,"Asistencial")/$I36)</f>
        <v>1</v>
      </c>
      <c r="C36" s="19" t="n">
        <f aca="false">IF($I36=0,"",COUNTIFS(Egresados!$F$2:$F$1501,$A36,Egresados!$O$2:$O$1501,"SERUMS")/$I36)</f>
        <v>0</v>
      </c>
      <c r="D36" s="19" t="n">
        <f aca="false">IF($I36=0,"",COUNTIFS(Egresados!$F$2:$F$1501,$A36,Egresados!$O$2:$O$1501,"Residentado")/$I36)</f>
        <v>0</v>
      </c>
      <c r="E36" s="19" t="n">
        <f aca="false">IF($I36=0,"",COUNTIFS(Egresados!$F$2:$F$1501,$A36,Egresados!$O$2:$O$1501,"Gestión o docencia en salud")/$I36)</f>
        <v>0</v>
      </c>
      <c r="F36" s="19" t="n">
        <f aca="false">IF($I36=0,"",COUNTIFS(Egresados!$F$2:$F$1501,$A36,Egresados!$O$2:$O$1501,"Otra área")/$I36)</f>
        <v>0</v>
      </c>
      <c r="G36" s="19" t="n">
        <f aca="false">IF($I36=0,"",COUNTIFS(Egresados!$F$2:$F$1501,$A36,Egresados!$O$2:$O$1501,"Posgrado sin laborar")/$I36)</f>
        <v>0</v>
      </c>
      <c r="H36" s="19" t="n">
        <f aca="false">IF($I36=0,"",COUNTIFS(Egresados!$F$2:$F$1501,$A36,Egresados!$O$2:$O$1501,"Sin empleo")/$I36)</f>
        <v>0</v>
      </c>
      <c r="I36" s="17" t="n">
        <f aca="false">COUNTIFS(Egresados!$F$2:$F$1501,$A36,Egresados!$O$2:$O$1501,"&lt;&gt;Sin información",Egresados!$O$2:$O$1501,"&lt;&gt;")</f>
        <v>3</v>
      </c>
      <c r="J36" s="21" t="n">
        <f aca="false">COUNTIFS(Egresados!$F$2:$F$1501,$A36,Egresados!$O$2:$O$1501,"Sin información")</f>
        <v>30</v>
      </c>
    </row>
    <row r="37" customFormat="false" ht="15" hidden="false" customHeight="false" outlineLevel="0" collapsed="false">
      <c r="A37" s="17" t="s">
        <v>95</v>
      </c>
      <c r="B37" s="19" t="str">
        <f aca="false">IF($I37=0,"",COUNTIFS(Egresados!$F$2:$F$1501,$A37,Egresados!$O$2:$O$1501,"Asistencial")/$I37)</f>
        <v/>
      </c>
      <c r="C37" s="19" t="str">
        <f aca="false">IF($I37=0,"",COUNTIFS(Egresados!$F$2:$F$1501,$A37,Egresados!$O$2:$O$1501,"SERUMS")/$I37)</f>
        <v/>
      </c>
      <c r="D37" s="19" t="str">
        <f aca="false">IF($I37=0,"",COUNTIFS(Egresados!$F$2:$F$1501,$A37,Egresados!$O$2:$O$1501,"Residentado")/$I37)</f>
        <v/>
      </c>
      <c r="E37" s="19" t="str">
        <f aca="false">IF($I37=0,"",COUNTIFS(Egresados!$F$2:$F$1501,$A37,Egresados!$O$2:$O$1501,"Gestión o docencia en salud")/$I37)</f>
        <v/>
      </c>
      <c r="F37" s="19" t="str">
        <f aca="false">IF($I37=0,"",COUNTIFS(Egresados!$F$2:$F$1501,$A37,Egresados!$O$2:$O$1501,"Otra área")/$I37)</f>
        <v/>
      </c>
      <c r="G37" s="19" t="str">
        <f aca="false">IF($I37=0,"",COUNTIFS(Egresados!$F$2:$F$1501,$A37,Egresados!$O$2:$O$1501,"Posgrado sin laborar")/$I37)</f>
        <v/>
      </c>
      <c r="H37" s="19" t="str">
        <f aca="false">IF($I37=0,"",COUNTIFS(Egresados!$F$2:$F$1501,$A37,Egresados!$O$2:$O$1501,"Sin empleo")/$I37)</f>
        <v/>
      </c>
      <c r="I37" s="17" t="n">
        <f aca="false">COUNTIFS(Egresados!$F$2:$F$1501,$A37,Egresados!$O$2:$O$1501,"&lt;&gt;Sin información",Egresados!$O$2:$O$1501,"&lt;&gt;")</f>
        <v>0</v>
      </c>
      <c r="J37" s="21" t="n">
        <f aca="false">COUNTIFS(Egresados!$F$2:$F$1501,$A37,Egresados!$O$2:$O$1501,"Sin información")</f>
        <v>1</v>
      </c>
    </row>
    <row r="38" customFormat="false" ht="15" hidden="false" customHeight="false" outlineLevel="0" collapsed="false">
      <c r="A38" s="17" t="s">
        <v>96</v>
      </c>
      <c r="B38" s="19" t="n">
        <f aca="false">IF($I38=0,"",COUNTIFS(Egresados!$F$2:$F$1501,$A38,Egresados!$O$2:$O$1501,"Asistencial")/$I38)</f>
        <v>0.8</v>
      </c>
      <c r="C38" s="19" t="n">
        <f aca="false">IF($I38=0,"",COUNTIFS(Egresados!$F$2:$F$1501,$A38,Egresados!$O$2:$O$1501,"SERUMS")/$I38)</f>
        <v>0</v>
      </c>
      <c r="D38" s="19" t="n">
        <f aca="false">IF($I38=0,"",COUNTIFS(Egresados!$F$2:$F$1501,$A38,Egresados!$O$2:$O$1501,"Residentado")/$I38)</f>
        <v>0</v>
      </c>
      <c r="E38" s="19" t="n">
        <f aca="false">IF($I38=0,"",COUNTIFS(Egresados!$F$2:$F$1501,$A38,Egresados!$O$2:$O$1501,"Gestión o docencia en salud")/$I38)</f>
        <v>0.2</v>
      </c>
      <c r="F38" s="19" t="n">
        <f aca="false">IF($I38=0,"",COUNTIFS(Egresados!$F$2:$F$1501,$A38,Egresados!$O$2:$O$1501,"Otra área")/$I38)</f>
        <v>0</v>
      </c>
      <c r="G38" s="19" t="n">
        <f aca="false">IF($I38=0,"",COUNTIFS(Egresados!$F$2:$F$1501,$A38,Egresados!$O$2:$O$1501,"Posgrado sin laborar")/$I38)</f>
        <v>0</v>
      </c>
      <c r="H38" s="19" t="n">
        <f aca="false">IF($I38=0,"",COUNTIFS(Egresados!$F$2:$F$1501,$A38,Egresados!$O$2:$O$1501,"Sin empleo")/$I38)</f>
        <v>0</v>
      </c>
      <c r="I38" s="17" t="n">
        <f aca="false">COUNTIFS(Egresados!$F$2:$F$1501,$A38,Egresados!$O$2:$O$1501,"&lt;&gt;Sin información",Egresados!$O$2:$O$1501,"&lt;&gt;")</f>
        <v>5</v>
      </c>
      <c r="J38" s="21" t="n">
        <f aca="false">COUNTIFS(Egresados!$F$2:$F$1501,$A38,Egresados!$O$2:$O$1501,"Sin información")</f>
        <v>38</v>
      </c>
    </row>
    <row r="39" customFormat="false" ht="15" hidden="false" customHeight="false" outlineLevel="0" collapsed="false">
      <c r="A39" s="17" t="s">
        <v>97</v>
      </c>
      <c r="B39" s="19" t="str">
        <f aca="false">IF($I39=0,"",COUNTIFS(Egresados!$F$2:$F$1501,$A39,Egresados!$O$2:$O$1501,"Asistencial")/$I39)</f>
        <v/>
      </c>
      <c r="C39" s="19" t="str">
        <f aca="false">IF($I39=0,"",COUNTIFS(Egresados!$F$2:$F$1501,$A39,Egresados!$O$2:$O$1501,"SERUMS")/$I39)</f>
        <v/>
      </c>
      <c r="D39" s="19" t="str">
        <f aca="false">IF($I39=0,"",COUNTIFS(Egresados!$F$2:$F$1501,$A39,Egresados!$O$2:$O$1501,"Residentado")/$I39)</f>
        <v/>
      </c>
      <c r="E39" s="19" t="str">
        <f aca="false">IF($I39=0,"",COUNTIFS(Egresados!$F$2:$F$1501,$A39,Egresados!$O$2:$O$1501,"Gestión o docencia en salud")/$I39)</f>
        <v/>
      </c>
      <c r="F39" s="19" t="str">
        <f aca="false">IF($I39=0,"",COUNTIFS(Egresados!$F$2:$F$1501,$A39,Egresados!$O$2:$O$1501,"Otra área")/$I39)</f>
        <v/>
      </c>
      <c r="G39" s="19" t="str">
        <f aca="false">IF($I39=0,"",COUNTIFS(Egresados!$F$2:$F$1501,$A39,Egresados!$O$2:$O$1501,"Posgrado sin laborar")/$I39)</f>
        <v/>
      </c>
      <c r="H39" s="19" t="str">
        <f aca="false">IF($I39=0,"",COUNTIFS(Egresados!$F$2:$F$1501,$A39,Egresados!$O$2:$O$1501,"Sin empleo")/$I39)</f>
        <v/>
      </c>
      <c r="I39" s="17" t="n">
        <f aca="false">COUNTIFS(Egresados!$F$2:$F$1501,$A39,Egresados!$O$2:$O$1501,"&lt;&gt;Sin información",Egresados!$O$2:$O$1501,"&lt;&gt;")</f>
        <v>0</v>
      </c>
      <c r="J39" s="21" t="n">
        <f aca="false">COUNTIFS(Egresados!$F$2:$F$1501,$A39,Egresados!$O$2:$O$1501,"Sin información")</f>
        <v>0</v>
      </c>
    </row>
    <row r="40" customFormat="false" ht="15" hidden="false" customHeight="false" outlineLevel="0" collapsed="false">
      <c r="A40" s="17" t="s">
        <v>98</v>
      </c>
      <c r="B40" s="19" t="str">
        <f aca="false">IF($I40=0,"",COUNTIFS(Egresados!$F$2:$F$1501,$A40,Egresados!$O$2:$O$1501,"Asistencial")/$I40)</f>
        <v/>
      </c>
      <c r="C40" s="19" t="str">
        <f aca="false">IF($I40=0,"",COUNTIFS(Egresados!$F$2:$F$1501,$A40,Egresados!$O$2:$O$1501,"SERUMS")/$I40)</f>
        <v/>
      </c>
      <c r="D40" s="19" t="str">
        <f aca="false">IF($I40=0,"",COUNTIFS(Egresados!$F$2:$F$1501,$A40,Egresados!$O$2:$O$1501,"Residentado")/$I40)</f>
        <v/>
      </c>
      <c r="E40" s="19" t="str">
        <f aca="false">IF($I40=0,"",COUNTIFS(Egresados!$F$2:$F$1501,$A40,Egresados!$O$2:$O$1501,"Gestión o docencia en salud")/$I40)</f>
        <v/>
      </c>
      <c r="F40" s="19" t="str">
        <f aca="false">IF($I40=0,"",COUNTIFS(Egresados!$F$2:$F$1501,$A40,Egresados!$O$2:$O$1501,"Otra área")/$I40)</f>
        <v/>
      </c>
      <c r="G40" s="19" t="str">
        <f aca="false">IF($I40=0,"",COUNTIFS(Egresados!$F$2:$F$1501,$A40,Egresados!$O$2:$O$1501,"Posgrado sin laborar")/$I40)</f>
        <v/>
      </c>
      <c r="H40" s="19" t="str">
        <f aca="false">IF($I40=0,"",COUNTIFS(Egresados!$F$2:$F$1501,$A40,Egresados!$O$2:$O$1501,"Sin empleo")/$I40)</f>
        <v/>
      </c>
      <c r="I40" s="17" t="n">
        <f aca="false">COUNTIFS(Egresados!$F$2:$F$1501,$A40,Egresados!$O$2:$O$1501,"&lt;&gt;Sin información",Egresados!$O$2:$O$1501,"&lt;&gt;")</f>
        <v>0</v>
      </c>
      <c r="J40" s="21" t="n">
        <f aca="false">COUNTIFS(Egresados!$F$2:$F$1501,$A40,Egresados!$O$2:$O$1501,"Sin información")</f>
        <v>0</v>
      </c>
    </row>
    <row r="41" customFormat="false" ht="15" hidden="false" customHeight="false" outlineLevel="0" collapsed="false">
      <c r="A41" s="17" t="s">
        <v>99</v>
      </c>
      <c r="B41" s="19" t="n">
        <f aca="false">IF($I41=0,"",COUNTIFS(Egresados!$F$2:$F$1501,$A41,Egresados!$O$2:$O$1501,"Asistencial")/$I41)</f>
        <v>1</v>
      </c>
      <c r="C41" s="19" t="n">
        <f aca="false">IF($I41=0,"",COUNTIFS(Egresados!$F$2:$F$1501,$A41,Egresados!$O$2:$O$1501,"SERUMS")/$I41)</f>
        <v>0</v>
      </c>
      <c r="D41" s="19" t="n">
        <f aca="false">IF($I41=0,"",COUNTIFS(Egresados!$F$2:$F$1501,$A41,Egresados!$O$2:$O$1501,"Residentado")/$I41)</f>
        <v>0</v>
      </c>
      <c r="E41" s="19" t="n">
        <f aca="false">IF($I41=0,"",COUNTIFS(Egresados!$F$2:$F$1501,$A41,Egresados!$O$2:$O$1501,"Gestión o docencia en salud")/$I41)</f>
        <v>0</v>
      </c>
      <c r="F41" s="19" t="n">
        <f aca="false">IF($I41=0,"",COUNTIFS(Egresados!$F$2:$F$1501,$A41,Egresados!$O$2:$O$1501,"Otra área")/$I41)</f>
        <v>0</v>
      </c>
      <c r="G41" s="19" t="n">
        <f aca="false">IF($I41=0,"",COUNTIFS(Egresados!$F$2:$F$1501,$A41,Egresados!$O$2:$O$1501,"Posgrado sin laborar")/$I41)</f>
        <v>0</v>
      </c>
      <c r="H41" s="19" t="n">
        <f aca="false">IF($I41=0,"",COUNTIFS(Egresados!$F$2:$F$1501,$A41,Egresados!$O$2:$O$1501,"Sin empleo")/$I41)</f>
        <v>0</v>
      </c>
      <c r="I41" s="17" t="n">
        <f aca="false">COUNTIFS(Egresados!$F$2:$F$1501,$A41,Egresados!$O$2:$O$1501,"&lt;&gt;Sin información",Egresados!$O$2:$O$1501,"&lt;&gt;")</f>
        <v>2</v>
      </c>
      <c r="J41" s="21" t="n">
        <f aca="false">COUNTIFS(Egresados!$F$2:$F$1501,$A41,Egresados!$O$2:$O$1501,"Sin información")</f>
        <v>39</v>
      </c>
    </row>
    <row r="42" customFormat="false" ht="15" hidden="false" customHeight="false" outlineLevel="0" collapsed="false">
      <c r="A42" s="17" t="s">
        <v>100</v>
      </c>
      <c r="B42" s="19" t="str">
        <f aca="false">IF($I42=0,"",COUNTIFS(Egresados!$F$2:$F$1501,$A42,Egresados!$O$2:$O$1501,"Asistencial")/$I42)</f>
        <v/>
      </c>
      <c r="C42" s="19" t="str">
        <f aca="false">IF($I42=0,"",COUNTIFS(Egresados!$F$2:$F$1501,$A42,Egresados!$O$2:$O$1501,"SERUMS")/$I42)</f>
        <v/>
      </c>
      <c r="D42" s="19" t="str">
        <f aca="false">IF($I42=0,"",COUNTIFS(Egresados!$F$2:$F$1501,$A42,Egresados!$O$2:$O$1501,"Residentado")/$I42)</f>
        <v/>
      </c>
      <c r="E42" s="19" t="str">
        <f aca="false">IF($I42=0,"",COUNTIFS(Egresados!$F$2:$F$1501,$A42,Egresados!$O$2:$O$1501,"Gestión o docencia en salud")/$I42)</f>
        <v/>
      </c>
      <c r="F42" s="19" t="str">
        <f aca="false">IF($I42=0,"",COUNTIFS(Egresados!$F$2:$F$1501,$A42,Egresados!$O$2:$O$1501,"Otra área")/$I42)</f>
        <v/>
      </c>
      <c r="G42" s="19" t="str">
        <f aca="false">IF($I42=0,"",COUNTIFS(Egresados!$F$2:$F$1501,$A42,Egresados!$O$2:$O$1501,"Posgrado sin laborar")/$I42)</f>
        <v/>
      </c>
      <c r="H42" s="19" t="str">
        <f aca="false">IF($I42=0,"",COUNTIFS(Egresados!$F$2:$F$1501,$A42,Egresados!$O$2:$O$1501,"Sin empleo")/$I42)</f>
        <v/>
      </c>
      <c r="I42" s="17" t="n">
        <f aca="false">COUNTIFS(Egresados!$F$2:$F$1501,$A42,Egresados!$O$2:$O$1501,"&lt;&gt;Sin información",Egresados!$O$2:$O$1501,"&lt;&gt;")</f>
        <v>0</v>
      </c>
      <c r="J42" s="21" t="n">
        <f aca="false">COUNTIFS(Egresados!$F$2:$F$1501,$A42,Egresados!$O$2:$O$1501,"Sin información")</f>
        <v>0</v>
      </c>
    </row>
    <row r="43" customFormat="false" ht="15" hidden="false" customHeight="false" outlineLevel="0" collapsed="false">
      <c r="A43" s="17" t="s">
        <v>101</v>
      </c>
      <c r="B43" s="19" t="n">
        <f aca="false">IF($I43=0,"",COUNTIFS(Egresados!$F$2:$F$1501,$A43,Egresados!$O$2:$O$1501,"Asistencial")/$I43)</f>
        <v>0.580645161290323</v>
      </c>
      <c r="C43" s="19" t="n">
        <f aca="false">IF($I43=0,"",COUNTIFS(Egresados!$F$2:$F$1501,$A43,Egresados!$O$2:$O$1501,"SERUMS")/$I43)</f>
        <v>0</v>
      </c>
      <c r="D43" s="19" t="n">
        <f aca="false">IF($I43=0,"",COUNTIFS(Egresados!$F$2:$F$1501,$A43,Egresados!$O$2:$O$1501,"Residentado")/$I43)</f>
        <v>0.0967741935483871</v>
      </c>
      <c r="E43" s="19" t="n">
        <f aca="false">IF($I43=0,"",COUNTIFS(Egresados!$F$2:$F$1501,$A43,Egresados!$O$2:$O$1501,"Gestión o docencia en salud")/$I43)</f>
        <v>0.032258064516129</v>
      </c>
      <c r="F43" s="19" t="n">
        <f aca="false">IF($I43=0,"",COUNTIFS(Egresados!$F$2:$F$1501,$A43,Egresados!$O$2:$O$1501,"Otra área")/$I43)</f>
        <v>0</v>
      </c>
      <c r="G43" s="19" t="n">
        <f aca="false">IF($I43=0,"",COUNTIFS(Egresados!$F$2:$F$1501,$A43,Egresados!$O$2:$O$1501,"Posgrado sin laborar")/$I43)</f>
        <v>0</v>
      </c>
      <c r="H43" s="19" t="n">
        <f aca="false">IF($I43=0,"",COUNTIFS(Egresados!$F$2:$F$1501,$A43,Egresados!$O$2:$O$1501,"Sin empleo")/$I43)</f>
        <v>0.290322580645161</v>
      </c>
      <c r="I43" s="17" t="n">
        <f aca="false">COUNTIFS(Egresados!$F$2:$F$1501,$A43,Egresados!$O$2:$O$1501,"&lt;&gt;Sin información",Egresados!$O$2:$O$1501,"&lt;&gt;")</f>
        <v>31</v>
      </c>
      <c r="J43" s="21" t="n">
        <f aca="false">COUNTIFS(Egresados!$F$2:$F$1501,$A43,Egresados!$O$2:$O$1501,"Sin información")</f>
        <v>28</v>
      </c>
    </row>
    <row r="44" customFormat="false" ht="15" hidden="false" customHeight="false" outlineLevel="0" collapsed="false">
      <c r="A44" s="17" t="s">
        <v>102</v>
      </c>
      <c r="B44" s="19" t="n">
        <f aca="false">IF($I44=0,"",COUNTIFS(Egresados!$F$2:$F$1501,$A44,Egresados!$O$2:$O$1501,"Asistencial")/$I44)</f>
        <v>0.5</v>
      </c>
      <c r="C44" s="19" t="n">
        <f aca="false">IF($I44=0,"",COUNTIFS(Egresados!$F$2:$F$1501,$A44,Egresados!$O$2:$O$1501,"SERUMS")/$I44)</f>
        <v>0</v>
      </c>
      <c r="D44" s="19" t="n">
        <f aca="false">IF($I44=0,"",COUNTIFS(Egresados!$F$2:$F$1501,$A44,Egresados!$O$2:$O$1501,"Residentado")/$I44)</f>
        <v>0</v>
      </c>
      <c r="E44" s="19" t="n">
        <f aca="false">IF($I44=0,"",COUNTIFS(Egresados!$F$2:$F$1501,$A44,Egresados!$O$2:$O$1501,"Gestión o docencia en salud")/$I44)</f>
        <v>0</v>
      </c>
      <c r="F44" s="19" t="n">
        <f aca="false">IF($I44=0,"",COUNTIFS(Egresados!$F$2:$F$1501,$A44,Egresados!$O$2:$O$1501,"Otra área")/$I44)</f>
        <v>0</v>
      </c>
      <c r="G44" s="19" t="n">
        <f aca="false">IF($I44=0,"",COUNTIFS(Egresados!$F$2:$F$1501,$A44,Egresados!$O$2:$O$1501,"Posgrado sin laborar")/$I44)</f>
        <v>0</v>
      </c>
      <c r="H44" s="19" t="n">
        <f aca="false">IF($I44=0,"",COUNTIFS(Egresados!$F$2:$F$1501,$A44,Egresados!$O$2:$O$1501,"Sin empleo")/$I44)</f>
        <v>0.5</v>
      </c>
      <c r="I44" s="17" t="n">
        <f aca="false">COUNTIFS(Egresados!$F$2:$F$1501,$A44,Egresados!$O$2:$O$1501,"&lt;&gt;Sin información",Egresados!$O$2:$O$1501,"&lt;&gt;")</f>
        <v>2</v>
      </c>
      <c r="J44" s="21" t="n">
        <f aca="false">COUNTIFS(Egresados!$F$2:$F$1501,$A44,Egresados!$O$2:$O$1501,"Sin información")</f>
        <v>95</v>
      </c>
    </row>
    <row r="45" customFormat="false" ht="15" hidden="false" customHeight="false" outlineLevel="0" collapsed="false">
      <c r="A45" s="17" t="s">
        <v>103</v>
      </c>
      <c r="B45" s="19" t="n">
        <f aca="false">IF($I45=0,"",COUNTIFS(Egresados!$F$2:$F$1501,$A45,Egresados!$O$2:$O$1501,"Asistencial")/$I45)</f>
        <v>0.6</v>
      </c>
      <c r="C45" s="19" t="n">
        <f aca="false">IF($I45=0,"",COUNTIFS(Egresados!$F$2:$F$1501,$A45,Egresados!$O$2:$O$1501,"SERUMS")/$I45)</f>
        <v>0</v>
      </c>
      <c r="D45" s="19" t="n">
        <f aca="false">IF($I45=0,"",COUNTIFS(Egresados!$F$2:$F$1501,$A45,Egresados!$O$2:$O$1501,"Residentado")/$I45)</f>
        <v>0</v>
      </c>
      <c r="E45" s="19" t="n">
        <f aca="false">IF($I45=0,"",COUNTIFS(Egresados!$F$2:$F$1501,$A45,Egresados!$O$2:$O$1501,"Gestión o docencia en salud")/$I45)</f>
        <v>0.4</v>
      </c>
      <c r="F45" s="19" t="n">
        <f aca="false">IF($I45=0,"",COUNTIFS(Egresados!$F$2:$F$1501,$A45,Egresados!$O$2:$O$1501,"Otra área")/$I45)</f>
        <v>0</v>
      </c>
      <c r="G45" s="19" t="n">
        <f aca="false">IF($I45=0,"",COUNTIFS(Egresados!$F$2:$F$1501,$A45,Egresados!$O$2:$O$1501,"Posgrado sin laborar")/$I45)</f>
        <v>0</v>
      </c>
      <c r="H45" s="19" t="n">
        <f aca="false">IF($I45=0,"",COUNTIFS(Egresados!$F$2:$F$1501,$A45,Egresados!$O$2:$O$1501,"Sin empleo")/$I45)</f>
        <v>0</v>
      </c>
      <c r="I45" s="17" t="n">
        <f aca="false">COUNTIFS(Egresados!$F$2:$F$1501,$A45,Egresados!$O$2:$O$1501,"&lt;&gt;Sin información",Egresados!$O$2:$O$1501,"&lt;&gt;")</f>
        <v>5</v>
      </c>
      <c r="J45" s="21" t="n">
        <f aca="false">COUNTIFS(Egresados!$F$2:$F$1501,$A45,Egresados!$O$2:$O$1501,"Sin información")</f>
        <v>45</v>
      </c>
    </row>
    <row r="46" customFormat="false" ht="15" hidden="false" customHeight="false" outlineLevel="0" collapsed="false">
      <c r="A46" s="17" t="s">
        <v>104</v>
      </c>
      <c r="B46" s="19" t="n">
        <f aca="false">IF($I46=0,"",COUNTIFS(Egresados!$F$2:$F$1501,$A46,Egresados!$O$2:$O$1501,"Asistencial")/$I46)</f>
        <v>0.666666666666667</v>
      </c>
      <c r="C46" s="19" t="n">
        <f aca="false">IF($I46=0,"",COUNTIFS(Egresados!$F$2:$F$1501,$A46,Egresados!$O$2:$O$1501,"SERUMS")/$I46)</f>
        <v>0</v>
      </c>
      <c r="D46" s="19" t="n">
        <f aca="false">IF($I46=0,"",COUNTIFS(Egresados!$F$2:$F$1501,$A46,Egresados!$O$2:$O$1501,"Residentado")/$I46)</f>
        <v>0</v>
      </c>
      <c r="E46" s="19" t="n">
        <f aca="false">IF($I46=0,"",COUNTIFS(Egresados!$F$2:$F$1501,$A46,Egresados!$O$2:$O$1501,"Gestión o docencia en salud")/$I46)</f>
        <v>0</v>
      </c>
      <c r="F46" s="19" t="n">
        <f aca="false">IF($I46=0,"",COUNTIFS(Egresados!$F$2:$F$1501,$A46,Egresados!$O$2:$O$1501,"Otra área")/$I46)</f>
        <v>0</v>
      </c>
      <c r="G46" s="19" t="n">
        <f aca="false">IF($I46=0,"",COUNTIFS(Egresados!$F$2:$F$1501,$A46,Egresados!$O$2:$O$1501,"Posgrado sin laborar")/$I46)</f>
        <v>0</v>
      </c>
      <c r="H46" s="19" t="n">
        <f aca="false">IF($I46=0,"",COUNTIFS(Egresados!$F$2:$F$1501,$A46,Egresados!$O$2:$O$1501,"Sin empleo")/$I46)</f>
        <v>0.333333333333333</v>
      </c>
      <c r="I46" s="17" t="n">
        <f aca="false">COUNTIFS(Egresados!$F$2:$F$1501,$A46,Egresados!$O$2:$O$1501,"&lt;&gt;Sin información",Egresados!$O$2:$O$1501,"&lt;&gt;")</f>
        <v>3</v>
      </c>
      <c r="J46" s="21" t="n">
        <f aca="false">COUNTIFS(Egresados!$F$2:$F$1501,$A46,Egresados!$O$2:$O$1501,"Sin información")</f>
        <v>118</v>
      </c>
    </row>
    <row r="47" customFormat="false" ht="15" hidden="false" customHeight="false" outlineLevel="0" collapsed="false">
      <c r="A47" s="17" t="s">
        <v>105</v>
      </c>
      <c r="B47" s="19" t="n">
        <f aca="false">IF($I47=0,"",COUNTIFS(Egresados!$F$2:$F$1501,$A47,Egresados!$O$2:$O$1501,"Asistencial")/$I47)</f>
        <v>0.363636363636364</v>
      </c>
      <c r="C47" s="19" t="n">
        <f aca="false">IF($I47=0,"",COUNTIFS(Egresados!$F$2:$F$1501,$A47,Egresados!$O$2:$O$1501,"SERUMS")/$I47)</f>
        <v>0.454545454545455</v>
      </c>
      <c r="D47" s="19" t="n">
        <f aca="false">IF($I47=0,"",COUNTIFS(Egresados!$F$2:$F$1501,$A47,Egresados!$O$2:$O$1501,"Residentado")/$I47)</f>
        <v>0</v>
      </c>
      <c r="E47" s="19" t="n">
        <f aca="false">IF($I47=0,"",COUNTIFS(Egresados!$F$2:$F$1501,$A47,Egresados!$O$2:$O$1501,"Gestión o docencia en salud")/$I47)</f>
        <v>0</v>
      </c>
      <c r="F47" s="19" t="n">
        <f aca="false">IF($I47=0,"",COUNTIFS(Egresados!$F$2:$F$1501,$A47,Egresados!$O$2:$O$1501,"Otra área")/$I47)</f>
        <v>0</v>
      </c>
      <c r="G47" s="19" t="n">
        <f aca="false">IF($I47=0,"",COUNTIFS(Egresados!$F$2:$F$1501,$A47,Egresados!$O$2:$O$1501,"Posgrado sin laborar")/$I47)</f>
        <v>0</v>
      </c>
      <c r="H47" s="19" t="n">
        <f aca="false">IF($I47=0,"",COUNTIFS(Egresados!$F$2:$F$1501,$A47,Egresados!$O$2:$O$1501,"Sin empleo")/$I47)</f>
        <v>0.181818181818182</v>
      </c>
      <c r="I47" s="17" t="n">
        <f aca="false">COUNTIFS(Egresados!$F$2:$F$1501,$A47,Egresados!$O$2:$O$1501,"&lt;&gt;Sin información",Egresados!$O$2:$O$1501,"&lt;&gt;")</f>
        <v>11</v>
      </c>
      <c r="J47" s="21" t="n">
        <f aca="false">COUNTIFS(Egresados!$F$2:$F$1501,$A47,Egresados!$O$2:$O$1501,"Sin información")</f>
        <v>60</v>
      </c>
    </row>
    <row r="48" customFormat="false" ht="15" hidden="false" customHeight="false" outlineLevel="0" collapsed="false">
      <c r="A48" s="17" t="s">
        <v>106</v>
      </c>
      <c r="B48" s="19" t="n">
        <f aca="false">IF($I48=0,"",COUNTIFS(Egresados!$F$2:$F$1501,$A48,Egresados!$O$2:$O$1501,"Asistencial")/$I48)</f>
        <v>0.0303030303030303</v>
      </c>
      <c r="C48" s="19" t="n">
        <f aca="false">IF($I48=0,"",COUNTIFS(Egresados!$F$2:$F$1501,$A48,Egresados!$O$2:$O$1501,"SERUMS")/$I48)</f>
        <v>0.181818181818182</v>
      </c>
      <c r="D48" s="19" t="n">
        <f aca="false">IF($I48=0,"",COUNTIFS(Egresados!$F$2:$F$1501,$A48,Egresados!$O$2:$O$1501,"Residentado")/$I48)</f>
        <v>0</v>
      </c>
      <c r="E48" s="19" t="n">
        <f aca="false">IF($I48=0,"",COUNTIFS(Egresados!$F$2:$F$1501,$A48,Egresados!$O$2:$O$1501,"Gestión o docencia en salud")/$I48)</f>
        <v>0</v>
      </c>
      <c r="F48" s="19" t="n">
        <f aca="false">IF($I48=0,"",COUNTIFS(Egresados!$F$2:$F$1501,$A48,Egresados!$O$2:$O$1501,"Otra área")/$I48)</f>
        <v>0</v>
      </c>
      <c r="G48" s="19" t="n">
        <f aca="false">IF($I48=0,"",COUNTIFS(Egresados!$F$2:$F$1501,$A48,Egresados!$O$2:$O$1501,"Posgrado sin laborar")/$I48)</f>
        <v>0</v>
      </c>
      <c r="H48" s="19" t="n">
        <f aca="false">IF($I48=0,"",COUNTIFS(Egresados!$F$2:$F$1501,$A48,Egresados!$O$2:$O$1501,"Sin empleo")/$I48)</f>
        <v>0.787878787878788</v>
      </c>
      <c r="I48" s="17" t="n">
        <f aca="false">COUNTIFS(Egresados!$F$2:$F$1501,$A48,Egresados!$O$2:$O$1501,"&lt;&gt;Sin información",Egresados!$O$2:$O$1501,"&lt;&gt;")</f>
        <v>33</v>
      </c>
      <c r="J48" s="21" t="n">
        <f aca="false">COUNTIFS(Egresados!$F$2:$F$1501,$A48,Egresados!$O$2:$O$1501,"Sin información")</f>
        <v>169</v>
      </c>
    </row>
    <row r="49" customFormat="false" ht="15" hidden="false" customHeight="false" outlineLevel="0" collapsed="false">
      <c r="A49" s="17" t="s">
        <v>107</v>
      </c>
      <c r="B49" s="19" t="n">
        <f aca="false">IF($I49=0,"",COUNTIFS(Egresados!$F$2:$F$1501,$A49,Egresados!$O$2:$O$1501,"Asistencial")/$I49)</f>
        <v>0</v>
      </c>
      <c r="C49" s="19" t="n">
        <f aca="false">IF($I49=0,"",COUNTIFS(Egresados!$F$2:$F$1501,$A49,Egresados!$O$2:$O$1501,"SERUMS")/$I49)</f>
        <v>0</v>
      </c>
      <c r="D49" s="19" t="n">
        <f aca="false">IF($I49=0,"",COUNTIFS(Egresados!$F$2:$F$1501,$A49,Egresados!$O$2:$O$1501,"Residentado")/$I49)</f>
        <v>0</v>
      </c>
      <c r="E49" s="19" t="n">
        <f aca="false">IF($I49=0,"",COUNTIFS(Egresados!$F$2:$F$1501,$A49,Egresados!$O$2:$O$1501,"Gestión o docencia en salud")/$I49)</f>
        <v>0</v>
      </c>
      <c r="F49" s="19" t="n">
        <f aca="false">IF($I49=0,"",COUNTIFS(Egresados!$F$2:$F$1501,$A49,Egresados!$O$2:$O$1501,"Otra área")/$I49)</f>
        <v>0.0454545454545455</v>
      </c>
      <c r="G49" s="19" t="n">
        <f aca="false">IF($I49=0,"",COUNTIFS(Egresados!$F$2:$F$1501,$A49,Egresados!$O$2:$O$1501,"Posgrado sin laborar")/$I49)</f>
        <v>0</v>
      </c>
      <c r="H49" s="19" t="n">
        <f aca="false">IF($I49=0,"",COUNTIFS(Egresados!$F$2:$F$1501,$A49,Egresados!$O$2:$O$1501,"Sin empleo")/$I49)</f>
        <v>0.954545454545455</v>
      </c>
      <c r="I49" s="17" t="n">
        <f aca="false">COUNTIFS(Egresados!$F$2:$F$1501,$A49,Egresados!$O$2:$O$1501,"&lt;&gt;Sin información",Egresados!$O$2:$O$1501,"&lt;&gt;")</f>
        <v>22</v>
      </c>
      <c r="J49" s="21" t="n">
        <f aca="false">COUNTIFS(Egresados!$F$2:$F$1501,$A49,Egresados!$O$2:$O$1501,"Sin información")</f>
        <v>43</v>
      </c>
    </row>
    <row r="50" customFormat="false" ht="15" hidden="false" customHeight="false" outlineLevel="0" collapsed="false">
      <c r="A50" s="17" t="s">
        <v>108</v>
      </c>
      <c r="B50" s="19" t="str">
        <f aca="false">IF($I50=0,"",COUNTIFS(Egresados!$F$2:$F$1501,$A50,Egresados!$O$2:$O$1501,"Asistencial")/$I50)</f>
        <v/>
      </c>
      <c r="C50" s="19" t="str">
        <f aca="false">IF($I50=0,"",COUNTIFS(Egresados!$F$2:$F$1501,$A50,Egresados!$O$2:$O$1501,"SERUMS")/$I50)</f>
        <v/>
      </c>
      <c r="D50" s="19" t="str">
        <f aca="false">IF($I50=0,"",COUNTIFS(Egresados!$F$2:$F$1501,$A50,Egresados!$O$2:$O$1501,"Residentado")/$I50)</f>
        <v/>
      </c>
      <c r="E50" s="19" t="str">
        <f aca="false">IF($I50=0,"",COUNTIFS(Egresados!$F$2:$F$1501,$A50,Egresados!$O$2:$O$1501,"Gestión o docencia en salud")/$I50)</f>
        <v/>
      </c>
      <c r="F50" s="19" t="str">
        <f aca="false">IF($I50=0,"",COUNTIFS(Egresados!$F$2:$F$1501,$A50,Egresados!$O$2:$O$1501,"Otra área")/$I50)</f>
        <v/>
      </c>
      <c r="G50" s="19" t="str">
        <f aca="false">IF($I50=0,"",COUNTIFS(Egresados!$F$2:$F$1501,$A50,Egresados!$O$2:$O$1501,"Posgrado sin laborar")/$I50)</f>
        <v/>
      </c>
      <c r="H50" s="19" t="str">
        <f aca="false">IF($I50=0,"",COUNTIFS(Egresados!$F$2:$F$1501,$A50,Egresados!$O$2:$O$1501,"Sin empleo")/$I50)</f>
        <v/>
      </c>
      <c r="I50" s="17" t="n">
        <f aca="false">COUNTIFS(Egresados!$F$2:$F$1501,$A50,Egresados!$O$2:$O$1501,"&lt;&gt;Sin información",Egresados!$O$2:$O$1501,"&lt;&gt;")</f>
        <v>0</v>
      </c>
      <c r="J50" s="21" t="n">
        <f aca="false">COUNTIFS(Egresados!$F$2:$F$1501,$A50,Egresados!$O$2:$O$1501,"Sin información")</f>
        <v>147</v>
      </c>
    </row>
    <row r="51" customFormat="false" ht="15" hidden="false" customHeight="false" outlineLevel="0" collapsed="false">
      <c r="A51" s="17" t="s">
        <v>109</v>
      </c>
      <c r="B51" s="19" t="str">
        <f aca="false">IF($I51=0,"",COUNTIFS(Egresados!$F$2:$F$1501,$A51,Egresados!$O$2:$O$1501,"Asistencial")/$I51)</f>
        <v/>
      </c>
      <c r="C51" s="19" t="str">
        <f aca="false">IF($I51=0,"",COUNTIFS(Egresados!$F$2:$F$1501,$A51,Egresados!$O$2:$O$1501,"SERUMS")/$I51)</f>
        <v/>
      </c>
      <c r="D51" s="19" t="str">
        <f aca="false">IF($I51=0,"",COUNTIFS(Egresados!$F$2:$F$1501,$A51,Egresados!$O$2:$O$1501,"Residentado")/$I51)</f>
        <v/>
      </c>
      <c r="E51" s="19" t="str">
        <f aca="false">IF($I51=0,"",COUNTIFS(Egresados!$F$2:$F$1501,$A51,Egresados!$O$2:$O$1501,"Gestión o docencia en salud")/$I51)</f>
        <v/>
      </c>
      <c r="F51" s="19" t="str">
        <f aca="false">IF($I51=0,"",COUNTIFS(Egresados!$F$2:$F$1501,$A51,Egresados!$O$2:$O$1501,"Otra área")/$I51)</f>
        <v/>
      </c>
      <c r="G51" s="19" t="str">
        <f aca="false">IF($I51=0,"",COUNTIFS(Egresados!$F$2:$F$1501,$A51,Egresados!$O$2:$O$1501,"Posgrado sin laborar")/$I51)</f>
        <v/>
      </c>
      <c r="H51" s="19" t="str">
        <f aca="false">IF($I51=0,"",COUNTIFS(Egresados!$F$2:$F$1501,$A51,Egresados!$O$2:$O$1501,"Sin empleo")/$I51)</f>
        <v/>
      </c>
      <c r="I51" s="17" t="n">
        <f aca="false">COUNTIFS(Egresados!$F$2:$F$1501,$A51,Egresados!$O$2:$O$1501,"&lt;&gt;Sin información",Egresados!$O$2:$O$1501,"&lt;&gt;")</f>
        <v>0</v>
      </c>
      <c r="J51" s="21" t="n">
        <f aca="false">COUNTIFS(Egresados!$F$2:$F$1501,$A51,Egresados!$O$2:$O$1501,"Sin información")</f>
        <v>0</v>
      </c>
    </row>
    <row r="52" customFormat="false" ht="15" hidden="false" customHeight="false" outlineLevel="0" collapsed="false">
      <c r="A52" s="17" t="s">
        <v>26</v>
      </c>
      <c r="B52" s="19" t="str">
        <f aca="false">IF($I52=0,"",COUNTIFS(Egresados!$F$2:$F$1501,$A52,Egresados!$O$2:$O$1501,"Asistencial")/$I52)</f>
        <v/>
      </c>
      <c r="C52" s="19" t="str">
        <f aca="false">IF($I52=0,"",COUNTIFS(Egresados!$F$2:$F$1501,$A52,Egresados!$O$2:$O$1501,"SERUMS")/$I52)</f>
        <v/>
      </c>
      <c r="D52" s="19" t="str">
        <f aca="false">IF($I52=0,"",COUNTIFS(Egresados!$F$2:$F$1501,$A52,Egresados!$O$2:$O$1501,"Residentado")/$I52)</f>
        <v/>
      </c>
      <c r="E52" s="19" t="str">
        <f aca="false">IF($I52=0,"",COUNTIFS(Egresados!$F$2:$F$1501,$A52,Egresados!$O$2:$O$1501,"Gestión o docencia en salud")/$I52)</f>
        <v/>
      </c>
      <c r="F52" s="19" t="str">
        <f aca="false">IF($I52=0,"",COUNTIFS(Egresados!$F$2:$F$1501,$A52,Egresados!$O$2:$O$1501,"Otra área")/$I52)</f>
        <v/>
      </c>
      <c r="G52" s="19" t="str">
        <f aca="false">IF($I52=0,"",COUNTIFS(Egresados!$F$2:$F$1501,$A52,Egresados!$O$2:$O$1501,"Posgrado sin laborar")/$I52)</f>
        <v/>
      </c>
      <c r="H52" s="19" t="str">
        <f aca="false">IF($I52=0,"",COUNTIFS(Egresados!$F$2:$F$1501,$A52,Egresados!$O$2:$O$1501,"Sin empleo")/$I52)</f>
        <v/>
      </c>
      <c r="I52" s="17" t="n">
        <f aca="false">COUNTIFS(Egresados!$F$2:$F$1501,$A52,Egresados!$O$2:$O$1501,"&lt;&gt;Sin información",Egresados!$O$2:$O$1501,"&lt;&gt;")</f>
        <v>0</v>
      </c>
      <c r="J52" s="21" t="n">
        <f aca="false">COUNTIFS(Egresados!$F$2:$F$1501,$A52,Egresados!$O$2:$O$1501,"Sin información")</f>
        <v>0</v>
      </c>
    </row>
    <row r="53" customFormat="false" ht="15" hidden="false" customHeight="false" outlineLevel="0" collapsed="false">
      <c r="A53" s="17" t="s">
        <v>110</v>
      </c>
      <c r="B53" s="19" t="str">
        <f aca="false">IF($I53=0,"",COUNTIFS(Egresados!$F$2:$F$1501,$A53,Egresados!$O$2:$O$1501,"Asistencial")/$I53)</f>
        <v/>
      </c>
      <c r="C53" s="19" t="str">
        <f aca="false">IF($I53=0,"",COUNTIFS(Egresados!$F$2:$F$1501,$A53,Egresados!$O$2:$O$1501,"SERUMS")/$I53)</f>
        <v/>
      </c>
      <c r="D53" s="19" t="str">
        <f aca="false">IF($I53=0,"",COUNTIFS(Egresados!$F$2:$F$1501,$A53,Egresados!$O$2:$O$1501,"Residentado")/$I53)</f>
        <v/>
      </c>
      <c r="E53" s="19" t="str">
        <f aca="false">IF($I53=0,"",COUNTIFS(Egresados!$F$2:$F$1501,$A53,Egresados!$O$2:$O$1501,"Gestión o docencia en salud")/$I53)</f>
        <v/>
      </c>
      <c r="F53" s="19" t="str">
        <f aca="false">IF($I53=0,"",COUNTIFS(Egresados!$F$2:$F$1501,$A53,Egresados!$O$2:$O$1501,"Otra área")/$I53)</f>
        <v/>
      </c>
      <c r="G53" s="19" t="str">
        <f aca="false">IF($I53=0,"",COUNTIFS(Egresados!$F$2:$F$1501,$A53,Egresados!$O$2:$O$1501,"Posgrado sin laborar")/$I53)</f>
        <v/>
      </c>
      <c r="H53" s="19" t="str">
        <f aca="false">IF($I53=0,"",COUNTIFS(Egresados!$F$2:$F$1501,$A53,Egresados!$O$2:$O$1501,"Sin empleo")/$I53)</f>
        <v/>
      </c>
      <c r="I53" s="17" t="n">
        <f aca="false">COUNTIFS(Egresados!$F$2:$F$1501,$A53,Egresados!$O$2:$O$1501,"&lt;&gt;Sin información",Egresados!$O$2:$O$1501,"&lt;&gt;")</f>
        <v>0</v>
      </c>
      <c r="J53" s="21" t="n">
        <f aca="false">COUNTIFS(Egresados!$F$2:$F$1501,$A53,Egresados!$O$2:$O$1501,"Sin información")</f>
        <v>0</v>
      </c>
    </row>
    <row r="54" customFormat="false" ht="15" hidden="false" customHeight="false" outlineLevel="0" collapsed="false">
      <c r="A54" s="17" t="s">
        <v>111</v>
      </c>
      <c r="B54" s="19" t="str">
        <f aca="false">IF($I54=0,"",COUNTIFS(Egresados!$F$2:$F$1501,$A54,Egresados!$O$2:$O$1501,"Asistencial")/$I54)</f>
        <v/>
      </c>
      <c r="C54" s="19" t="str">
        <f aca="false">IF($I54=0,"",COUNTIFS(Egresados!$F$2:$F$1501,$A54,Egresados!$O$2:$O$1501,"SERUMS")/$I54)</f>
        <v/>
      </c>
      <c r="D54" s="19" t="str">
        <f aca="false">IF($I54=0,"",COUNTIFS(Egresados!$F$2:$F$1501,$A54,Egresados!$O$2:$O$1501,"Residentado")/$I54)</f>
        <v/>
      </c>
      <c r="E54" s="19" t="str">
        <f aca="false">IF($I54=0,"",COUNTIFS(Egresados!$F$2:$F$1501,$A54,Egresados!$O$2:$O$1501,"Gestión o docencia en salud")/$I54)</f>
        <v/>
      </c>
      <c r="F54" s="19" t="str">
        <f aca="false">IF($I54=0,"",COUNTIFS(Egresados!$F$2:$F$1501,$A54,Egresados!$O$2:$O$1501,"Otra área")/$I54)</f>
        <v/>
      </c>
      <c r="G54" s="19" t="str">
        <f aca="false">IF($I54=0,"",COUNTIFS(Egresados!$F$2:$F$1501,$A54,Egresados!$O$2:$O$1501,"Posgrado sin laborar")/$I54)</f>
        <v/>
      </c>
      <c r="H54" s="19" t="str">
        <f aca="false">IF($I54=0,"",COUNTIFS(Egresados!$F$2:$F$1501,$A54,Egresados!$O$2:$O$1501,"Sin empleo")/$I54)</f>
        <v/>
      </c>
      <c r="I54" s="17" t="n">
        <f aca="false">COUNTIFS(Egresados!$F$2:$F$1501,$A54,Egresados!$O$2:$O$1501,"&lt;&gt;Sin información",Egresados!$O$2:$O$1501,"&lt;&gt;")</f>
        <v>0</v>
      </c>
      <c r="J54" s="21" t="n">
        <f aca="false">COUNTIFS(Egresados!$F$2:$F$1501,$A54,Egresados!$O$2:$O$1501,"Sin información")</f>
        <v>0</v>
      </c>
    </row>
  </sheetData>
  <conditionalFormatting sqref="G6:G9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"En proceso"</formula>
    </cfRule>
    <cfRule type="cellIs" priority="4" operator="equal" aboveAverage="0" equalAverage="0" bottom="0" percent="0" rank="0" text="" dxfId="2">
      <formula>"Crítico"</formula>
    </cfRule>
  </conditionalFormatting>
  <conditionalFormatting sqref="F23:F28">
    <cfRule type="cellIs" priority="5" operator="equal" aboveAverage="0" equalAverage="0" bottom="0" percent="0" rank="0" text="" dxfId="0">
      <formula>"Cumple"</formula>
    </cfRule>
    <cfRule type="cellIs" priority="6" operator="equal" aboveAverage="0" equalAverage="0" bottom="0" percent="0" rank="0" text="" dxfId="1">
      <formula>"En proceso"</formula>
    </cfRule>
    <cfRule type="cellIs" priority="7" operator="equal" aboveAverage="0" equalAverage="0" bottom="0" percent="0" rank="0" text="" dxfId="2">
      <formula>"Crítico"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12"/>
    <col collapsed="false" customWidth="true" hidden="false" outlineLevel="0" max="20" min="20" style="0" width="36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5" min="23" style="0" width="12"/>
    <col collapsed="false" customWidth="true" hidden="false" outlineLevel="0" max="26" min="26" style="0" width="48"/>
    <col collapsed="false" customWidth="true" hidden="false" outlineLevel="0" max="27" min="27" style="0" width="44"/>
    <col collapsed="false" customWidth="true" hidden="false" outlineLevel="0" max="28" min="28" style="0" width="40"/>
  </cols>
  <sheetData>
    <row r="1" customFormat="false" ht="45" hidden="false" customHeight="true" outlineLevel="0" collapsed="false">
      <c r="A1" s="16" t="s">
        <v>112</v>
      </c>
      <c r="B1" s="16" t="s">
        <v>113</v>
      </c>
      <c r="C1" s="16" t="s">
        <v>114</v>
      </c>
      <c r="D1" s="16" t="s">
        <v>115</v>
      </c>
      <c r="E1" s="16" t="s">
        <v>116</v>
      </c>
      <c r="F1" s="16" t="s">
        <v>84</v>
      </c>
      <c r="G1" s="16" t="s">
        <v>117</v>
      </c>
      <c r="H1" s="16" t="s">
        <v>118</v>
      </c>
      <c r="I1" s="16" t="s">
        <v>45</v>
      </c>
      <c r="J1" s="16" t="s">
        <v>119</v>
      </c>
      <c r="K1" s="16" t="s">
        <v>120</v>
      </c>
      <c r="L1" s="16" t="s">
        <v>121</v>
      </c>
      <c r="M1" s="16" t="s">
        <v>122</v>
      </c>
      <c r="N1" s="16" t="s">
        <v>123</v>
      </c>
      <c r="O1" s="16" t="s">
        <v>124</v>
      </c>
      <c r="P1" s="16" t="s">
        <v>59</v>
      </c>
      <c r="Q1" s="16" t="s">
        <v>60</v>
      </c>
      <c r="R1" s="16" t="s">
        <v>125</v>
      </c>
      <c r="S1" s="16" t="s">
        <v>126</v>
      </c>
      <c r="T1" s="16" t="s">
        <v>127</v>
      </c>
      <c r="U1" s="16" t="s">
        <v>128</v>
      </c>
      <c r="V1" s="16" t="s">
        <v>129</v>
      </c>
      <c r="W1" s="16" t="s">
        <v>130</v>
      </c>
      <c r="X1" s="16" t="s">
        <v>131</v>
      </c>
      <c r="Y1" s="16" t="s">
        <v>132</v>
      </c>
      <c r="Z1" s="16" t="s">
        <v>133</v>
      </c>
      <c r="AA1" s="16" t="s">
        <v>134</v>
      </c>
      <c r="AB1" s="16" t="s">
        <v>135</v>
      </c>
    </row>
    <row r="2" customFormat="false" ht="15" hidden="false" customHeight="false" outlineLevel="0" collapsed="false">
      <c r="A2" s="22" t="n">
        <v>1</v>
      </c>
      <c r="B2" s="22" t="s">
        <v>136</v>
      </c>
      <c r="C2" s="22" t="s">
        <v>137</v>
      </c>
      <c r="D2" s="22" t="s">
        <v>138</v>
      </c>
      <c r="E2" s="22" t="s">
        <v>139</v>
      </c>
      <c r="F2" s="22" t="s">
        <v>92</v>
      </c>
      <c r="G2" s="23" t="n">
        <v>43137</v>
      </c>
      <c r="H2" s="24" t="n">
        <f aca="false">IF(G2="","",ROUND((Config!$C$4-G2)/365.25,2))</f>
        <v>8.65</v>
      </c>
      <c r="I2" s="25" t="str">
        <f aca="false">IF(H2="","",IF(H2&lt;=1,"Tramo 1",IF(H2&lt;=3,"Tramo 2",IF(H2&lt;=5,"Tramo 3","Tramo 4"))))</f>
        <v>Tramo 4</v>
      </c>
      <c r="J2" s="22" t="s">
        <v>140</v>
      </c>
      <c r="K2" s="22"/>
      <c r="L2" s="22" t="s">
        <v>141</v>
      </c>
      <c r="M2" s="26" t="s">
        <v>142</v>
      </c>
      <c r="N2" s="22"/>
      <c r="O2" s="22" t="s">
        <v>63</v>
      </c>
      <c r="P2" s="25" t="str">
        <f aca="false">IF(OR(O2="",O2="Sin información"),"",IFERROR(INDEX(Listas!$B$2:$B$9,MATCH(O2,Listas!$A$2:$A$9,0)),""))</f>
        <v/>
      </c>
      <c r="Q2" s="25" t="str">
        <f aca="false">IF(OR(O2="",O2="Sin información"),"",IFERROR(INDEX(Listas!$C$2:$C$9,MATCH(O2,Listas!$A$2:$A$9,0)),""))</f>
        <v/>
      </c>
      <c r="R2" s="22"/>
      <c r="S2" s="22"/>
      <c r="T2" s="25" t="str">
        <f aca="false">IF(S2="","",IFERROR(INDEX(Empleadores!$B$2:$B$601,MATCH(S2,Empleadores!$A$2:$A$601,0)),"No encontrado"))</f>
        <v/>
      </c>
      <c r="U2" s="25" t="str">
        <f aca="false">IF(C2="","",IF(V2="","No",IF(Config!$C$4-V2&lt;=Config!$C$15,"Sí","No")))</f>
        <v>No</v>
      </c>
      <c r="V2" s="23"/>
      <c r="W2" s="22"/>
      <c r="X2" s="22"/>
      <c r="Y2" s="22"/>
      <c r="Z2" s="27"/>
      <c r="AA2" s="22"/>
      <c r="AB2" s="22"/>
    </row>
    <row r="3" customFormat="false" ht="15" hidden="false" customHeight="false" outlineLevel="0" collapsed="false">
      <c r="A3" s="22" t="n">
        <v>2</v>
      </c>
      <c r="B3" s="22" t="s">
        <v>143</v>
      </c>
      <c r="C3" s="22" t="s">
        <v>144</v>
      </c>
      <c r="D3" s="22" t="s">
        <v>138</v>
      </c>
      <c r="E3" s="22" t="s">
        <v>139</v>
      </c>
      <c r="F3" s="22" t="s">
        <v>92</v>
      </c>
      <c r="G3" s="23" t="n">
        <v>43137</v>
      </c>
      <c r="H3" s="24" t="n">
        <f aca="false">IF(G3="","",ROUND((Config!$C$4-G3)/365.25,2))</f>
        <v>8.65</v>
      </c>
      <c r="I3" s="25" t="str">
        <f aca="false">IF(H3="","",IF(H3&lt;=1,"Tramo 1",IF(H3&lt;=3,"Tramo 2",IF(H3&lt;=5,"Tramo 3","Tramo 4"))))</f>
        <v>Tramo 4</v>
      </c>
      <c r="J3" s="22" t="s">
        <v>140</v>
      </c>
      <c r="K3" s="22"/>
      <c r="L3" s="22" t="s">
        <v>145</v>
      </c>
      <c r="M3" s="26" t="s">
        <v>146</v>
      </c>
      <c r="N3" s="22"/>
      <c r="O3" s="22" t="s">
        <v>63</v>
      </c>
      <c r="P3" s="25" t="str">
        <f aca="false">IF(OR(O3="",O3="Sin información"),"",IFERROR(INDEX(Listas!$B$2:$B$9,MATCH(O3,Listas!$A$2:$A$9,0)),""))</f>
        <v/>
      </c>
      <c r="Q3" s="25" t="str">
        <f aca="false">IF(OR(O3="",O3="Sin información"),"",IFERROR(INDEX(Listas!$C$2:$C$9,MATCH(O3,Listas!$A$2:$A$9,0)),""))</f>
        <v/>
      </c>
      <c r="R3" s="22"/>
      <c r="S3" s="22"/>
      <c r="T3" s="25" t="str">
        <f aca="false">IF(S3="","",IFERROR(INDEX(Empleadores!$B$2:$B$601,MATCH(S3,Empleadores!$A$2:$A$601,0)),"No encontrado"))</f>
        <v/>
      </c>
      <c r="U3" s="25" t="str">
        <f aca="false">IF(C3="","",IF(V3="","No",IF(Config!$C$4-V3&lt;=Config!$C$15,"Sí","No")))</f>
        <v>No</v>
      </c>
      <c r="V3" s="23"/>
      <c r="W3" s="22"/>
      <c r="X3" s="22"/>
      <c r="Y3" s="22"/>
      <c r="Z3" s="27"/>
      <c r="AA3" s="22"/>
      <c r="AB3" s="22"/>
    </row>
    <row r="4" customFormat="false" ht="15" hidden="false" customHeight="false" outlineLevel="0" collapsed="false">
      <c r="A4" s="22" t="n">
        <v>3</v>
      </c>
      <c r="B4" s="22" t="s">
        <v>147</v>
      </c>
      <c r="C4" s="22" t="s">
        <v>148</v>
      </c>
      <c r="D4" s="22" t="s">
        <v>149</v>
      </c>
      <c r="E4" s="22" t="s">
        <v>139</v>
      </c>
      <c r="F4" s="22" t="s">
        <v>92</v>
      </c>
      <c r="G4" s="23" t="n">
        <v>43137</v>
      </c>
      <c r="H4" s="24" t="n">
        <f aca="false">IF(G4="","",ROUND((Config!$C$4-G4)/365.25,2))</f>
        <v>8.65</v>
      </c>
      <c r="I4" s="25" t="str">
        <f aca="false">IF(H4="","",IF(H4&lt;=1,"Tramo 1",IF(H4&lt;=3,"Tramo 2",IF(H4&lt;=5,"Tramo 3","Tramo 4"))))</f>
        <v>Tramo 4</v>
      </c>
      <c r="J4" s="22" t="s">
        <v>140</v>
      </c>
      <c r="K4" s="22"/>
      <c r="L4" s="22" t="s">
        <v>150</v>
      </c>
      <c r="M4" s="26" t="s">
        <v>151</v>
      </c>
      <c r="N4" s="22"/>
      <c r="O4" s="22" t="s">
        <v>63</v>
      </c>
      <c r="P4" s="25" t="str">
        <f aca="false">IF(OR(O4="",O4="Sin información"),"",IFERROR(INDEX(Listas!$B$2:$B$9,MATCH(O4,Listas!$A$2:$A$9,0)),""))</f>
        <v/>
      </c>
      <c r="Q4" s="25" t="str">
        <f aca="false">IF(OR(O4="",O4="Sin información"),"",IFERROR(INDEX(Listas!$C$2:$C$9,MATCH(O4,Listas!$A$2:$A$9,0)),""))</f>
        <v/>
      </c>
      <c r="R4" s="22"/>
      <c r="S4" s="22"/>
      <c r="T4" s="25" t="str">
        <f aca="false">IF(S4="","",IFERROR(INDEX(Empleadores!$B$2:$B$601,MATCH(S4,Empleadores!$A$2:$A$601,0)),"No encontrado"))</f>
        <v/>
      </c>
      <c r="U4" s="25" t="str">
        <f aca="false">IF(C4="","",IF(V4="","No",IF(Config!$C$4-V4&lt;=Config!$C$15,"Sí","No")))</f>
        <v>No</v>
      </c>
      <c r="V4" s="23"/>
      <c r="W4" s="22"/>
      <c r="X4" s="22"/>
      <c r="Y4" s="22"/>
      <c r="Z4" s="27"/>
      <c r="AA4" s="22"/>
      <c r="AB4" s="22"/>
    </row>
    <row r="5" customFormat="false" ht="15" hidden="false" customHeight="false" outlineLevel="0" collapsed="false">
      <c r="A5" s="22" t="n">
        <v>4</v>
      </c>
      <c r="B5" s="22" t="s">
        <v>152</v>
      </c>
      <c r="C5" s="22" t="s">
        <v>153</v>
      </c>
      <c r="D5" s="22" t="s">
        <v>149</v>
      </c>
      <c r="E5" s="22" t="s">
        <v>139</v>
      </c>
      <c r="F5" s="22" t="s">
        <v>92</v>
      </c>
      <c r="G5" s="23" t="n">
        <v>43137</v>
      </c>
      <c r="H5" s="24" t="n">
        <f aca="false">IF(G5="","",ROUND((Config!$C$4-G5)/365.25,2))</f>
        <v>8.65</v>
      </c>
      <c r="I5" s="25" t="str">
        <f aca="false">IF(H5="","",IF(H5&lt;=1,"Tramo 1",IF(H5&lt;=3,"Tramo 2",IF(H5&lt;=5,"Tramo 3","Tramo 4"))))</f>
        <v>Tramo 4</v>
      </c>
      <c r="J5" s="22" t="s">
        <v>140</v>
      </c>
      <c r="K5" s="22"/>
      <c r="L5" s="22" t="s">
        <v>154</v>
      </c>
      <c r="M5" s="26" t="s">
        <v>155</v>
      </c>
      <c r="N5" s="22"/>
      <c r="O5" s="22" t="s">
        <v>63</v>
      </c>
      <c r="P5" s="25" t="str">
        <f aca="false">IF(OR(O5="",O5="Sin información"),"",IFERROR(INDEX(Listas!$B$2:$B$9,MATCH(O5,Listas!$A$2:$A$9,0)),""))</f>
        <v/>
      </c>
      <c r="Q5" s="25" t="str">
        <f aca="false">IF(OR(O5="",O5="Sin información"),"",IFERROR(INDEX(Listas!$C$2:$C$9,MATCH(O5,Listas!$A$2:$A$9,0)),""))</f>
        <v/>
      </c>
      <c r="R5" s="22"/>
      <c r="S5" s="22"/>
      <c r="T5" s="25" t="str">
        <f aca="false">IF(S5="","",IFERROR(INDEX(Empleadores!$B$2:$B$601,MATCH(S5,Empleadores!$A$2:$A$601,0)),"No encontrado"))</f>
        <v/>
      </c>
      <c r="U5" s="25" t="str">
        <f aca="false">IF(C5="","",IF(V5="","No",IF(Config!$C$4-V5&lt;=Config!$C$15,"Sí","No")))</f>
        <v>No</v>
      </c>
      <c r="V5" s="23"/>
      <c r="W5" s="22"/>
      <c r="X5" s="22"/>
      <c r="Y5" s="22"/>
      <c r="Z5" s="27"/>
      <c r="AA5" s="22"/>
      <c r="AB5" s="22"/>
    </row>
    <row r="6" customFormat="false" ht="15" hidden="false" customHeight="false" outlineLevel="0" collapsed="false">
      <c r="A6" s="22" t="n">
        <v>5</v>
      </c>
      <c r="B6" s="22" t="s">
        <v>156</v>
      </c>
      <c r="C6" s="22" t="s">
        <v>157</v>
      </c>
      <c r="D6" s="22" t="s">
        <v>138</v>
      </c>
      <c r="E6" s="22" t="s">
        <v>139</v>
      </c>
      <c r="F6" s="22" t="s">
        <v>92</v>
      </c>
      <c r="G6" s="23" t="n">
        <v>43137</v>
      </c>
      <c r="H6" s="24" t="n">
        <f aca="false">IF(G6="","",ROUND((Config!$C$4-G6)/365.25,2))</f>
        <v>8.65</v>
      </c>
      <c r="I6" s="25" t="str">
        <f aca="false">IF(H6="","",IF(H6&lt;=1,"Tramo 1",IF(H6&lt;=3,"Tramo 2",IF(H6&lt;=5,"Tramo 3","Tramo 4"))))</f>
        <v>Tramo 4</v>
      </c>
      <c r="J6" s="22" t="s">
        <v>140</v>
      </c>
      <c r="K6" s="22"/>
      <c r="L6" s="22" t="s">
        <v>158</v>
      </c>
      <c r="M6" s="26" t="s">
        <v>159</v>
      </c>
      <c r="N6" s="22"/>
      <c r="O6" s="22" t="s">
        <v>63</v>
      </c>
      <c r="P6" s="25" t="str">
        <f aca="false">IF(OR(O6="",O6="Sin información"),"",IFERROR(INDEX(Listas!$B$2:$B$9,MATCH(O6,Listas!$A$2:$A$9,0)),""))</f>
        <v/>
      </c>
      <c r="Q6" s="25" t="str">
        <f aca="false">IF(OR(O6="",O6="Sin información"),"",IFERROR(INDEX(Listas!$C$2:$C$9,MATCH(O6,Listas!$A$2:$A$9,0)),""))</f>
        <v/>
      </c>
      <c r="R6" s="22"/>
      <c r="S6" s="22"/>
      <c r="T6" s="25" t="str">
        <f aca="false">IF(S6="","",IFERROR(INDEX(Empleadores!$B$2:$B$601,MATCH(S6,Empleadores!$A$2:$A$601,0)),"No encontrado"))</f>
        <v/>
      </c>
      <c r="U6" s="25" t="str">
        <f aca="false">IF(C6="","",IF(V6="","No",IF(Config!$C$4-V6&lt;=Config!$C$15,"Sí","No")))</f>
        <v>No</v>
      </c>
      <c r="V6" s="23"/>
      <c r="W6" s="22"/>
      <c r="X6" s="22"/>
      <c r="Y6" s="22"/>
      <c r="Z6" s="27"/>
      <c r="AA6" s="22"/>
      <c r="AB6" s="22"/>
    </row>
    <row r="7" customFormat="false" ht="15" hidden="false" customHeight="false" outlineLevel="0" collapsed="false">
      <c r="A7" s="22" t="n">
        <v>6</v>
      </c>
      <c r="B7" s="22" t="s">
        <v>160</v>
      </c>
      <c r="C7" s="22" t="s">
        <v>161</v>
      </c>
      <c r="D7" s="22" t="s">
        <v>149</v>
      </c>
      <c r="E7" s="22" t="s">
        <v>139</v>
      </c>
      <c r="F7" s="22" t="s">
        <v>92</v>
      </c>
      <c r="G7" s="23" t="n">
        <v>43137</v>
      </c>
      <c r="H7" s="24" t="n">
        <f aca="false">IF(G7="","",ROUND((Config!$C$4-G7)/365.25,2))</f>
        <v>8.65</v>
      </c>
      <c r="I7" s="25" t="str">
        <f aca="false">IF(H7="","",IF(H7&lt;=1,"Tramo 1",IF(H7&lt;=3,"Tramo 2",IF(H7&lt;=5,"Tramo 3","Tramo 4"))))</f>
        <v>Tramo 4</v>
      </c>
      <c r="J7" s="22" t="s">
        <v>140</v>
      </c>
      <c r="K7" s="22"/>
      <c r="L7" s="22" t="s">
        <v>162</v>
      </c>
      <c r="M7" s="26" t="s">
        <v>163</v>
      </c>
      <c r="N7" s="22"/>
      <c r="O7" s="22" t="s">
        <v>63</v>
      </c>
      <c r="P7" s="25" t="str">
        <f aca="false">IF(OR(O7="",O7="Sin información"),"",IFERROR(INDEX(Listas!$B$2:$B$9,MATCH(O7,Listas!$A$2:$A$9,0)),""))</f>
        <v/>
      </c>
      <c r="Q7" s="25" t="str">
        <f aca="false">IF(OR(O7="",O7="Sin información"),"",IFERROR(INDEX(Listas!$C$2:$C$9,MATCH(O7,Listas!$A$2:$A$9,0)),""))</f>
        <v/>
      </c>
      <c r="R7" s="22"/>
      <c r="S7" s="22"/>
      <c r="T7" s="25" t="str">
        <f aca="false">IF(S7="","",IFERROR(INDEX(Empleadores!$B$2:$B$601,MATCH(S7,Empleadores!$A$2:$A$601,0)),"No encontrado"))</f>
        <v/>
      </c>
      <c r="U7" s="25" t="str">
        <f aca="false">IF(C7="","",IF(V7="","No",IF(Config!$C$4-V7&lt;=Config!$C$15,"Sí","No")))</f>
        <v>No</v>
      </c>
      <c r="V7" s="23"/>
      <c r="W7" s="22"/>
      <c r="X7" s="22"/>
      <c r="Y7" s="22"/>
      <c r="Z7" s="27"/>
      <c r="AA7" s="22"/>
      <c r="AB7" s="22"/>
    </row>
    <row r="8" customFormat="false" ht="15" hidden="false" customHeight="false" outlineLevel="0" collapsed="false">
      <c r="A8" s="22" t="n">
        <v>7</v>
      </c>
      <c r="B8" s="22" t="s">
        <v>164</v>
      </c>
      <c r="C8" s="22" t="s">
        <v>165</v>
      </c>
      <c r="D8" s="22" t="s">
        <v>149</v>
      </c>
      <c r="E8" s="22" t="s">
        <v>139</v>
      </c>
      <c r="F8" s="22" t="s">
        <v>92</v>
      </c>
      <c r="G8" s="23" t="n">
        <v>43137</v>
      </c>
      <c r="H8" s="24" t="n">
        <f aca="false">IF(G8="","",ROUND((Config!$C$4-G8)/365.25,2))</f>
        <v>8.65</v>
      </c>
      <c r="I8" s="25" t="str">
        <f aca="false">IF(H8="","",IF(H8&lt;=1,"Tramo 1",IF(H8&lt;=3,"Tramo 2",IF(H8&lt;=5,"Tramo 3","Tramo 4"))))</f>
        <v>Tramo 4</v>
      </c>
      <c r="J8" s="22" t="s">
        <v>166</v>
      </c>
      <c r="K8" s="22"/>
      <c r="L8" s="22" t="s">
        <v>167</v>
      </c>
      <c r="M8" s="26" t="s">
        <v>168</v>
      </c>
      <c r="N8" s="22"/>
      <c r="O8" s="22" t="s">
        <v>63</v>
      </c>
      <c r="P8" s="25" t="str">
        <f aca="false">IF(OR(O8="",O8="Sin información"),"",IFERROR(INDEX(Listas!$B$2:$B$9,MATCH(O8,Listas!$A$2:$A$9,0)),""))</f>
        <v/>
      </c>
      <c r="Q8" s="25" t="str">
        <f aca="false">IF(OR(O8="",O8="Sin información"),"",IFERROR(INDEX(Listas!$C$2:$C$9,MATCH(O8,Listas!$A$2:$A$9,0)),""))</f>
        <v/>
      </c>
      <c r="R8" s="22"/>
      <c r="S8" s="22"/>
      <c r="T8" s="25" t="str">
        <f aca="false">IF(S8="","",IFERROR(INDEX(Empleadores!$B$2:$B$601,MATCH(S8,Empleadores!$A$2:$A$601,0)),"No encontrado"))</f>
        <v/>
      </c>
      <c r="U8" s="25" t="str">
        <f aca="false">IF(C8="","",IF(V8="","No",IF(Config!$C$4-V8&lt;=Config!$C$15,"Sí","No")))</f>
        <v>No</v>
      </c>
      <c r="V8" s="23"/>
      <c r="W8" s="22"/>
      <c r="X8" s="22"/>
      <c r="Y8" s="22"/>
      <c r="Z8" s="27"/>
      <c r="AA8" s="22"/>
      <c r="AB8" s="22"/>
    </row>
    <row r="9" customFormat="false" ht="15" hidden="false" customHeight="false" outlineLevel="0" collapsed="false">
      <c r="A9" s="22" t="n">
        <v>8</v>
      </c>
      <c r="B9" s="22" t="s">
        <v>169</v>
      </c>
      <c r="C9" s="22" t="s">
        <v>170</v>
      </c>
      <c r="D9" s="22" t="s">
        <v>149</v>
      </c>
      <c r="E9" s="22" t="s">
        <v>139</v>
      </c>
      <c r="F9" s="22" t="s">
        <v>92</v>
      </c>
      <c r="G9" s="23" t="n">
        <v>43137</v>
      </c>
      <c r="H9" s="24" t="n">
        <f aca="false">IF(G9="","",ROUND((Config!$C$4-G9)/365.25,2))</f>
        <v>8.65</v>
      </c>
      <c r="I9" s="25" t="str">
        <f aca="false">IF(H9="","",IF(H9&lt;=1,"Tramo 1",IF(H9&lt;=3,"Tramo 2",IF(H9&lt;=5,"Tramo 3","Tramo 4"))))</f>
        <v>Tramo 4</v>
      </c>
      <c r="J9" s="22" t="s">
        <v>140</v>
      </c>
      <c r="K9" s="22"/>
      <c r="L9" s="22" t="s">
        <v>171</v>
      </c>
      <c r="M9" s="26" t="s">
        <v>172</v>
      </c>
      <c r="N9" s="22"/>
      <c r="O9" s="22" t="s">
        <v>63</v>
      </c>
      <c r="P9" s="25" t="str">
        <f aca="false">IF(OR(O9="",O9="Sin información"),"",IFERROR(INDEX(Listas!$B$2:$B$9,MATCH(O9,Listas!$A$2:$A$9,0)),""))</f>
        <v/>
      </c>
      <c r="Q9" s="25" t="str">
        <f aca="false">IF(OR(O9="",O9="Sin información"),"",IFERROR(INDEX(Listas!$C$2:$C$9,MATCH(O9,Listas!$A$2:$A$9,0)),""))</f>
        <v/>
      </c>
      <c r="R9" s="22"/>
      <c r="S9" s="22"/>
      <c r="T9" s="25" t="str">
        <f aca="false">IF(S9="","",IFERROR(INDEX(Empleadores!$B$2:$B$601,MATCH(S9,Empleadores!$A$2:$A$601,0)),"No encontrado"))</f>
        <v/>
      </c>
      <c r="U9" s="25" t="str">
        <f aca="false">IF(C9="","",IF(V9="","No",IF(Config!$C$4-V9&lt;=Config!$C$15,"Sí","No")))</f>
        <v>No</v>
      </c>
      <c r="V9" s="23"/>
      <c r="W9" s="22"/>
      <c r="X9" s="22"/>
      <c r="Y9" s="22"/>
      <c r="Z9" s="27"/>
      <c r="AA9" s="22"/>
      <c r="AB9" s="22"/>
    </row>
    <row r="10" customFormat="false" ht="15" hidden="false" customHeight="false" outlineLevel="0" collapsed="false">
      <c r="A10" s="22" t="n">
        <v>9</v>
      </c>
      <c r="B10" s="22" t="s">
        <v>173</v>
      </c>
      <c r="C10" s="22" t="s">
        <v>174</v>
      </c>
      <c r="D10" s="22" t="s">
        <v>149</v>
      </c>
      <c r="E10" s="22" t="s">
        <v>139</v>
      </c>
      <c r="F10" s="22" t="s">
        <v>92</v>
      </c>
      <c r="G10" s="23" t="n">
        <v>43137</v>
      </c>
      <c r="H10" s="24" t="n">
        <f aca="false">IF(G10="","",ROUND((Config!$C$4-G10)/365.25,2))</f>
        <v>8.65</v>
      </c>
      <c r="I10" s="25" t="str">
        <f aca="false">IF(H10="","",IF(H10&lt;=1,"Tramo 1",IF(H10&lt;=3,"Tramo 2",IF(H10&lt;=5,"Tramo 3","Tramo 4"))))</f>
        <v>Tramo 4</v>
      </c>
      <c r="J10" s="22" t="s">
        <v>140</v>
      </c>
      <c r="K10" s="22"/>
      <c r="L10" s="22" t="s">
        <v>175</v>
      </c>
      <c r="M10" s="26" t="s">
        <v>176</v>
      </c>
      <c r="N10" s="22"/>
      <c r="O10" s="22" t="s">
        <v>63</v>
      </c>
      <c r="P10" s="25" t="str">
        <f aca="false">IF(OR(O10="",O10="Sin información"),"",IFERROR(INDEX(Listas!$B$2:$B$9,MATCH(O10,Listas!$A$2:$A$9,0)),""))</f>
        <v/>
      </c>
      <c r="Q10" s="25" t="str">
        <f aca="false">IF(OR(O10="",O10="Sin información"),"",IFERROR(INDEX(Listas!$C$2:$C$9,MATCH(O10,Listas!$A$2:$A$9,0)),""))</f>
        <v/>
      </c>
      <c r="R10" s="22"/>
      <c r="S10" s="22"/>
      <c r="T10" s="25" t="str">
        <f aca="false">IF(S10="","",IFERROR(INDEX(Empleadores!$B$2:$B$601,MATCH(S10,Empleadores!$A$2:$A$601,0)),"No encontrado"))</f>
        <v/>
      </c>
      <c r="U10" s="25" t="str">
        <f aca="false">IF(C10="","",IF(V10="","No",IF(Config!$C$4-V10&lt;=Config!$C$15,"Sí","No")))</f>
        <v>No</v>
      </c>
      <c r="V10" s="23"/>
      <c r="W10" s="22"/>
      <c r="X10" s="22"/>
      <c r="Y10" s="22"/>
      <c r="Z10" s="27"/>
      <c r="AA10" s="22"/>
      <c r="AB10" s="22"/>
    </row>
    <row r="11" customFormat="false" ht="15" hidden="false" customHeight="false" outlineLevel="0" collapsed="false">
      <c r="A11" s="22" t="n">
        <v>10</v>
      </c>
      <c r="B11" s="22" t="s">
        <v>177</v>
      </c>
      <c r="C11" s="22" t="s">
        <v>178</v>
      </c>
      <c r="D11" s="22" t="s">
        <v>138</v>
      </c>
      <c r="E11" s="22" t="s">
        <v>139</v>
      </c>
      <c r="F11" s="22" t="s">
        <v>92</v>
      </c>
      <c r="G11" s="23" t="n">
        <v>43137</v>
      </c>
      <c r="H11" s="24" t="n">
        <f aca="false">IF(G11="","",ROUND((Config!$C$4-G11)/365.25,2))</f>
        <v>8.65</v>
      </c>
      <c r="I11" s="25" t="str">
        <f aca="false">IF(H11="","",IF(H11&lt;=1,"Tramo 1",IF(H11&lt;=3,"Tramo 2",IF(H11&lt;=5,"Tramo 3","Tramo 4"))))</f>
        <v>Tramo 4</v>
      </c>
      <c r="J11" s="22" t="s">
        <v>140</v>
      </c>
      <c r="K11" s="22"/>
      <c r="L11" s="22" t="s">
        <v>175</v>
      </c>
      <c r="M11" s="26" t="s">
        <v>179</v>
      </c>
      <c r="N11" s="22"/>
      <c r="O11" s="22" t="s">
        <v>85</v>
      </c>
      <c r="P11" s="25" t="str">
        <f aca="false">IF(OR(O11="",O11="Sin información"),"",IFERROR(INDEX(Listas!$B$2:$B$9,MATCH(O11,Listas!$A$2:$A$9,0)),""))</f>
        <v>Sí</v>
      </c>
      <c r="Q11" s="25" t="str">
        <f aca="false">IF(OR(O11="",O11="Sin información"),"",IFERROR(INDEX(Listas!$C$2:$C$9,MATCH(O11,Listas!$A$2:$A$9,0)),""))</f>
        <v>Sí</v>
      </c>
      <c r="R11" s="22"/>
      <c r="S11" s="22" t="s">
        <v>180</v>
      </c>
      <c r="T11" s="25" t="str">
        <f aca="false">IF(S11="","",IFERROR(INDEX(Empleadores!$B$2:$B$601,MATCH(S11,Empleadores!$A$2:$A$601,0)),"No encontrado"))</f>
        <v>Hospital Regional del Cusco</v>
      </c>
      <c r="U11" s="25" t="str">
        <f aca="false">IF(C11="","",IF(V11="","No",IF(Config!$C$4-V11&lt;=Config!$C$15,"Sí","No")))</f>
        <v>Sí</v>
      </c>
      <c r="V11" s="23" t="n">
        <v>45974</v>
      </c>
      <c r="W11" s="22"/>
      <c r="X11" s="22"/>
      <c r="Y11" s="22" t="s">
        <v>181</v>
      </c>
      <c r="Z11" s="27" t="s">
        <v>182</v>
      </c>
      <c r="AA11" s="22"/>
      <c r="AB11" s="22" t="s">
        <v>183</v>
      </c>
    </row>
    <row r="12" customFormat="false" ht="15" hidden="false" customHeight="false" outlineLevel="0" collapsed="false">
      <c r="A12" s="22" t="n">
        <v>11</v>
      </c>
      <c r="B12" s="22" t="s">
        <v>184</v>
      </c>
      <c r="C12" s="22" t="s">
        <v>185</v>
      </c>
      <c r="D12" s="22" t="s">
        <v>149</v>
      </c>
      <c r="E12" s="22" t="s">
        <v>139</v>
      </c>
      <c r="F12" s="22" t="s">
        <v>92</v>
      </c>
      <c r="G12" s="23" t="n">
        <v>43137</v>
      </c>
      <c r="H12" s="24" t="n">
        <f aca="false">IF(G12="","",ROUND((Config!$C$4-G12)/365.25,2))</f>
        <v>8.65</v>
      </c>
      <c r="I12" s="25" t="str">
        <f aca="false">IF(H12="","",IF(H12&lt;=1,"Tramo 1",IF(H12&lt;=3,"Tramo 2",IF(H12&lt;=5,"Tramo 3","Tramo 4"))))</f>
        <v>Tramo 4</v>
      </c>
      <c r="J12" s="22" t="s">
        <v>140</v>
      </c>
      <c r="K12" s="22"/>
      <c r="L12" s="22" t="s">
        <v>186</v>
      </c>
      <c r="M12" s="26" t="s">
        <v>187</v>
      </c>
      <c r="N12" s="22"/>
      <c r="O12" s="22" t="s">
        <v>63</v>
      </c>
      <c r="P12" s="25" t="str">
        <f aca="false">IF(OR(O12="",O12="Sin información"),"",IFERROR(INDEX(Listas!$B$2:$B$9,MATCH(O12,Listas!$A$2:$A$9,0)),""))</f>
        <v/>
      </c>
      <c r="Q12" s="25" t="str">
        <f aca="false">IF(OR(O12="",O12="Sin información"),"",IFERROR(INDEX(Listas!$C$2:$C$9,MATCH(O12,Listas!$A$2:$A$9,0)),""))</f>
        <v/>
      </c>
      <c r="R12" s="22"/>
      <c r="S12" s="22"/>
      <c r="T12" s="25" t="str">
        <f aca="false">IF(S12="","",IFERROR(INDEX(Empleadores!$B$2:$B$601,MATCH(S12,Empleadores!$A$2:$A$601,0)),"No encontrado"))</f>
        <v/>
      </c>
      <c r="U12" s="25" t="str">
        <f aca="false">IF(C12="","",IF(V12="","No",IF(Config!$C$4-V12&lt;=Config!$C$15,"Sí","No")))</f>
        <v>No</v>
      </c>
      <c r="V12" s="23"/>
      <c r="W12" s="22"/>
      <c r="X12" s="22"/>
      <c r="Y12" s="22"/>
      <c r="Z12" s="27"/>
      <c r="AA12" s="22"/>
      <c r="AB12" s="22"/>
    </row>
    <row r="13" customFormat="false" ht="15" hidden="false" customHeight="false" outlineLevel="0" collapsed="false">
      <c r="A13" s="22" t="n">
        <v>12</v>
      </c>
      <c r="B13" s="22" t="s">
        <v>188</v>
      </c>
      <c r="C13" s="22" t="s">
        <v>189</v>
      </c>
      <c r="D13" s="22" t="s">
        <v>149</v>
      </c>
      <c r="E13" s="22" t="s">
        <v>139</v>
      </c>
      <c r="F13" s="22" t="s">
        <v>92</v>
      </c>
      <c r="G13" s="23" t="n">
        <v>43137</v>
      </c>
      <c r="H13" s="24" t="n">
        <f aca="false">IF(G13="","",ROUND((Config!$C$4-G13)/365.25,2))</f>
        <v>8.65</v>
      </c>
      <c r="I13" s="25" t="str">
        <f aca="false">IF(H13="","",IF(H13&lt;=1,"Tramo 1",IF(H13&lt;=3,"Tramo 2",IF(H13&lt;=5,"Tramo 3","Tramo 4"))))</f>
        <v>Tramo 4</v>
      </c>
      <c r="J13" s="22" t="s">
        <v>140</v>
      </c>
      <c r="K13" s="22"/>
      <c r="L13" s="22" t="s">
        <v>190</v>
      </c>
      <c r="M13" s="26" t="s">
        <v>191</v>
      </c>
      <c r="N13" s="22"/>
      <c r="O13" s="22" t="s">
        <v>63</v>
      </c>
      <c r="P13" s="25" t="str">
        <f aca="false">IF(OR(O13="",O13="Sin información"),"",IFERROR(INDEX(Listas!$B$2:$B$9,MATCH(O13,Listas!$A$2:$A$9,0)),""))</f>
        <v/>
      </c>
      <c r="Q13" s="25" t="str">
        <f aca="false">IF(OR(O13="",O13="Sin información"),"",IFERROR(INDEX(Listas!$C$2:$C$9,MATCH(O13,Listas!$A$2:$A$9,0)),""))</f>
        <v/>
      </c>
      <c r="R13" s="22"/>
      <c r="S13" s="22"/>
      <c r="T13" s="25" t="str">
        <f aca="false">IF(S13="","",IFERROR(INDEX(Empleadores!$B$2:$B$601,MATCH(S13,Empleadores!$A$2:$A$601,0)),"No encontrado"))</f>
        <v/>
      </c>
      <c r="U13" s="25" t="str">
        <f aca="false">IF(C13="","",IF(V13="","No",IF(Config!$C$4-V13&lt;=Config!$C$15,"Sí","No")))</f>
        <v>No</v>
      </c>
      <c r="V13" s="23"/>
      <c r="W13" s="22"/>
      <c r="X13" s="22"/>
      <c r="Y13" s="22"/>
      <c r="Z13" s="27"/>
      <c r="AA13" s="22"/>
      <c r="AB13" s="22"/>
    </row>
    <row r="14" customFormat="false" ht="15" hidden="false" customHeight="false" outlineLevel="0" collapsed="false">
      <c r="A14" s="22" t="n">
        <v>13</v>
      </c>
      <c r="B14" s="22" t="s">
        <v>192</v>
      </c>
      <c r="C14" s="22" t="s">
        <v>193</v>
      </c>
      <c r="D14" s="22" t="s">
        <v>138</v>
      </c>
      <c r="E14" s="22" t="s">
        <v>139</v>
      </c>
      <c r="F14" s="22" t="s">
        <v>92</v>
      </c>
      <c r="G14" s="23" t="n">
        <v>43137</v>
      </c>
      <c r="H14" s="24" t="n">
        <f aca="false">IF(G14="","",ROUND((Config!$C$4-G14)/365.25,2))</f>
        <v>8.65</v>
      </c>
      <c r="I14" s="25" t="str">
        <f aca="false">IF(H14="","",IF(H14&lt;=1,"Tramo 1",IF(H14&lt;=3,"Tramo 2",IF(H14&lt;=5,"Tramo 3","Tramo 4"))))</f>
        <v>Tramo 4</v>
      </c>
      <c r="J14" s="22" t="s">
        <v>140</v>
      </c>
      <c r="K14" s="22"/>
      <c r="L14" s="22" t="s">
        <v>194</v>
      </c>
      <c r="M14" s="26" t="s">
        <v>195</v>
      </c>
      <c r="N14" s="22"/>
      <c r="O14" s="22" t="s">
        <v>63</v>
      </c>
      <c r="P14" s="25" t="str">
        <f aca="false">IF(OR(O14="",O14="Sin información"),"",IFERROR(INDEX(Listas!$B$2:$B$9,MATCH(O14,Listas!$A$2:$A$9,0)),""))</f>
        <v/>
      </c>
      <c r="Q14" s="25" t="str">
        <f aca="false">IF(OR(O14="",O14="Sin información"),"",IFERROR(INDEX(Listas!$C$2:$C$9,MATCH(O14,Listas!$A$2:$A$9,0)),""))</f>
        <v/>
      </c>
      <c r="R14" s="22"/>
      <c r="S14" s="22"/>
      <c r="T14" s="25" t="str">
        <f aca="false">IF(S14="","",IFERROR(INDEX(Empleadores!$B$2:$B$601,MATCH(S14,Empleadores!$A$2:$A$601,0)),"No encontrado"))</f>
        <v/>
      </c>
      <c r="U14" s="25" t="str">
        <f aca="false">IF(C14="","",IF(V14="","No",IF(Config!$C$4-V14&lt;=Config!$C$15,"Sí","No")))</f>
        <v>No</v>
      </c>
      <c r="V14" s="23"/>
      <c r="W14" s="22"/>
      <c r="X14" s="22"/>
      <c r="Y14" s="22"/>
      <c r="Z14" s="27"/>
      <c r="AA14" s="22"/>
      <c r="AB14" s="22"/>
    </row>
    <row r="15" customFormat="false" ht="15" hidden="false" customHeight="false" outlineLevel="0" collapsed="false">
      <c r="A15" s="22" t="n">
        <v>14</v>
      </c>
      <c r="B15" s="22" t="s">
        <v>196</v>
      </c>
      <c r="C15" s="22" t="s">
        <v>197</v>
      </c>
      <c r="D15" s="22" t="s">
        <v>138</v>
      </c>
      <c r="E15" s="22" t="s">
        <v>139</v>
      </c>
      <c r="F15" s="22" t="s">
        <v>92</v>
      </c>
      <c r="G15" s="23" t="n">
        <v>43137</v>
      </c>
      <c r="H15" s="24" t="n">
        <f aca="false">IF(G15="","",ROUND((Config!$C$4-G15)/365.25,2))</f>
        <v>8.65</v>
      </c>
      <c r="I15" s="25" t="str">
        <f aca="false">IF(H15="","",IF(H15&lt;=1,"Tramo 1",IF(H15&lt;=3,"Tramo 2",IF(H15&lt;=5,"Tramo 3","Tramo 4"))))</f>
        <v>Tramo 4</v>
      </c>
      <c r="J15" s="22" t="s">
        <v>140</v>
      </c>
      <c r="K15" s="22"/>
      <c r="L15" s="22" t="s">
        <v>198</v>
      </c>
      <c r="M15" s="26" t="s">
        <v>199</v>
      </c>
      <c r="N15" s="22"/>
      <c r="O15" s="22" t="s">
        <v>63</v>
      </c>
      <c r="P15" s="25" t="str">
        <f aca="false">IF(OR(O15="",O15="Sin información"),"",IFERROR(INDEX(Listas!$B$2:$B$9,MATCH(O15,Listas!$A$2:$A$9,0)),""))</f>
        <v/>
      </c>
      <c r="Q15" s="25" t="str">
        <f aca="false">IF(OR(O15="",O15="Sin información"),"",IFERROR(INDEX(Listas!$C$2:$C$9,MATCH(O15,Listas!$A$2:$A$9,0)),""))</f>
        <v/>
      </c>
      <c r="R15" s="22"/>
      <c r="S15" s="22"/>
      <c r="T15" s="25" t="str">
        <f aca="false">IF(S15="","",IFERROR(INDEX(Empleadores!$B$2:$B$601,MATCH(S15,Empleadores!$A$2:$A$601,0)),"No encontrado"))</f>
        <v/>
      </c>
      <c r="U15" s="25" t="str">
        <f aca="false">IF(C15="","",IF(V15="","No",IF(Config!$C$4-V15&lt;=Config!$C$15,"Sí","No")))</f>
        <v>No</v>
      </c>
      <c r="V15" s="23"/>
      <c r="W15" s="22"/>
      <c r="X15" s="22"/>
      <c r="Y15" s="22"/>
      <c r="Z15" s="27"/>
      <c r="AA15" s="22"/>
      <c r="AB15" s="22"/>
    </row>
    <row r="16" customFormat="false" ht="15" hidden="false" customHeight="false" outlineLevel="0" collapsed="false">
      <c r="A16" s="22" t="n">
        <v>15</v>
      </c>
      <c r="B16" s="22" t="s">
        <v>200</v>
      </c>
      <c r="C16" s="22" t="s">
        <v>201</v>
      </c>
      <c r="D16" s="22" t="s">
        <v>138</v>
      </c>
      <c r="E16" s="22" t="s">
        <v>139</v>
      </c>
      <c r="F16" s="22" t="s">
        <v>92</v>
      </c>
      <c r="G16" s="23" t="n">
        <v>43137</v>
      </c>
      <c r="H16" s="24" t="n">
        <f aca="false">IF(G16="","",ROUND((Config!$C$4-G16)/365.25,2))</f>
        <v>8.65</v>
      </c>
      <c r="I16" s="25" t="str">
        <f aca="false">IF(H16="","",IF(H16&lt;=1,"Tramo 1",IF(H16&lt;=3,"Tramo 2",IF(H16&lt;=5,"Tramo 3","Tramo 4"))))</f>
        <v>Tramo 4</v>
      </c>
      <c r="J16" s="22" t="s">
        <v>140</v>
      </c>
      <c r="K16" s="22"/>
      <c r="L16" s="22" t="s">
        <v>202</v>
      </c>
      <c r="M16" s="26" t="s">
        <v>203</v>
      </c>
      <c r="N16" s="22"/>
      <c r="O16" s="22" t="s">
        <v>63</v>
      </c>
      <c r="P16" s="25" t="str">
        <f aca="false">IF(OR(O16="",O16="Sin información"),"",IFERROR(INDEX(Listas!$B$2:$B$9,MATCH(O16,Listas!$A$2:$A$9,0)),""))</f>
        <v/>
      </c>
      <c r="Q16" s="25" t="str">
        <f aca="false">IF(OR(O16="",O16="Sin información"),"",IFERROR(INDEX(Listas!$C$2:$C$9,MATCH(O16,Listas!$A$2:$A$9,0)),""))</f>
        <v/>
      </c>
      <c r="R16" s="22"/>
      <c r="S16" s="22"/>
      <c r="T16" s="25" t="str">
        <f aca="false">IF(S16="","",IFERROR(INDEX(Empleadores!$B$2:$B$601,MATCH(S16,Empleadores!$A$2:$A$601,0)),"No encontrado"))</f>
        <v/>
      </c>
      <c r="U16" s="25" t="str">
        <f aca="false">IF(C16="","",IF(V16="","No",IF(Config!$C$4-V16&lt;=Config!$C$15,"Sí","No")))</f>
        <v>No</v>
      </c>
      <c r="V16" s="23"/>
      <c r="W16" s="22"/>
      <c r="X16" s="22"/>
      <c r="Y16" s="22"/>
      <c r="Z16" s="27"/>
      <c r="AA16" s="22"/>
      <c r="AB16" s="22"/>
    </row>
    <row r="17" customFormat="false" ht="15" hidden="false" customHeight="false" outlineLevel="0" collapsed="false">
      <c r="A17" s="22" t="n">
        <v>16</v>
      </c>
      <c r="B17" s="22" t="s">
        <v>204</v>
      </c>
      <c r="C17" s="22" t="s">
        <v>205</v>
      </c>
      <c r="D17" s="22" t="s">
        <v>138</v>
      </c>
      <c r="E17" s="22" t="s">
        <v>139</v>
      </c>
      <c r="F17" s="22" t="s">
        <v>92</v>
      </c>
      <c r="G17" s="23" t="n">
        <v>43137</v>
      </c>
      <c r="H17" s="24" t="n">
        <f aca="false">IF(G17="","",ROUND((Config!$C$4-G17)/365.25,2))</f>
        <v>8.65</v>
      </c>
      <c r="I17" s="25" t="str">
        <f aca="false">IF(H17="","",IF(H17&lt;=1,"Tramo 1",IF(H17&lt;=3,"Tramo 2",IF(H17&lt;=5,"Tramo 3","Tramo 4"))))</f>
        <v>Tramo 4</v>
      </c>
      <c r="J17" s="22" t="s">
        <v>140</v>
      </c>
      <c r="K17" s="22"/>
      <c r="L17" s="22" t="s">
        <v>206</v>
      </c>
      <c r="M17" s="26" t="s">
        <v>207</v>
      </c>
      <c r="N17" s="22"/>
      <c r="O17" s="22" t="s">
        <v>63</v>
      </c>
      <c r="P17" s="25" t="str">
        <f aca="false">IF(OR(O17="",O17="Sin información"),"",IFERROR(INDEX(Listas!$B$2:$B$9,MATCH(O17,Listas!$A$2:$A$9,0)),""))</f>
        <v/>
      </c>
      <c r="Q17" s="25" t="str">
        <f aca="false">IF(OR(O17="",O17="Sin información"),"",IFERROR(INDEX(Listas!$C$2:$C$9,MATCH(O17,Listas!$A$2:$A$9,0)),""))</f>
        <v/>
      </c>
      <c r="R17" s="22"/>
      <c r="S17" s="22"/>
      <c r="T17" s="25" t="str">
        <f aca="false">IF(S17="","",IFERROR(INDEX(Empleadores!$B$2:$B$601,MATCH(S17,Empleadores!$A$2:$A$601,0)),"No encontrado"))</f>
        <v/>
      </c>
      <c r="U17" s="25" t="str">
        <f aca="false">IF(C17="","",IF(V17="","No",IF(Config!$C$4-V17&lt;=Config!$C$15,"Sí","No")))</f>
        <v>No</v>
      </c>
      <c r="V17" s="23"/>
      <c r="W17" s="22"/>
      <c r="X17" s="22"/>
      <c r="Y17" s="22"/>
      <c r="Z17" s="27"/>
      <c r="AA17" s="22"/>
      <c r="AB17" s="22"/>
    </row>
    <row r="18" customFormat="false" ht="15" hidden="false" customHeight="false" outlineLevel="0" collapsed="false">
      <c r="A18" s="22" t="n">
        <v>17</v>
      </c>
      <c r="B18" s="22" t="s">
        <v>208</v>
      </c>
      <c r="C18" s="22" t="s">
        <v>209</v>
      </c>
      <c r="D18" s="22" t="s">
        <v>149</v>
      </c>
      <c r="E18" s="22" t="s">
        <v>139</v>
      </c>
      <c r="F18" s="22" t="s">
        <v>92</v>
      </c>
      <c r="G18" s="23" t="n">
        <v>43137</v>
      </c>
      <c r="H18" s="24" t="n">
        <f aca="false">IF(G18="","",ROUND((Config!$C$4-G18)/365.25,2))</f>
        <v>8.65</v>
      </c>
      <c r="I18" s="25" t="str">
        <f aca="false">IF(H18="","",IF(H18&lt;=1,"Tramo 1",IF(H18&lt;=3,"Tramo 2",IF(H18&lt;=5,"Tramo 3","Tramo 4"))))</f>
        <v>Tramo 4</v>
      </c>
      <c r="J18" s="22" t="s">
        <v>140</v>
      </c>
      <c r="K18" s="22"/>
      <c r="L18" s="22" t="s">
        <v>210</v>
      </c>
      <c r="M18" s="26" t="s">
        <v>211</v>
      </c>
      <c r="N18" s="22"/>
      <c r="O18" s="22" t="s">
        <v>63</v>
      </c>
      <c r="P18" s="25" t="str">
        <f aca="false">IF(OR(O18="",O18="Sin información"),"",IFERROR(INDEX(Listas!$B$2:$B$9,MATCH(O18,Listas!$A$2:$A$9,0)),""))</f>
        <v/>
      </c>
      <c r="Q18" s="25" t="str">
        <f aca="false">IF(OR(O18="",O18="Sin información"),"",IFERROR(INDEX(Listas!$C$2:$C$9,MATCH(O18,Listas!$A$2:$A$9,0)),""))</f>
        <v/>
      </c>
      <c r="R18" s="22"/>
      <c r="S18" s="22"/>
      <c r="T18" s="25" t="str">
        <f aca="false">IF(S18="","",IFERROR(INDEX(Empleadores!$B$2:$B$601,MATCH(S18,Empleadores!$A$2:$A$601,0)),"No encontrado"))</f>
        <v/>
      </c>
      <c r="U18" s="25" t="str">
        <f aca="false">IF(C18="","",IF(V18="","No",IF(Config!$C$4-V18&lt;=Config!$C$15,"Sí","No")))</f>
        <v>No</v>
      </c>
      <c r="V18" s="23"/>
      <c r="W18" s="22"/>
      <c r="X18" s="22"/>
      <c r="Y18" s="22"/>
      <c r="Z18" s="27"/>
      <c r="AA18" s="22"/>
      <c r="AB18" s="22"/>
    </row>
    <row r="19" customFormat="false" ht="15" hidden="false" customHeight="false" outlineLevel="0" collapsed="false">
      <c r="A19" s="22" t="n">
        <v>18</v>
      </c>
      <c r="B19" s="22" t="s">
        <v>212</v>
      </c>
      <c r="C19" s="22" t="s">
        <v>213</v>
      </c>
      <c r="D19" s="22" t="s">
        <v>138</v>
      </c>
      <c r="E19" s="22" t="s">
        <v>139</v>
      </c>
      <c r="F19" s="22" t="s">
        <v>92</v>
      </c>
      <c r="G19" s="23" t="n">
        <v>43137</v>
      </c>
      <c r="H19" s="24" t="n">
        <f aca="false">IF(G19="","",ROUND((Config!$C$4-G19)/365.25,2))</f>
        <v>8.65</v>
      </c>
      <c r="I19" s="25" t="str">
        <f aca="false">IF(H19="","",IF(H19&lt;=1,"Tramo 1",IF(H19&lt;=3,"Tramo 2",IF(H19&lt;=5,"Tramo 3","Tramo 4"))))</f>
        <v>Tramo 4</v>
      </c>
      <c r="J19" s="22" t="s">
        <v>140</v>
      </c>
      <c r="K19" s="22"/>
      <c r="L19" s="22" t="s">
        <v>214</v>
      </c>
      <c r="M19" s="26" t="s">
        <v>215</v>
      </c>
      <c r="N19" s="22"/>
      <c r="O19" s="22" t="s">
        <v>63</v>
      </c>
      <c r="P19" s="25" t="str">
        <f aca="false">IF(OR(O19="",O19="Sin información"),"",IFERROR(INDEX(Listas!$B$2:$B$9,MATCH(O19,Listas!$A$2:$A$9,0)),""))</f>
        <v/>
      </c>
      <c r="Q19" s="25" t="str">
        <f aca="false">IF(OR(O19="",O19="Sin información"),"",IFERROR(INDEX(Listas!$C$2:$C$9,MATCH(O19,Listas!$A$2:$A$9,0)),""))</f>
        <v/>
      </c>
      <c r="R19" s="22"/>
      <c r="S19" s="22"/>
      <c r="T19" s="25" t="str">
        <f aca="false">IF(S19="","",IFERROR(INDEX(Empleadores!$B$2:$B$601,MATCH(S19,Empleadores!$A$2:$A$601,0)),"No encontrado"))</f>
        <v/>
      </c>
      <c r="U19" s="25" t="str">
        <f aca="false">IF(C19="","",IF(V19="","No",IF(Config!$C$4-V19&lt;=Config!$C$15,"Sí","No")))</f>
        <v>No</v>
      </c>
      <c r="V19" s="23"/>
      <c r="W19" s="22"/>
      <c r="X19" s="22"/>
      <c r="Y19" s="22"/>
      <c r="Z19" s="27"/>
      <c r="AA19" s="22"/>
      <c r="AB19" s="22"/>
    </row>
    <row r="20" customFormat="false" ht="15" hidden="false" customHeight="false" outlineLevel="0" collapsed="false">
      <c r="A20" s="22" t="n">
        <v>19</v>
      </c>
      <c r="B20" s="22" t="s">
        <v>216</v>
      </c>
      <c r="C20" s="22" t="s">
        <v>217</v>
      </c>
      <c r="D20" s="22" t="s">
        <v>138</v>
      </c>
      <c r="E20" s="22" t="s">
        <v>139</v>
      </c>
      <c r="F20" s="22" t="s">
        <v>92</v>
      </c>
      <c r="G20" s="23" t="n">
        <v>43137</v>
      </c>
      <c r="H20" s="24" t="n">
        <f aca="false">IF(G20="","",ROUND((Config!$C$4-G20)/365.25,2))</f>
        <v>8.65</v>
      </c>
      <c r="I20" s="25" t="str">
        <f aca="false">IF(H20="","",IF(H20&lt;=1,"Tramo 1",IF(H20&lt;=3,"Tramo 2",IF(H20&lt;=5,"Tramo 3","Tramo 4"))))</f>
        <v>Tramo 4</v>
      </c>
      <c r="J20" s="22" t="s">
        <v>140</v>
      </c>
      <c r="K20" s="22"/>
      <c r="L20" s="22" t="s">
        <v>218</v>
      </c>
      <c r="M20" s="26" t="s">
        <v>219</v>
      </c>
      <c r="N20" s="22"/>
      <c r="O20" s="22" t="s">
        <v>63</v>
      </c>
      <c r="P20" s="25" t="str">
        <f aca="false">IF(OR(O20="",O20="Sin información"),"",IFERROR(INDEX(Listas!$B$2:$B$9,MATCH(O20,Listas!$A$2:$A$9,0)),""))</f>
        <v/>
      </c>
      <c r="Q20" s="25" t="str">
        <f aca="false">IF(OR(O20="",O20="Sin información"),"",IFERROR(INDEX(Listas!$C$2:$C$9,MATCH(O20,Listas!$A$2:$A$9,0)),""))</f>
        <v/>
      </c>
      <c r="R20" s="22"/>
      <c r="S20" s="22"/>
      <c r="T20" s="25" t="str">
        <f aca="false">IF(S20="","",IFERROR(INDEX(Empleadores!$B$2:$B$601,MATCH(S20,Empleadores!$A$2:$A$601,0)),"No encontrado"))</f>
        <v/>
      </c>
      <c r="U20" s="25" t="str">
        <f aca="false">IF(C20="","",IF(V20="","No",IF(Config!$C$4-V20&lt;=Config!$C$15,"Sí","No")))</f>
        <v>No</v>
      </c>
      <c r="V20" s="23"/>
      <c r="W20" s="22"/>
      <c r="X20" s="22"/>
      <c r="Y20" s="22"/>
      <c r="Z20" s="27"/>
      <c r="AA20" s="22"/>
      <c r="AB20" s="22"/>
    </row>
    <row r="21" customFormat="false" ht="15" hidden="false" customHeight="false" outlineLevel="0" collapsed="false">
      <c r="A21" s="22" t="n">
        <v>20</v>
      </c>
      <c r="B21" s="22" t="s">
        <v>220</v>
      </c>
      <c r="C21" s="22" t="s">
        <v>221</v>
      </c>
      <c r="D21" s="22" t="s">
        <v>138</v>
      </c>
      <c r="E21" s="22" t="s">
        <v>139</v>
      </c>
      <c r="F21" s="22" t="s">
        <v>92</v>
      </c>
      <c r="G21" s="23" t="n">
        <v>43137</v>
      </c>
      <c r="H21" s="24" t="n">
        <f aca="false">IF(G21="","",ROUND((Config!$C$4-G21)/365.25,2))</f>
        <v>8.65</v>
      </c>
      <c r="I21" s="25" t="str">
        <f aca="false">IF(H21="","",IF(H21&lt;=1,"Tramo 1",IF(H21&lt;=3,"Tramo 2",IF(H21&lt;=5,"Tramo 3","Tramo 4"))))</f>
        <v>Tramo 4</v>
      </c>
      <c r="J21" s="22" t="s">
        <v>140</v>
      </c>
      <c r="K21" s="22"/>
      <c r="L21" s="22" t="s">
        <v>222</v>
      </c>
      <c r="M21" s="26" t="s">
        <v>223</v>
      </c>
      <c r="N21" s="22"/>
      <c r="O21" s="22" t="s">
        <v>63</v>
      </c>
      <c r="P21" s="25" t="str">
        <f aca="false">IF(OR(O21="",O21="Sin información"),"",IFERROR(INDEX(Listas!$B$2:$B$9,MATCH(O21,Listas!$A$2:$A$9,0)),""))</f>
        <v/>
      </c>
      <c r="Q21" s="25" t="str">
        <f aca="false">IF(OR(O21="",O21="Sin información"),"",IFERROR(INDEX(Listas!$C$2:$C$9,MATCH(O21,Listas!$A$2:$A$9,0)),""))</f>
        <v/>
      </c>
      <c r="R21" s="22"/>
      <c r="S21" s="22"/>
      <c r="T21" s="25" t="str">
        <f aca="false">IF(S21="","",IFERROR(INDEX(Empleadores!$B$2:$B$601,MATCH(S21,Empleadores!$A$2:$A$601,0)),"No encontrado"))</f>
        <v/>
      </c>
      <c r="U21" s="25" t="str">
        <f aca="false">IF(C21="","",IF(V21="","No",IF(Config!$C$4-V21&lt;=Config!$C$15,"Sí","No")))</f>
        <v>No</v>
      </c>
      <c r="V21" s="23"/>
      <c r="W21" s="22"/>
      <c r="X21" s="22"/>
      <c r="Y21" s="22"/>
      <c r="Z21" s="27"/>
      <c r="AA21" s="22"/>
      <c r="AB21" s="22"/>
    </row>
    <row r="22" customFormat="false" ht="15" hidden="false" customHeight="false" outlineLevel="0" collapsed="false">
      <c r="A22" s="22" t="n">
        <v>21</v>
      </c>
      <c r="B22" s="22" t="s">
        <v>224</v>
      </c>
      <c r="C22" s="22" t="s">
        <v>225</v>
      </c>
      <c r="D22" s="22" t="s">
        <v>138</v>
      </c>
      <c r="E22" s="22" t="s">
        <v>139</v>
      </c>
      <c r="F22" s="22" t="s">
        <v>92</v>
      </c>
      <c r="G22" s="23" t="n">
        <v>43137</v>
      </c>
      <c r="H22" s="24" t="n">
        <f aca="false">IF(G22="","",ROUND((Config!$C$4-G22)/365.25,2))</f>
        <v>8.65</v>
      </c>
      <c r="I22" s="25" t="str">
        <f aca="false">IF(H22="","",IF(H22&lt;=1,"Tramo 1",IF(H22&lt;=3,"Tramo 2",IF(H22&lt;=5,"Tramo 3","Tramo 4"))))</f>
        <v>Tramo 4</v>
      </c>
      <c r="J22" s="22" t="s">
        <v>140</v>
      </c>
      <c r="K22" s="22"/>
      <c r="L22" s="22" t="s">
        <v>226</v>
      </c>
      <c r="M22" s="26" t="s">
        <v>227</v>
      </c>
      <c r="N22" s="22"/>
      <c r="O22" s="22" t="s">
        <v>85</v>
      </c>
      <c r="P22" s="25" t="str">
        <f aca="false">IF(OR(O22="",O22="Sin información"),"",IFERROR(INDEX(Listas!$B$2:$B$9,MATCH(O22,Listas!$A$2:$A$9,0)),""))</f>
        <v>Sí</v>
      </c>
      <c r="Q22" s="25" t="str">
        <f aca="false">IF(OR(O22="",O22="Sin información"),"",IFERROR(INDEX(Listas!$C$2:$C$9,MATCH(O22,Listas!$A$2:$A$9,0)),""))</f>
        <v>Sí</v>
      </c>
      <c r="R22" s="22"/>
      <c r="S22" s="22" t="s">
        <v>180</v>
      </c>
      <c r="T22" s="25" t="str">
        <f aca="false">IF(S22="","",IFERROR(INDEX(Empleadores!$B$2:$B$601,MATCH(S22,Empleadores!$A$2:$A$601,0)),"No encontrado"))</f>
        <v>Hospital Regional del Cusco</v>
      </c>
      <c r="U22" s="25" t="str">
        <f aca="false">IF(C22="","",IF(V22="","No",IF(Config!$C$4-V22&lt;=Config!$C$15,"Sí","No")))</f>
        <v>Sí</v>
      </c>
      <c r="V22" s="23" t="n">
        <v>45974</v>
      </c>
      <c r="W22" s="22"/>
      <c r="X22" s="22"/>
      <c r="Y22" s="22" t="s">
        <v>181</v>
      </c>
      <c r="Z22" s="27"/>
      <c r="AA22" s="22"/>
      <c r="AB22" s="22" t="s">
        <v>183</v>
      </c>
    </row>
    <row r="23" customFormat="false" ht="15" hidden="false" customHeight="false" outlineLevel="0" collapsed="false">
      <c r="A23" s="22" t="n">
        <v>22</v>
      </c>
      <c r="B23" s="22" t="s">
        <v>228</v>
      </c>
      <c r="C23" s="22" t="s">
        <v>229</v>
      </c>
      <c r="D23" s="22" t="s">
        <v>138</v>
      </c>
      <c r="E23" s="22" t="s">
        <v>139</v>
      </c>
      <c r="F23" s="22" t="s">
        <v>92</v>
      </c>
      <c r="G23" s="23" t="n">
        <v>43137</v>
      </c>
      <c r="H23" s="24" t="n">
        <f aca="false">IF(G23="","",ROUND((Config!$C$4-G23)/365.25,2))</f>
        <v>8.65</v>
      </c>
      <c r="I23" s="25" t="str">
        <f aca="false">IF(H23="","",IF(H23&lt;=1,"Tramo 1",IF(H23&lt;=3,"Tramo 2",IF(H23&lt;=5,"Tramo 3","Tramo 4"))))</f>
        <v>Tramo 4</v>
      </c>
      <c r="J23" s="22" t="s">
        <v>140</v>
      </c>
      <c r="K23" s="22"/>
      <c r="L23" s="22" t="s">
        <v>230</v>
      </c>
      <c r="M23" s="26" t="s">
        <v>231</v>
      </c>
      <c r="N23" s="22"/>
      <c r="O23" s="22" t="s">
        <v>63</v>
      </c>
      <c r="P23" s="25" t="str">
        <f aca="false">IF(OR(O23="",O23="Sin información"),"",IFERROR(INDEX(Listas!$B$2:$B$9,MATCH(O23,Listas!$A$2:$A$9,0)),""))</f>
        <v/>
      </c>
      <c r="Q23" s="25" t="str">
        <f aca="false">IF(OR(O23="",O23="Sin información"),"",IFERROR(INDEX(Listas!$C$2:$C$9,MATCH(O23,Listas!$A$2:$A$9,0)),""))</f>
        <v/>
      </c>
      <c r="R23" s="22"/>
      <c r="S23" s="22"/>
      <c r="T23" s="25" t="str">
        <f aca="false">IF(S23="","",IFERROR(INDEX(Empleadores!$B$2:$B$601,MATCH(S23,Empleadores!$A$2:$A$601,0)),"No encontrado"))</f>
        <v/>
      </c>
      <c r="U23" s="25" t="str">
        <f aca="false">IF(C23="","",IF(V23="","No",IF(Config!$C$4-V23&lt;=Config!$C$15,"Sí","No")))</f>
        <v>No</v>
      </c>
      <c r="V23" s="23"/>
      <c r="W23" s="22"/>
      <c r="X23" s="22"/>
      <c r="Y23" s="22"/>
      <c r="Z23" s="27"/>
      <c r="AA23" s="22"/>
      <c r="AB23" s="22"/>
    </row>
    <row r="24" customFormat="false" ht="15" hidden="false" customHeight="false" outlineLevel="0" collapsed="false">
      <c r="A24" s="22" t="n">
        <v>23</v>
      </c>
      <c r="B24" s="22" t="s">
        <v>232</v>
      </c>
      <c r="C24" s="22" t="s">
        <v>233</v>
      </c>
      <c r="D24" s="22" t="s">
        <v>138</v>
      </c>
      <c r="E24" s="22" t="s">
        <v>139</v>
      </c>
      <c r="F24" s="22" t="s">
        <v>92</v>
      </c>
      <c r="G24" s="23" t="n">
        <v>43137</v>
      </c>
      <c r="H24" s="24" t="n">
        <f aca="false">IF(G24="","",ROUND((Config!$C$4-G24)/365.25,2))</f>
        <v>8.65</v>
      </c>
      <c r="I24" s="25" t="str">
        <f aca="false">IF(H24="","",IF(H24&lt;=1,"Tramo 1",IF(H24&lt;=3,"Tramo 2",IF(H24&lt;=5,"Tramo 3","Tramo 4"))))</f>
        <v>Tramo 4</v>
      </c>
      <c r="J24" s="22" t="s">
        <v>140</v>
      </c>
      <c r="K24" s="22"/>
      <c r="L24" s="22" t="s">
        <v>234</v>
      </c>
      <c r="M24" s="26" t="s">
        <v>235</v>
      </c>
      <c r="N24" s="22"/>
      <c r="O24" s="22" t="s">
        <v>63</v>
      </c>
      <c r="P24" s="25" t="str">
        <f aca="false">IF(OR(O24="",O24="Sin información"),"",IFERROR(INDEX(Listas!$B$2:$B$9,MATCH(O24,Listas!$A$2:$A$9,0)),""))</f>
        <v/>
      </c>
      <c r="Q24" s="25" t="str">
        <f aca="false">IF(OR(O24="",O24="Sin información"),"",IFERROR(INDEX(Listas!$C$2:$C$9,MATCH(O24,Listas!$A$2:$A$9,0)),""))</f>
        <v/>
      </c>
      <c r="R24" s="22"/>
      <c r="S24" s="22"/>
      <c r="T24" s="25" t="str">
        <f aca="false">IF(S24="","",IFERROR(INDEX(Empleadores!$B$2:$B$601,MATCH(S24,Empleadores!$A$2:$A$601,0)),"No encontrado"))</f>
        <v/>
      </c>
      <c r="U24" s="25" t="str">
        <f aca="false">IF(C24="","",IF(V24="","No",IF(Config!$C$4-V24&lt;=Config!$C$15,"Sí","No")))</f>
        <v>No</v>
      </c>
      <c r="V24" s="23"/>
      <c r="W24" s="22"/>
      <c r="X24" s="22"/>
      <c r="Y24" s="22"/>
      <c r="Z24" s="27"/>
      <c r="AA24" s="22"/>
      <c r="AB24" s="22"/>
    </row>
    <row r="25" customFormat="false" ht="15" hidden="false" customHeight="false" outlineLevel="0" collapsed="false">
      <c r="A25" s="22" t="n">
        <v>24</v>
      </c>
      <c r="B25" s="22" t="s">
        <v>236</v>
      </c>
      <c r="C25" s="22" t="s">
        <v>237</v>
      </c>
      <c r="D25" s="22" t="s">
        <v>149</v>
      </c>
      <c r="E25" s="22" t="s">
        <v>139</v>
      </c>
      <c r="F25" s="22" t="s">
        <v>92</v>
      </c>
      <c r="G25" s="23" t="n">
        <v>43137</v>
      </c>
      <c r="H25" s="24" t="n">
        <f aca="false">IF(G25="","",ROUND((Config!$C$4-G25)/365.25,2))</f>
        <v>8.65</v>
      </c>
      <c r="I25" s="25" t="str">
        <f aca="false">IF(H25="","",IF(H25&lt;=1,"Tramo 1",IF(H25&lt;=3,"Tramo 2",IF(H25&lt;=5,"Tramo 3","Tramo 4"))))</f>
        <v>Tramo 4</v>
      </c>
      <c r="J25" s="22" t="s">
        <v>140</v>
      </c>
      <c r="K25" s="22"/>
      <c r="L25" s="22" t="s">
        <v>238</v>
      </c>
      <c r="M25" s="26" t="s">
        <v>239</v>
      </c>
      <c r="N25" s="22"/>
      <c r="O25" s="22" t="s">
        <v>63</v>
      </c>
      <c r="P25" s="25" t="str">
        <f aca="false">IF(OR(O25="",O25="Sin información"),"",IFERROR(INDEX(Listas!$B$2:$B$9,MATCH(O25,Listas!$A$2:$A$9,0)),""))</f>
        <v/>
      </c>
      <c r="Q25" s="25" t="str">
        <f aca="false">IF(OR(O25="",O25="Sin información"),"",IFERROR(INDEX(Listas!$C$2:$C$9,MATCH(O25,Listas!$A$2:$A$9,0)),""))</f>
        <v/>
      </c>
      <c r="R25" s="22"/>
      <c r="S25" s="22"/>
      <c r="T25" s="25" t="str">
        <f aca="false">IF(S25="","",IFERROR(INDEX(Empleadores!$B$2:$B$601,MATCH(S25,Empleadores!$A$2:$A$601,0)),"No encontrado"))</f>
        <v/>
      </c>
      <c r="U25" s="25" t="str">
        <f aca="false">IF(C25="","",IF(V25="","No",IF(Config!$C$4-V25&lt;=Config!$C$15,"Sí","No")))</f>
        <v>No</v>
      </c>
      <c r="V25" s="23"/>
      <c r="W25" s="22"/>
      <c r="X25" s="22"/>
      <c r="Y25" s="22"/>
      <c r="Z25" s="27"/>
      <c r="AA25" s="22"/>
      <c r="AB25" s="22"/>
    </row>
    <row r="26" customFormat="false" ht="15" hidden="false" customHeight="false" outlineLevel="0" collapsed="false">
      <c r="A26" s="22" t="n">
        <v>25</v>
      </c>
      <c r="B26" s="22" t="s">
        <v>240</v>
      </c>
      <c r="C26" s="22" t="s">
        <v>241</v>
      </c>
      <c r="D26" s="22" t="s">
        <v>138</v>
      </c>
      <c r="E26" s="22" t="s">
        <v>139</v>
      </c>
      <c r="F26" s="22" t="s">
        <v>92</v>
      </c>
      <c r="G26" s="23" t="n">
        <v>43137</v>
      </c>
      <c r="H26" s="24" t="n">
        <f aca="false">IF(G26="","",ROUND((Config!$C$4-G26)/365.25,2))</f>
        <v>8.65</v>
      </c>
      <c r="I26" s="25" t="str">
        <f aca="false">IF(H26="","",IF(H26&lt;=1,"Tramo 1",IF(H26&lt;=3,"Tramo 2",IF(H26&lt;=5,"Tramo 3","Tramo 4"))))</f>
        <v>Tramo 4</v>
      </c>
      <c r="J26" s="22" t="s">
        <v>140</v>
      </c>
      <c r="K26" s="22"/>
      <c r="L26" s="22" t="s">
        <v>242</v>
      </c>
      <c r="M26" s="26" t="s">
        <v>243</v>
      </c>
      <c r="N26" s="22"/>
      <c r="O26" s="22" t="s">
        <v>63</v>
      </c>
      <c r="P26" s="25" t="str">
        <f aca="false">IF(OR(O26="",O26="Sin información"),"",IFERROR(INDEX(Listas!$B$2:$B$9,MATCH(O26,Listas!$A$2:$A$9,0)),""))</f>
        <v/>
      </c>
      <c r="Q26" s="25" t="str">
        <f aca="false">IF(OR(O26="",O26="Sin información"),"",IFERROR(INDEX(Listas!$C$2:$C$9,MATCH(O26,Listas!$A$2:$A$9,0)),""))</f>
        <v/>
      </c>
      <c r="R26" s="22"/>
      <c r="S26" s="22"/>
      <c r="T26" s="25" t="str">
        <f aca="false">IF(S26="","",IFERROR(INDEX(Empleadores!$B$2:$B$601,MATCH(S26,Empleadores!$A$2:$A$601,0)),"No encontrado"))</f>
        <v/>
      </c>
      <c r="U26" s="25" t="str">
        <f aca="false">IF(C26="","",IF(V26="","No",IF(Config!$C$4-V26&lt;=Config!$C$15,"Sí","No")))</f>
        <v>No</v>
      </c>
      <c r="V26" s="23"/>
      <c r="W26" s="22"/>
      <c r="X26" s="22"/>
      <c r="Y26" s="22"/>
      <c r="Z26" s="27"/>
      <c r="AA26" s="22"/>
      <c r="AB26" s="22"/>
    </row>
    <row r="27" customFormat="false" ht="15" hidden="false" customHeight="false" outlineLevel="0" collapsed="false">
      <c r="A27" s="22" t="n">
        <v>26</v>
      </c>
      <c r="B27" s="22" t="s">
        <v>244</v>
      </c>
      <c r="C27" s="22" t="s">
        <v>245</v>
      </c>
      <c r="D27" s="22" t="s">
        <v>138</v>
      </c>
      <c r="E27" s="22" t="s">
        <v>139</v>
      </c>
      <c r="F27" s="22" t="s">
        <v>92</v>
      </c>
      <c r="G27" s="23" t="n">
        <v>43137</v>
      </c>
      <c r="H27" s="24" t="n">
        <f aca="false">IF(G27="","",ROUND((Config!$C$4-G27)/365.25,2))</f>
        <v>8.65</v>
      </c>
      <c r="I27" s="25" t="str">
        <f aca="false">IF(H27="","",IF(H27&lt;=1,"Tramo 1",IF(H27&lt;=3,"Tramo 2",IF(H27&lt;=5,"Tramo 3","Tramo 4"))))</f>
        <v>Tramo 4</v>
      </c>
      <c r="J27" s="22" t="s">
        <v>140</v>
      </c>
      <c r="K27" s="22"/>
      <c r="L27" s="22" t="s">
        <v>246</v>
      </c>
      <c r="M27" s="26" t="s">
        <v>247</v>
      </c>
      <c r="N27" s="22"/>
      <c r="O27" s="22" t="s">
        <v>63</v>
      </c>
      <c r="P27" s="25" t="str">
        <f aca="false">IF(OR(O27="",O27="Sin información"),"",IFERROR(INDEX(Listas!$B$2:$B$9,MATCH(O27,Listas!$A$2:$A$9,0)),""))</f>
        <v/>
      </c>
      <c r="Q27" s="25" t="str">
        <f aca="false">IF(OR(O27="",O27="Sin información"),"",IFERROR(INDEX(Listas!$C$2:$C$9,MATCH(O27,Listas!$A$2:$A$9,0)),""))</f>
        <v/>
      </c>
      <c r="R27" s="22"/>
      <c r="S27" s="22"/>
      <c r="T27" s="25" t="str">
        <f aca="false">IF(S27="","",IFERROR(INDEX(Empleadores!$B$2:$B$601,MATCH(S27,Empleadores!$A$2:$A$601,0)),"No encontrado"))</f>
        <v/>
      </c>
      <c r="U27" s="25" t="str">
        <f aca="false">IF(C27="","",IF(V27="","No",IF(Config!$C$4-V27&lt;=Config!$C$15,"Sí","No")))</f>
        <v>No</v>
      </c>
      <c r="V27" s="23"/>
      <c r="W27" s="22"/>
      <c r="X27" s="22"/>
      <c r="Y27" s="22"/>
      <c r="Z27" s="27"/>
      <c r="AA27" s="22"/>
      <c r="AB27" s="22"/>
    </row>
    <row r="28" customFormat="false" ht="15" hidden="false" customHeight="false" outlineLevel="0" collapsed="false">
      <c r="A28" s="22" t="n">
        <v>27</v>
      </c>
      <c r="B28" s="22" t="s">
        <v>248</v>
      </c>
      <c r="C28" s="22" t="s">
        <v>249</v>
      </c>
      <c r="D28" s="22" t="s">
        <v>149</v>
      </c>
      <c r="E28" s="22" t="s">
        <v>139</v>
      </c>
      <c r="F28" s="22" t="s">
        <v>92</v>
      </c>
      <c r="G28" s="23" t="n">
        <v>43137</v>
      </c>
      <c r="H28" s="24" t="n">
        <f aca="false">IF(G28="","",ROUND((Config!$C$4-G28)/365.25,2))</f>
        <v>8.65</v>
      </c>
      <c r="I28" s="25" t="str">
        <f aca="false">IF(H28="","",IF(H28&lt;=1,"Tramo 1",IF(H28&lt;=3,"Tramo 2",IF(H28&lt;=5,"Tramo 3","Tramo 4"))))</f>
        <v>Tramo 4</v>
      </c>
      <c r="J28" s="22" t="s">
        <v>166</v>
      </c>
      <c r="K28" s="22"/>
      <c r="L28" s="22" t="s">
        <v>250</v>
      </c>
      <c r="M28" s="26"/>
      <c r="N28" s="22"/>
      <c r="O28" s="22" t="s">
        <v>63</v>
      </c>
      <c r="P28" s="25" t="str">
        <f aca="false">IF(OR(O28="",O28="Sin información"),"",IFERROR(INDEX(Listas!$B$2:$B$9,MATCH(O28,Listas!$A$2:$A$9,0)),""))</f>
        <v/>
      </c>
      <c r="Q28" s="25" t="str">
        <f aca="false">IF(OR(O28="",O28="Sin información"),"",IFERROR(INDEX(Listas!$C$2:$C$9,MATCH(O28,Listas!$A$2:$A$9,0)),""))</f>
        <v/>
      </c>
      <c r="R28" s="22"/>
      <c r="S28" s="22"/>
      <c r="T28" s="25" t="str">
        <f aca="false">IF(S28="","",IFERROR(INDEX(Empleadores!$B$2:$B$601,MATCH(S28,Empleadores!$A$2:$A$601,0)),"No encontrado"))</f>
        <v/>
      </c>
      <c r="U28" s="25" t="str">
        <f aca="false">IF(C28="","",IF(V28="","No",IF(Config!$C$4-V28&lt;=Config!$C$15,"Sí","No")))</f>
        <v>No</v>
      </c>
      <c r="V28" s="23"/>
      <c r="W28" s="22"/>
      <c r="X28" s="22"/>
      <c r="Y28" s="22"/>
      <c r="Z28" s="27"/>
      <c r="AA28" s="22"/>
      <c r="AB28" s="22"/>
    </row>
    <row r="29" customFormat="false" ht="15" hidden="false" customHeight="false" outlineLevel="0" collapsed="false">
      <c r="A29" s="22" t="n">
        <v>28</v>
      </c>
      <c r="B29" s="22" t="s">
        <v>251</v>
      </c>
      <c r="C29" s="22" t="s">
        <v>252</v>
      </c>
      <c r="D29" s="22" t="s">
        <v>138</v>
      </c>
      <c r="E29" s="22" t="s">
        <v>139</v>
      </c>
      <c r="F29" s="22" t="s">
        <v>92</v>
      </c>
      <c r="G29" s="23" t="n">
        <v>43137</v>
      </c>
      <c r="H29" s="24" t="n">
        <f aca="false">IF(G29="","",ROUND((Config!$C$4-G29)/365.25,2))</f>
        <v>8.65</v>
      </c>
      <c r="I29" s="25" t="str">
        <f aca="false">IF(H29="","",IF(H29&lt;=1,"Tramo 1",IF(H29&lt;=3,"Tramo 2",IF(H29&lt;=5,"Tramo 3","Tramo 4"))))</f>
        <v>Tramo 4</v>
      </c>
      <c r="J29" s="22" t="s">
        <v>140</v>
      </c>
      <c r="K29" s="22"/>
      <c r="L29" s="22" t="s">
        <v>253</v>
      </c>
      <c r="M29" s="26" t="s">
        <v>254</v>
      </c>
      <c r="N29" s="22"/>
      <c r="O29" s="22" t="s">
        <v>63</v>
      </c>
      <c r="P29" s="25" t="str">
        <f aca="false">IF(OR(O29="",O29="Sin información"),"",IFERROR(INDEX(Listas!$B$2:$B$9,MATCH(O29,Listas!$A$2:$A$9,0)),""))</f>
        <v/>
      </c>
      <c r="Q29" s="25" t="str">
        <f aca="false">IF(OR(O29="",O29="Sin información"),"",IFERROR(INDEX(Listas!$C$2:$C$9,MATCH(O29,Listas!$A$2:$A$9,0)),""))</f>
        <v/>
      </c>
      <c r="R29" s="22"/>
      <c r="S29" s="22"/>
      <c r="T29" s="25" t="str">
        <f aca="false">IF(S29="","",IFERROR(INDEX(Empleadores!$B$2:$B$601,MATCH(S29,Empleadores!$A$2:$A$601,0)),"No encontrado"))</f>
        <v/>
      </c>
      <c r="U29" s="25" t="str">
        <f aca="false">IF(C29="","",IF(V29="","No",IF(Config!$C$4-V29&lt;=Config!$C$15,"Sí","No")))</f>
        <v>No</v>
      </c>
      <c r="V29" s="23"/>
      <c r="W29" s="22"/>
      <c r="X29" s="22"/>
      <c r="Y29" s="22"/>
      <c r="Z29" s="27"/>
      <c r="AA29" s="22"/>
      <c r="AB29" s="22"/>
    </row>
    <row r="30" customFormat="false" ht="15" hidden="false" customHeight="false" outlineLevel="0" collapsed="false">
      <c r="A30" s="22" t="n">
        <v>29</v>
      </c>
      <c r="B30" s="22" t="s">
        <v>255</v>
      </c>
      <c r="C30" s="22" t="s">
        <v>256</v>
      </c>
      <c r="D30" s="22" t="s">
        <v>138</v>
      </c>
      <c r="E30" s="22" t="s">
        <v>139</v>
      </c>
      <c r="F30" s="22" t="s">
        <v>92</v>
      </c>
      <c r="G30" s="23" t="n">
        <v>43137</v>
      </c>
      <c r="H30" s="24" t="n">
        <f aca="false">IF(G30="","",ROUND((Config!$C$4-G30)/365.25,2))</f>
        <v>8.65</v>
      </c>
      <c r="I30" s="25" t="str">
        <f aca="false">IF(H30="","",IF(H30&lt;=1,"Tramo 1",IF(H30&lt;=3,"Tramo 2",IF(H30&lt;=5,"Tramo 3","Tramo 4"))))</f>
        <v>Tramo 4</v>
      </c>
      <c r="J30" s="22" t="s">
        <v>140</v>
      </c>
      <c r="K30" s="22"/>
      <c r="L30" s="22" t="s">
        <v>257</v>
      </c>
      <c r="M30" s="26" t="s">
        <v>258</v>
      </c>
      <c r="N30" s="22"/>
      <c r="O30" s="22" t="s">
        <v>63</v>
      </c>
      <c r="P30" s="25" t="str">
        <f aca="false">IF(OR(O30="",O30="Sin información"),"",IFERROR(INDEX(Listas!$B$2:$B$9,MATCH(O30,Listas!$A$2:$A$9,0)),""))</f>
        <v/>
      </c>
      <c r="Q30" s="25" t="str">
        <f aca="false">IF(OR(O30="",O30="Sin información"),"",IFERROR(INDEX(Listas!$C$2:$C$9,MATCH(O30,Listas!$A$2:$A$9,0)),""))</f>
        <v/>
      </c>
      <c r="R30" s="22"/>
      <c r="S30" s="22"/>
      <c r="T30" s="25" t="str">
        <f aca="false">IF(S30="","",IFERROR(INDEX(Empleadores!$B$2:$B$601,MATCH(S30,Empleadores!$A$2:$A$601,0)),"No encontrado"))</f>
        <v/>
      </c>
      <c r="U30" s="25" t="str">
        <f aca="false">IF(C30="","",IF(V30="","No",IF(Config!$C$4-V30&lt;=Config!$C$15,"Sí","No")))</f>
        <v>No</v>
      </c>
      <c r="V30" s="23"/>
      <c r="W30" s="22"/>
      <c r="X30" s="22"/>
      <c r="Y30" s="22"/>
      <c r="Z30" s="27"/>
      <c r="AA30" s="22"/>
      <c r="AB30" s="22"/>
    </row>
    <row r="31" customFormat="false" ht="15" hidden="false" customHeight="false" outlineLevel="0" collapsed="false">
      <c r="A31" s="22" t="n">
        <v>30</v>
      </c>
      <c r="B31" s="22" t="s">
        <v>259</v>
      </c>
      <c r="C31" s="22" t="s">
        <v>260</v>
      </c>
      <c r="D31" s="22" t="s">
        <v>149</v>
      </c>
      <c r="E31" s="22" t="s">
        <v>139</v>
      </c>
      <c r="F31" s="22" t="s">
        <v>92</v>
      </c>
      <c r="G31" s="23" t="n">
        <v>43137</v>
      </c>
      <c r="H31" s="24" t="n">
        <f aca="false">IF(G31="","",ROUND((Config!$C$4-G31)/365.25,2))</f>
        <v>8.65</v>
      </c>
      <c r="I31" s="25" t="str">
        <f aca="false">IF(H31="","",IF(H31&lt;=1,"Tramo 1",IF(H31&lt;=3,"Tramo 2",IF(H31&lt;=5,"Tramo 3","Tramo 4"))))</f>
        <v>Tramo 4</v>
      </c>
      <c r="J31" s="22" t="s">
        <v>140</v>
      </c>
      <c r="K31" s="22"/>
      <c r="L31" s="22" t="s">
        <v>261</v>
      </c>
      <c r="M31" s="26" t="s">
        <v>262</v>
      </c>
      <c r="N31" s="22"/>
      <c r="O31" s="22" t="s">
        <v>63</v>
      </c>
      <c r="P31" s="25" t="str">
        <f aca="false">IF(OR(O31="",O31="Sin información"),"",IFERROR(INDEX(Listas!$B$2:$B$9,MATCH(O31,Listas!$A$2:$A$9,0)),""))</f>
        <v/>
      </c>
      <c r="Q31" s="25" t="str">
        <f aca="false">IF(OR(O31="",O31="Sin información"),"",IFERROR(INDEX(Listas!$C$2:$C$9,MATCH(O31,Listas!$A$2:$A$9,0)),""))</f>
        <v/>
      </c>
      <c r="R31" s="22"/>
      <c r="S31" s="22"/>
      <c r="T31" s="25" t="str">
        <f aca="false">IF(S31="","",IFERROR(INDEX(Empleadores!$B$2:$B$601,MATCH(S31,Empleadores!$A$2:$A$601,0)),"No encontrado"))</f>
        <v/>
      </c>
      <c r="U31" s="25" t="str">
        <f aca="false">IF(C31="","",IF(V31="","No",IF(Config!$C$4-V31&lt;=Config!$C$15,"Sí","No")))</f>
        <v>No</v>
      </c>
      <c r="V31" s="23"/>
      <c r="W31" s="22"/>
      <c r="X31" s="22"/>
      <c r="Y31" s="22"/>
      <c r="Z31" s="27"/>
      <c r="AA31" s="22"/>
      <c r="AB31" s="22"/>
    </row>
    <row r="32" customFormat="false" ht="15" hidden="false" customHeight="false" outlineLevel="0" collapsed="false">
      <c r="A32" s="22" t="n">
        <v>31</v>
      </c>
      <c r="B32" s="22" t="s">
        <v>263</v>
      </c>
      <c r="C32" s="22" t="s">
        <v>264</v>
      </c>
      <c r="D32" s="22" t="s">
        <v>138</v>
      </c>
      <c r="E32" s="22" t="s">
        <v>139</v>
      </c>
      <c r="F32" s="22" t="s">
        <v>92</v>
      </c>
      <c r="G32" s="23" t="n">
        <v>43137</v>
      </c>
      <c r="H32" s="24" t="n">
        <f aca="false">IF(G32="","",ROUND((Config!$C$4-G32)/365.25,2))</f>
        <v>8.65</v>
      </c>
      <c r="I32" s="25" t="str">
        <f aca="false">IF(H32="","",IF(H32&lt;=1,"Tramo 1",IF(H32&lt;=3,"Tramo 2",IF(H32&lt;=5,"Tramo 3","Tramo 4"))))</f>
        <v>Tramo 4</v>
      </c>
      <c r="J32" s="22" t="s">
        <v>140</v>
      </c>
      <c r="K32" s="22"/>
      <c r="L32" s="22" t="s">
        <v>265</v>
      </c>
      <c r="M32" s="26" t="s">
        <v>266</v>
      </c>
      <c r="N32" s="22"/>
      <c r="O32" s="22" t="s">
        <v>63</v>
      </c>
      <c r="P32" s="25" t="str">
        <f aca="false">IF(OR(O32="",O32="Sin información"),"",IFERROR(INDEX(Listas!$B$2:$B$9,MATCH(O32,Listas!$A$2:$A$9,0)),""))</f>
        <v/>
      </c>
      <c r="Q32" s="25" t="str">
        <f aca="false">IF(OR(O32="",O32="Sin información"),"",IFERROR(INDEX(Listas!$C$2:$C$9,MATCH(O32,Listas!$A$2:$A$9,0)),""))</f>
        <v/>
      </c>
      <c r="R32" s="22"/>
      <c r="S32" s="22"/>
      <c r="T32" s="25" t="str">
        <f aca="false">IF(S32="","",IFERROR(INDEX(Empleadores!$B$2:$B$601,MATCH(S32,Empleadores!$A$2:$A$601,0)),"No encontrado"))</f>
        <v/>
      </c>
      <c r="U32" s="25" t="str">
        <f aca="false">IF(C32="","",IF(V32="","No",IF(Config!$C$4-V32&lt;=Config!$C$15,"Sí","No")))</f>
        <v>No</v>
      </c>
      <c r="V32" s="23"/>
      <c r="W32" s="22"/>
      <c r="X32" s="22"/>
      <c r="Y32" s="22"/>
      <c r="Z32" s="27"/>
      <c r="AA32" s="22"/>
      <c r="AB32" s="22"/>
    </row>
    <row r="33" customFormat="false" ht="15" hidden="false" customHeight="false" outlineLevel="0" collapsed="false">
      <c r="A33" s="22" t="n">
        <v>32</v>
      </c>
      <c r="B33" s="22" t="s">
        <v>267</v>
      </c>
      <c r="C33" s="22" t="s">
        <v>268</v>
      </c>
      <c r="D33" s="22" t="s">
        <v>149</v>
      </c>
      <c r="E33" s="22" t="s">
        <v>139</v>
      </c>
      <c r="F33" s="22" t="s">
        <v>92</v>
      </c>
      <c r="G33" s="23" t="n">
        <v>43137</v>
      </c>
      <c r="H33" s="24" t="n">
        <f aca="false">IF(G33="","",ROUND((Config!$C$4-G33)/365.25,2))</f>
        <v>8.65</v>
      </c>
      <c r="I33" s="25" t="str">
        <f aca="false">IF(H33="","",IF(H33&lt;=1,"Tramo 1",IF(H33&lt;=3,"Tramo 2",IF(H33&lt;=5,"Tramo 3","Tramo 4"))))</f>
        <v>Tramo 4</v>
      </c>
      <c r="J33" s="22" t="s">
        <v>140</v>
      </c>
      <c r="K33" s="22"/>
      <c r="L33" s="22" t="s">
        <v>269</v>
      </c>
      <c r="M33" s="26" t="s">
        <v>270</v>
      </c>
      <c r="N33" s="22"/>
      <c r="O33" s="22" t="s">
        <v>63</v>
      </c>
      <c r="P33" s="25" t="str">
        <f aca="false">IF(OR(O33="",O33="Sin información"),"",IFERROR(INDEX(Listas!$B$2:$B$9,MATCH(O33,Listas!$A$2:$A$9,0)),""))</f>
        <v/>
      </c>
      <c r="Q33" s="25" t="str">
        <f aca="false">IF(OR(O33="",O33="Sin información"),"",IFERROR(INDEX(Listas!$C$2:$C$9,MATCH(O33,Listas!$A$2:$A$9,0)),""))</f>
        <v/>
      </c>
      <c r="R33" s="22"/>
      <c r="S33" s="22"/>
      <c r="T33" s="25" t="str">
        <f aca="false">IF(S33="","",IFERROR(INDEX(Empleadores!$B$2:$B$601,MATCH(S33,Empleadores!$A$2:$A$601,0)),"No encontrado"))</f>
        <v/>
      </c>
      <c r="U33" s="25" t="str">
        <f aca="false">IF(C33="","",IF(V33="","No",IF(Config!$C$4-V33&lt;=Config!$C$15,"Sí","No")))</f>
        <v>No</v>
      </c>
      <c r="V33" s="23"/>
      <c r="W33" s="22"/>
      <c r="X33" s="22"/>
      <c r="Y33" s="22"/>
      <c r="Z33" s="27"/>
      <c r="AA33" s="22"/>
      <c r="AB33" s="22"/>
    </row>
    <row r="34" customFormat="false" ht="15" hidden="false" customHeight="false" outlineLevel="0" collapsed="false">
      <c r="A34" s="22" t="n">
        <v>33</v>
      </c>
      <c r="B34" s="22" t="s">
        <v>271</v>
      </c>
      <c r="C34" s="22" t="s">
        <v>272</v>
      </c>
      <c r="D34" s="22" t="s">
        <v>138</v>
      </c>
      <c r="E34" s="22" t="s">
        <v>139</v>
      </c>
      <c r="F34" s="22" t="s">
        <v>92</v>
      </c>
      <c r="G34" s="23" t="n">
        <v>43137</v>
      </c>
      <c r="H34" s="24" t="n">
        <f aca="false">IF(G34="","",ROUND((Config!$C$4-G34)/365.25,2))</f>
        <v>8.65</v>
      </c>
      <c r="I34" s="25" t="str">
        <f aca="false">IF(H34="","",IF(H34&lt;=1,"Tramo 1",IF(H34&lt;=3,"Tramo 2",IF(H34&lt;=5,"Tramo 3","Tramo 4"))))</f>
        <v>Tramo 4</v>
      </c>
      <c r="J34" s="22" t="s">
        <v>140</v>
      </c>
      <c r="K34" s="22"/>
      <c r="L34" s="22" t="s">
        <v>273</v>
      </c>
      <c r="M34" s="26" t="s">
        <v>274</v>
      </c>
      <c r="N34" s="22"/>
      <c r="O34" s="22" t="s">
        <v>85</v>
      </c>
      <c r="P34" s="25" t="str">
        <f aca="false">IF(OR(O34="",O34="Sin información"),"",IFERROR(INDEX(Listas!$B$2:$B$9,MATCH(O34,Listas!$A$2:$A$9,0)),""))</f>
        <v>Sí</v>
      </c>
      <c r="Q34" s="25" t="str">
        <f aca="false">IF(OR(O34="",O34="Sin información"),"",IFERROR(INDEX(Listas!$C$2:$C$9,MATCH(O34,Listas!$A$2:$A$9,0)),""))</f>
        <v>Sí</v>
      </c>
      <c r="R34" s="22"/>
      <c r="S34" s="22" t="s">
        <v>180</v>
      </c>
      <c r="T34" s="25" t="str">
        <f aca="false">IF(S34="","",IFERROR(INDEX(Empleadores!$B$2:$B$601,MATCH(S34,Empleadores!$A$2:$A$601,0)),"No encontrado"))</f>
        <v>Hospital Regional del Cusco</v>
      </c>
      <c r="U34" s="25" t="str">
        <f aca="false">IF(C34="","",IF(V34="","No",IF(Config!$C$4-V34&lt;=Config!$C$15,"Sí","No")))</f>
        <v>Sí</v>
      </c>
      <c r="V34" s="23" t="n">
        <v>45972</v>
      </c>
      <c r="W34" s="22"/>
      <c r="X34" s="22"/>
      <c r="Y34" s="22" t="s">
        <v>181</v>
      </c>
      <c r="Z34" s="27" t="s">
        <v>182</v>
      </c>
      <c r="AA34" s="22"/>
      <c r="AB34" s="22" t="s">
        <v>183</v>
      </c>
    </row>
    <row r="35" customFormat="false" ht="15" hidden="false" customHeight="false" outlineLevel="0" collapsed="false">
      <c r="A35" s="22" t="n">
        <v>34</v>
      </c>
      <c r="B35" s="22" t="s">
        <v>275</v>
      </c>
      <c r="C35" s="22" t="s">
        <v>276</v>
      </c>
      <c r="D35" s="22" t="s">
        <v>138</v>
      </c>
      <c r="E35" s="22" t="s">
        <v>139</v>
      </c>
      <c r="F35" s="22" t="s">
        <v>92</v>
      </c>
      <c r="G35" s="23" t="n">
        <v>43137</v>
      </c>
      <c r="H35" s="24" t="n">
        <f aca="false">IF(G35="","",ROUND((Config!$C$4-G35)/365.25,2))</f>
        <v>8.65</v>
      </c>
      <c r="I35" s="25" t="str">
        <f aca="false">IF(H35="","",IF(H35&lt;=1,"Tramo 1",IF(H35&lt;=3,"Tramo 2",IF(H35&lt;=5,"Tramo 3","Tramo 4"))))</f>
        <v>Tramo 4</v>
      </c>
      <c r="J35" s="22" t="s">
        <v>140</v>
      </c>
      <c r="K35" s="22"/>
      <c r="L35" s="22" t="s">
        <v>277</v>
      </c>
      <c r="M35" s="26" t="s">
        <v>278</v>
      </c>
      <c r="N35" s="22"/>
      <c r="O35" s="22" t="s">
        <v>85</v>
      </c>
      <c r="P35" s="25" t="str">
        <f aca="false">IF(OR(O35="",O35="Sin información"),"",IFERROR(INDEX(Listas!$B$2:$B$9,MATCH(O35,Listas!$A$2:$A$9,0)),""))</f>
        <v>Sí</v>
      </c>
      <c r="Q35" s="25" t="str">
        <f aca="false">IF(OR(O35="",O35="Sin información"),"",IFERROR(INDEX(Listas!$C$2:$C$9,MATCH(O35,Listas!$A$2:$A$9,0)),""))</f>
        <v>Sí</v>
      </c>
      <c r="R35" s="22"/>
      <c r="S35" s="22" t="s">
        <v>279</v>
      </c>
      <c r="T35" s="25" t="str">
        <f aca="false">IF(S35="","",IFERROR(INDEX(Empleadores!$B$2:$B$601,MATCH(S35,Empleadores!$A$2:$A$601,0)),"No encontrado"))</f>
        <v>Clínica SOS</v>
      </c>
      <c r="U35" s="25" t="str">
        <f aca="false">IF(C35="","",IF(V35="","No",IF(Config!$C$4-V35&lt;=Config!$C$15,"Sí","No")))</f>
        <v>Sí</v>
      </c>
      <c r="V35" s="23" t="n">
        <v>45974</v>
      </c>
      <c r="W35" s="22"/>
      <c r="X35" s="22"/>
      <c r="Y35" s="22" t="s">
        <v>181</v>
      </c>
      <c r="Z35" s="27"/>
      <c r="AA35" s="22"/>
      <c r="AB35" s="22" t="s">
        <v>183</v>
      </c>
    </row>
    <row r="36" customFormat="false" ht="15" hidden="false" customHeight="false" outlineLevel="0" collapsed="false">
      <c r="A36" s="22" t="n">
        <v>35</v>
      </c>
      <c r="B36" s="22" t="s">
        <v>280</v>
      </c>
      <c r="C36" s="22" t="s">
        <v>281</v>
      </c>
      <c r="D36" s="22" t="s">
        <v>138</v>
      </c>
      <c r="E36" s="22" t="s">
        <v>139</v>
      </c>
      <c r="F36" s="22" t="s">
        <v>92</v>
      </c>
      <c r="G36" s="23" t="n">
        <v>43137</v>
      </c>
      <c r="H36" s="24" t="n">
        <f aca="false">IF(G36="","",ROUND((Config!$C$4-G36)/365.25,2))</f>
        <v>8.65</v>
      </c>
      <c r="I36" s="25" t="str">
        <f aca="false">IF(H36="","",IF(H36&lt;=1,"Tramo 1",IF(H36&lt;=3,"Tramo 2",IF(H36&lt;=5,"Tramo 3","Tramo 4"))))</f>
        <v>Tramo 4</v>
      </c>
      <c r="J36" s="22" t="s">
        <v>140</v>
      </c>
      <c r="K36" s="22"/>
      <c r="L36" s="22" t="s">
        <v>282</v>
      </c>
      <c r="M36" s="26" t="s">
        <v>283</v>
      </c>
      <c r="N36" s="22"/>
      <c r="O36" s="22" t="s">
        <v>63</v>
      </c>
      <c r="P36" s="25" t="str">
        <f aca="false">IF(OR(O36="",O36="Sin información"),"",IFERROR(INDEX(Listas!$B$2:$B$9,MATCH(O36,Listas!$A$2:$A$9,0)),""))</f>
        <v/>
      </c>
      <c r="Q36" s="25" t="str">
        <f aca="false">IF(OR(O36="",O36="Sin información"),"",IFERROR(INDEX(Listas!$C$2:$C$9,MATCH(O36,Listas!$A$2:$A$9,0)),""))</f>
        <v/>
      </c>
      <c r="R36" s="22"/>
      <c r="S36" s="22"/>
      <c r="T36" s="25" t="str">
        <f aca="false">IF(S36="","",IFERROR(INDEX(Empleadores!$B$2:$B$601,MATCH(S36,Empleadores!$A$2:$A$601,0)),"No encontrado"))</f>
        <v/>
      </c>
      <c r="U36" s="25" t="str">
        <f aca="false">IF(C36="","",IF(V36="","No",IF(Config!$C$4-V36&lt;=Config!$C$15,"Sí","No")))</f>
        <v>No</v>
      </c>
      <c r="V36" s="23"/>
      <c r="W36" s="22"/>
      <c r="X36" s="22"/>
      <c r="Y36" s="22"/>
      <c r="Z36" s="27"/>
      <c r="AA36" s="22"/>
      <c r="AB36" s="22"/>
    </row>
    <row r="37" customFormat="false" ht="15" hidden="false" customHeight="false" outlineLevel="0" collapsed="false">
      <c r="A37" s="22" t="n">
        <v>36</v>
      </c>
      <c r="B37" s="22" t="s">
        <v>284</v>
      </c>
      <c r="C37" s="22" t="s">
        <v>285</v>
      </c>
      <c r="D37" s="22" t="s">
        <v>138</v>
      </c>
      <c r="E37" s="22" t="s">
        <v>139</v>
      </c>
      <c r="F37" s="22" t="s">
        <v>92</v>
      </c>
      <c r="G37" s="23" t="n">
        <v>43137</v>
      </c>
      <c r="H37" s="24" t="n">
        <f aca="false">IF(G37="","",ROUND((Config!$C$4-G37)/365.25,2))</f>
        <v>8.65</v>
      </c>
      <c r="I37" s="25" t="str">
        <f aca="false">IF(H37="","",IF(H37&lt;=1,"Tramo 1",IF(H37&lt;=3,"Tramo 2",IF(H37&lt;=5,"Tramo 3","Tramo 4"))))</f>
        <v>Tramo 4</v>
      </c>
      <c r="J37" s="22" t="s">
        <v>140</v>
      </c>
      <c r="K37" s="22"/>
      <c r="L37" s="22" t="s">
        <v>286</v>
      </c>
      <c r="M37" s="26" t="s">
        <v>287</v>
      </c>
      <c r="N37" s="22"/>
      <c r="O37" s="22" t="s">
        <v>63</v>
      </c>
      <c r="P37" s="25" t="str">
        <f aca="false">IF(OR(O37="",O37="Sin información"),"",IFERROR(INDEX(Listas!$B$2:$B$9,MATCH(O37,Listas!$A$2:$A$9,0)),""))</f>
        <v/>
      </c>
      <c r="Q37" s="25" t="str">
        <f aca="false">IF(OR(O37="",O37="Sin información"),"",IFERROR(INDEX(Listas!$C$2:$C$9,MATCH(O37,Listas!$A$2:$A$9,0)),""))</f>
        <v/>
      </c>
      <c r="R37" s="22"/>
      <c r="S37" s="22"/>
      <c r="T37" s="25" t="str">
        <f aca="false">IF(S37="","",IFERROR(INDEX(Empleadores!$B$2:$B$601,MATCH(S37,Empleadores!$A$2:$A$601,0)),"No encontrado"))</f>
        <v/>
      </c>
      <c r="U37" s="25" t="str">
        <f aca="false">IF(C37="","",IF(V37="","No",IF(Config!$C$4-V37&lt;=Config!$C$15,"Sí","No")))</f>
        <v>No</v>
      </c>
      <c r="V37" s="23"/>
      <c r="W37" s="22"/>
      <c r="X37" s="22"/>
      <c r="Y37" s="22"/>
      <c r="Z37" s="27"/>
      <c r="AA37" s="22"/>
      <c r="AB37" s="22"/>
    </row>
    <row r="38" customFormat="false" ht="15" hidden="false" customHeight="false" outlineLevel="0" collapsed="false">
      <c r="A38" s="22" t="n">
        <v>37</v>
      </c>
      <c r="B38" s="22" t="s">
        <v>288</v>
      </c>
      <c r="C38" s="22" t="s">
        <v>289</v>
      </c>
      <c r="D38" s="22" t="s">
        <v>138</v>
      </c>
      <c r="E38" s="22" t="s">
        <v>139</v>
      </c>
      <c r="F38" s="22" t="s">
        <v>92</v>
      </c>
      <c r="G38" s="23" t="n">
        <v>43137</v>
      </c>
      <c r="H38" s="24" t="n">
        <f aca="false">IF(G38="","",ROUND((Config!$C$4-G38)/365.25,2))</f>
        <v>8.65</v>
      </c>
      <c r="I38" s="25" t="str">
        <f aca="false">IF(H38="","",IF(H38&lt;=1,"Tramo 1",IF(H38&lt;=3,"Tramo 2",IF(H38&lt;=5,"Tramo 3","Tramo 4"))))</f>
        <v>Tramo 4</v>
      </c>
      <c r="J38" s="22" t="s">
        <v>140</v>
      </c>
      <c r="K38" s="22"/>
      <c r="L38" s="22" t="s">
        <v>290</v>
      </c>
      <c r="M38" s="26" t="s">
        <v>291</v>
      </c>
      <c r="N38" s="22"/>
      <c r="O38" s="22" t="s">
        <v>85</v>
      </c>
      <c r="P38" s="25" t="str">
        <f aca="false">IF(OR(O38="",O38="Sin información"),"",IFERROR(INDEX(Listas!$B$2:$B$9,MATCH(O38,Listas!$A$2:$A$9,0)),""))</f>
        <v>Sí</v>
      </c>
      <c r="Q38" s="25" t="str">
        <f aca="false">IF(OR(O38="",O38="Sin información"),"",IFERROR(INDEX(Listas!$C$2:$C$9,MATCH(O38,Listas!$A$2:$A$9,0)),""))</f>
        <v>Sí</v>
      </c>
      <c r="R38" s="22"/>
      <c r="S38" s="22" t="s">
        <v>292</v>
      </c>
      <c r="T38" s="25" t="str">
        <f aca="false">IF(S38="","",IFERROR(INDEX(Empleadores!$B$2:$B$601,MATCH(S38,Empleadores!$A$2:$A$601,0)),"No encontrado"))</f>
        <v>Hospital Nacional PNP Luis N. Sáenz</v>
      </c>
      <c r="U38" s="25" t="str">
        <f aca="false">IF(C38="","",IF(V38="","No",IF(Config!$C$4-V38&lt;=Config!$C$15,"Sí","No")))</f>
        <v>Sí</v>
      </c>
      <c r="V38" s="23" t="n">
        <v>45971</v>
      </c>
      <c r="W38" s="22"/>
      <c r="X38" s="22"/>
      <c r="Y38" s="22" t="s">
        <v>181</v>
      </c>
      <c r="Z38" s="27" t="s">
        <v>182</v>
      </c>
      <c r="AA38" s="22"/>
      <c r="AB38" s="22" t="s">
        <v>183</v>
      </c>
    </row>
    <row r="39" customFormat="false" ht="15" hidden="false" customHeight="false" outlineLevel="0" collapsed="false">
      <c r="A39" s="22" t="n">
        <v>38</v>
      </c>
      <c r="B39" s="22" t="s">
        <v>293</v>
      </c>
      <c r="C39" s="22" t="s">
        <v>294</v>
      </c>
      <c r="D39" s="22" t="s">
        <v>138</v>
      </c>
      <c r="E39" s="22" t="s">
        <v>139</v>
      </c>
      <c r="F39" s="22" t="s">
        <v>92</v>
      </c>
      <c r="G39" s="23" t="n">
        <v>43137</v>
      </c>
      <c r="H39" s="24" t="n">
        <f aca="false">IF(G39="","",ROUND((Config!$C$4-G39)/365.25,2))</f>
        <v>8.65</v>
      </c>
      <c r="I39" s="25" t="str">
        <f aca="false">IF(H39="","",IF(H39&lt;=1,"Tramo 1",IF(H39&lt;=3,"Tramo 2",IF(H39&lt;=5,"Tramo 3","Tramo 4"))))</f>
        <v>Tramo 4</v>
      </c>
      <c r="J39" s="22" t="s">
        <v>140</v>
      </c>
      <c r="K39" s="22"/>
      <c r="L39" s="22" t="s">
        <v>295</v>
      </c>
      <c r="M39" s="26" t="s">
        <v>296</v>
      </c>
      <c r="N39" s="22"/>
      <c r="O39" s="22" t="s">
        <v>63</v>
      </c>
      <c r="P39" s="25" t="str">
        <f aca="false">IF(OR(O39="",O39="Sin información"),"",IFERROR(INDEX(Listas!$B$2:$B$9,MATCH(O39,Listas!$A$2:$A$9,0)),""))</f>
        <v/>
      </c>
      <c r="Q39" s="25" t="str">
        <f aca="false">IF(OR(O39="",O39="Sin información"),"",IFERROR(INDEX(Listas!$C$2:$C$9,MATCH(O39,Listas!$A$2:$A$9,0)),""))</f>
        <v/>
      </c>
      <c r="R39" s="22"/>
      <c r="S39" s="22"/>
      <c r="T39" s="25" t="str">
        <f aca="false">IF(S39="","",IFERROR(INDEX(Empleadores!$B$2:$B$601,MATCH(S39,Empleadores!$A$2:$A$601,0)),"No encontrado"))</f>
        <v/>
      </c>
      <c r="U39" s="25" t="str">
        <f aca="false">IF(C39="","",IF(V39="","No",IF(Config!$C$4-V39&lt;=Config!$C$15,"Sí","No")))</f>
        <v>No</v>
      </c>
      <c r="V39" s="23"/>
      <c r="W39" s="22"/>
      <c r="X39" s="22"/>
      <c r="Y39" s="22"/>
      <c r="Z39" s="27"/>
      <c r="AA39" s="22"/>
      <c r="AB39" s="22"/>
    </row>
    <row r="40" customFormat="false" ht="15" hidden="false" customHeight="false" outlineLevel="0" collapsed="false">
      <c r="A40" s="22" t="n">
        <v>39</v>
      </c>
      <c r="B40" s="22" t="s">
        <v>297</v>
      </c>
      <c r="C40" s="22" t="s">
        <v>298</v>
      </c>
      <c r="D40" s="22" t="s">
        <v>138</v>
      </c>
      <c r="E40" s="22" t="s">
        <v>139</v>
      </c>
      <c r="F40" s="22" t="s">
        <v>92</v>
      </c>
      <c r="G40" s="23" t="n">
        <v>43137</v>
      </c>
      <c r="H40" s="24" t="n">
        <f aca="false">IF(G40="","",ROUND((Config!$C$4-G40)/365.25,2))</f>
        <v>8.65</v>
      </c>
      <c r="I40" s="25" t="str">
        <f aca="false">IF(H40="","",IF(H40&lt;=1,"Tramo 1",IF(H40&lt;=3,"Tramo 2",IF(H40&lt;=5,"Tramo 3","Tramo 4"))))</f>
        <v>Tramo 4</v>
      </c>
      <c r="J40" s="22" t="s">
        <v>140</v>
      </c>
      <c r="K40" s="22"/>
      <c r="L40" s="22" t="s">
        <v>299</v>
      </c>
      <c r="M40" s="26" t="s">
        <v>300</v>
      </c>
      <c r="N40" s="22"/>
      <c r="O40" s="22" t="s">
        <v>85</v>
      </c>
      <c r="P40" s="25" t="str">
        <f aca="false">IF(OR(O40="",O40="Sin información"),"",IFERROR(INDEX(Listas!$B$2:$B$9,MATCH(O40,Listas!$A$2:$A$9,0)),""))</f>
        <v>Sí</v>
      </c>
      <c r="Q40" s="25" t="str">
        <f aca="false">IF(OR(O40="",O40="Sin información"),"",IFERROR(INDEX(Listas!$C$2:$C$9,MATCH(O40,Listas!$A$2:$A$9,0)),""))</f>
        <v>Sí</v>
      </c>
      <c r="R40" s="22"/>
      <c r="S40" s="22" t="s">
        <v>301</v>
      </c>
      <c r="T40" s="25" t="str">
        <f aca="false">IF(S40="","",IFERROR(INDEX(Empleadores!$B$2:$B$601,MATCH(S40,Empleadores!$A$2:$A$601,0)),"No encontrado"))</f>
        <v>Hospital Nacional Adolfo Guevara Velasco</v>
      </c>
      <c r="U40" s="25" t="str">
        <f aca="false">IF(C40="","",IF(V40="","No",IF(Config!$C$4-V40&lt;=Config!$C$15,"Sí","No")))</f>
        <v>Sí</v>
      </c>
      <c r="V40" s="23" t="n">
        <v>45969</v>
      </c>
      <c r="W40" s="22"/>
      <c r="X40" s="22"/>
      <c r="Y40" s="22" t="s">
        <v>181</v>
      </c>
      <c r="Z40" s="27"/>
      <c r="AA40" s="22"/>
      <c r="AB40" s="22" t="s">
        <v>183</v>
      </c>
    </row>
    <row r="41" customFormat="false" ht="15" hidden="false" customHeight="false" outlineLevel="0" collapsed="false">
      <c r="A41" s="22" t="n">
        <v>40</v>
      </c>
      <c r="B41" s="22" t="s">
        <v>302</v>
      </c>
      <c r="C41" s="22" t="s">
        <v>303</v>
      </c>
      <c r="D41" s="22" t="s">
        <v>138</v>
      </c>
      <c r="E41" s="22" t="s">
        <v>139</v>
      </c>
      <c r="F41" s="22" t="s">
        <v>92</v>
      </c>
      <c r="G41" s="23" t="n">
        <v>43137</v>
      </c>
      <c r="H41" s="24" t="n">
        <f aca="false">IF(G41="","",ROUND((Config!$C$4-G41)/365.25,2))</f>
        <v>8.65</v>
      </c>
      <c r="I41" s="25" t="str">
        <f aca="false">IF(H41="","",IF(H41&lt;=1,"Tramo 1",IF(H41&lt;=3,"Tramo 2",IF(H41&lt;=5,"Tramo 3","Tramo 4"))))</f>
        <v>Tramo 4</v>
      </c>
      <c r="J41" s="22" t="s">
        <v>140</v>
      </c>
      <c r="K41" s="22"/>
      <c r="L41" s="22" t="s">
        <v>304</v>
      </c>
      <c r="M41" s="26" t="s">
        <v>305</v>
      </c>
      <c r="N41" s="22"/>
      <c r="O41" s="22" t="s">
        <v>63</v>
      </c>
      <c r="P41" s="25" t="str">
        <f aca="false">IF(OR(O41="",O41="Sin información"),"",IFERROR(INDEX(Listas!$B$2:$B$9,MATCH(O41,Listas!$A$2:$A$9,0)),""))</f>
        <v/>
      </c>
      <c r="Q41" s="25" t="str">
        <f aca="false">IF(OR(O41="",O41="Sin información"),"",IFERROR(INDEX(Listas!$C$2:$C$9,MATCH(O41,Listas!$A$2:$A$9,0)),""))</f>
        <v/>
      </c>
      <c r="R41" s="22"/>
      <c r="S41" s="22"/>
      <c r="T41" s="25" t="str">
        <f aca="false">IF(S41="","",IFERROR(INDEX(Empleadores!$B$2:$B$601,MATCH(S41,Empleadores!$A$2:$A$601,0)),"No encontrado"))</f>
        <v/>
      </c>
      <c r="U41" s="25" t="str">
        <f aca="false">IF(C41="","",IF(V41="","No",IF(Config!$C$4-V41&lt;=Config!$C$15,"Sí","No")))</f>
        <v>No</v>
      </c>
      <c r="V41" s="23"/>
      <c r="W41" s="22"/>
      <c r="X41" s="22"/>
      <c r="Y41" s="22"/>
      <c r="Z41" s="27"/>
      <c r="AA41" s="22"/>
      <c r="AB41" s="22"/>
    </row>
    <row r="42" customFormat="false" ht="15" hidden="false" customHeight="false" outlineLevel="0" collapsed="false">
      <c r="A42" s="22" t="n">
        <v>41</v>
      </c>
      <c r="B42" s="22" t="s">
        <v>306</v>
      </c>
      <c r="C42" s="22" t="s">
        <v>307</v>
      </c>
      <c r="D42" s="22" t="s">
        <v>138</v>
      </c>
      <c r="E42" s="22" t="s">
        <v>139</v>
      </c>
      <c r="F42" s="22" t="s">
        <v>92</v>
      </c>
      <c r="G42" s="23" t="n">
        <v>43137</v>
      </c>
      <c r="H42" s="24" t="n">
        <f aca="false">IF(G42="","",ROUND((Config!$C$4-G42)/365.25,2))</f>
        <v>8.65</v>
      </c>
      <c r="I42" s="25" t="str">
        <f aca="false">IF(H42="","",IF(H42&lt;=1,"Tramo 1",IF(H42&lt;=3,"Tramo 2",IF(H42&lt;=5,"Tramo 3","Tramo 4"))))</f>
        <v>Tramo 4</v>
      </c>
      <c r="J42" s="22" t="s">
        <v>140</v>
      </c>
      <c r="K42" s="22"/>
      <c r="L42" s="22" t="s">
        <v>308</v>
      </c>
      <c r="M42" s="26" t="s">
        <v>309</v>
      </c>
      <c r="N42" s="22"/>
      <c r="O42" s="22" t="s">
        <v>63</v>
      </c>
      <c r="P42" s="25" t="str">
        <f aca="false">IF(OR(O42="",O42="Sin información"),"",IFERROR(INDEX(Listas!$B$2:$B$9,MATCH(O42,Listas!$A$2:$A$9,0)),""))</f>
        <v/>
      </c>
      <c r="Q42" s="25" t="str">
        <f aca="false">IF(OR(O42="",O42="Sin información"),"",IFERROR(INDEX(Listas!$C$2:$C$9,MATCH(O42,Listas!$A$2:$A$9,0)),""))</f>
        <v/>
      </c>
      <c r="R42" s="22"/>
      <c r="S42" s="22"/>
      <c r="T42" s="25" t="str">
        <f aca="false">IF(S42="","",IFERROR(INDEX(Empleadores!$B$2:$B$601,MATCH(S42,Empleadores!$A$2:$A$601,0)),"No encontrado"))</f>
        <v/>
      </c>
      <c r="U42" s="25" t="str">
        <f aca="false">IF(C42="","",IF(V42="","No",IF(Config!$C$4-V42&lt;=Config!$C$15,"Sí","No")))</f>
        <v>No</v>
      </c>
      <c r="V42" s="23"/>
      <c r="W42" s="22"/>
      <c r="X42" s="22"/>
      <c r="Y42" s="22"/>
      <c r="Z42" s="27"/>
      <c r="AA42" s="22"/>
      <c r="AB42" s="22"/>
    </row>
    <row r="43" customFormat="false" ht="15" hidden="false" customHeight="false" outlineLevel="0" collapsed="false">
      <c r="A43" s="22" t="n">
        <v>42</v>
      </c>
      <c r="B43" s="22" t="s">
        <v>310</v>
      </c>
      <c r="C43" s="22" t="s">
        <v>311</v>
      </c>
      <c r="D43" s="22" t="s">
        <v>138</v>
      </c>
      <c r="E43" s="22" t="s">
        <v>139</v>
      </c>
      <c r="F43" s="22" t="s">
        <v>92</v>
      </c>
      <c r="G43" s="23" t="n">
        <v>43137</v>
      </c>
      <c r="H43" s="24" t="n">
        <f aca="false">IF(G43="","",ROUND((Config!$C$4-G43)/365.25,2))</f>
        <v>8.65</v>
      </c>
      <c r="I43" s="25" t="str">
        <f aca="false">IF(H43="","",IF(H43&lt;=1,"Tramo 1",IF(H43&lt;=3,"Tramo 2",IF(H43&lt;=5,"Tramo 3","Tramo 4"))))</f>
        <v>Tramo 4</v>
      </c>
      <c r="J43" s="22" t="s">
        <v>140</v>
      </c>
      <c r="K43" s="22"/>
      <c r="L43" s="22" t="s">
        <v>312</v>
      </c>
      <c r="M43" s="26" t="s">
        <v>313</v>
      </c>
      <c r="N43" s="22"/>
      <c r="O43" s="22" t="s">
        <v>63</v>
      </c>
      <c r="P43" s="25" t="str">
        <f aca="false">IF(OR(O43="",O43="Sin información"),"",IFERROR(INDEX(Listas!$B$2:$B$9,MATCH(O43,Listas!$A$2:$A$9,0)),""))</f>
        <v/>
      </c>
      <c r="Q43" s="25" t="str">
        <f aca="false">IF(OR(O43="",O43="Sin información"),"",IFERROR(INDEX(Listas!$C$2:$C$9,MATCH(O43,Listas!$A$2:$A$9,0)),""))</f>
        <v/>
      </c>
      <c r="R43" s="22"/>
      <c r="S43" s="22"/>
      <c r="T43" s="25" t="str">
        <f aca="false">IF(S43="","",IFERROR(INDEX(Empleadores!$B$2:$B$601,MATCH(S43,Empleadores!$A$2:$A$601,0)),"No encontrado"))</f>
        <v/>
      </c>
      <c r="U43" s="25" t="str">
        <f aca="false">IF(C43="","",IF(V43="","No",IF(Config!$C$4-V43&lt;=Config!$C$15,"Sí","No")))</f>
        <v>No</v>
      </c>
      <c r="V43" s="23"/>
      <c r="W43" s="22"/>
      <c r="X43" s="22"/>
      <c r="Y43" s="22"/>
      <c r="Z43" s="27"/>
      <c r="AA43" s="22"/>
      <c r="AB43" s="22"/>
    </row>
    <row r="44" customFormat="false" ht="15" hidden="false" customHeight="false" outlineLevel="0" collapsed="false">
      <c r="A44" s="22" t="n">
        <v>43</v>
      </c>
      <c r="B44" s="22" t="s">
        <v>314</v>
      </c>
      <c r="C44" s="22" t="s">
        <v>315</v>
      </c>
      <c r="D44" s="22" t="s">
        <v>149</v>
      </c>
      <c r="E44" s="22" t="s">
        <v>139</v>
      </c>
      <c r="F44" s="22" t="s">
        <v>92</v>
      </c>
      <c r="G44" s="23" t="n">
        <v>43137</v>
      </c>
      <c r="H44" s="24" t="n">
        <f aca="false">IF(G44="","",ROUND((Config!$C$4-G44)/365.25,2))</f>
        <v>8.65</v>
      </c>
      <c r="I44" s="25" t="str">
        <f aca="false">IF(H44="","",IF(H44&lt;=1,"Tramo 1",IF(H44&lt;=3,"Tramo 2",IF(H44&lt;=5,"Tramo 3","Tramo 4"))))</f>
        <v>Tramo 4</v>
      </c>
      <c r="J44" s="22" t="s">
        <v>140</v>
      </c>
      <c r="K44" s="22"/>
      <c r="L44" s="22" t="s">
        <v>316</v>
      </c>
      <c r="M44" s="26" t="s">
        <v>317</v>
      </c>
      <c r="N44" s="22"/>
      <c r="O44" s="22" t="s">
        <v>85</v>
      </c>
      <c r="P44" s="25" t="str">
        <f aca="false">IF(OR(O44="",O44="Sin información"),"",IFERROR(INDEX(Listas!$B$2:$B$9,MATCH(O44,Listas!$A$2:$A$9,0)),""))</f>
        <v>Sí</v>
      </c>
      <c r="Q44" s="25" t="str">
        <f aca="false">IF(OR(O44="",O44="Sin información"),"",IFERROR(INDEX(Listas!$C$2:$C$9,MATCH(O44,Listas!$A$2:$A$9,0)),""))</f>
        <v>Sí</v>
      </c>
      <c r="R44" s="22"/>
      <c r="S44" s="22" t="s">
        <v>318</v>
      </c>
      <c r="T44" s="25" t="str">
        <f aca="false">IF(S44="","",IFERROR(INDEX(Empleadores!$B$2:$B$601,MATCH(S44,Empleadores!$A$2:$A$601,0)),"No encontrado"))</f>
        <v>Hospital Antonio Lorena</v>
      </c>
      <c r="U44" s="25" t="str">
        <f aca="false">IF(C44="","",IF(V44="","No",IF(Config!$C$4-V44&lt;=Config!$C$15,"Sí","No")))</f>
        <v>Sí</v>
      </c>
      <c r="V44" s="23" t="n">
        <v>45971</v>
      </c>
      <c r="W44" s="22"/>
      <c r="X44" s="22"/>
      <c r="Y44" s="22" t="s">
        <v>181</v>
      </c>
      <c r="Z44" s="27"/>
      <c r="AA44" s="22"/>
      <c r="AB44" s="22" t="s">
        <v>183</v>
      </c>
    </row>
    <row r="45" customFormat="false" ht="15" hidden="false" customHeight="false" outlineLevel="0" collapsed="false">
      <c r="A45" s="22" t="n">
        <v>44</v>
      </c>
      <c r="B45" s="22" t="s">
        <v>319</v>
      </c>
      <c r="C45" s="22" t="s">
        <v>320</v>
      </c>
      <c r="D45" s="22" t="s">
        <v>138</v>
      </c>
      <c r="E45" s="22" t="s">
        <v>139</v>
      </c>
      <c r="F45" s="22" t="s">
        <v>92</v>
      </c>
      <c r="G45" s="23" t="n">
        <v>43137</v>
      </c>
      <c r="H45" s="24" t="n">
        <f aca="false">IF(G45="","",ROUND((Config!$C$4-G45)/365.25,2))</f>
        <v>8.65</v>
      </c>
      <c r="I45" s="25" t="str">
        <f aca="false">IF(H45="","",IF(H45&lt;=1,"Tramo 1",IF(H45&lt;=3,"Tramo 2",IF(H45&lt;=5,"Tramo 3","Tramo 4"))))</f>
        <v>Tramo 4</v>
      </c>
      <c r="J45" s="22" t="s">
        <v>140</v>
      </c>
      <c r="K45" s="22"/>
      <c r="L45" s="22" t="s">
        <v>321</v>
      </c>
      <c r="M45" s="26" t="s">
        <v>322</v>
      </c>
      <c r="N45" s="22"/>
      <c r="O45" s="22" t="s">
        <v>63</v>
      </c>
      <c r="P45" s="25" t="str">
        <f aca="false">IF(OR(O45="",O45="Sin información"),"",IFERROR(INDEX(Listas!$B$2:$B$9,MATCH(O45,Listas!$A$2:$A$9,0)),""))</f>
        <v/>
      </c>
      <c r="Q45" s="25" t="str">
        <f aca="false">IF(OR(O45="",O45="Sin información"),"",IFERROR(INDEX(Listas!$C$2:$C$9,MATCH(O45,Listas!$A$2:$A$9,0)),""))</f>
        <v/>
      </c>
      <c r="R45" s="22"/>
      <c r="S45" s="22"/>
      <c r="T45" s="25" t="str">
        <f aca="false">IF(S45="","",IFERROR(INDEX(Empleadores!$B$2:$B$601,MATCH(S45,Empleadores!$A$2:$A$601,0)),"No encontrado"))</f>
        <v/>
      </c>
      <c r="U45" s="25" t="str">
        <f aca="false">IF(C45="","",IF(V45="","No",IF(Config!$C$4-V45&lt;=Config!$C$15,"Sí","No")))</f>
        <v>No</v>
      </c>
      <c r="V45" s="23"/>
      <c r="W45" s="22"/>
      <c r="X45" s="22"/>
      <c r="Y45" s="22"/>
      <c r="Z45" s="27"/>
      <c r="AA45" s="22"/>
      <c r="AB45" s="22"/>
    </row>
    <row r="46" customFormat="false" ht="15" hidden="false" customHeight="false" outlineLevel="0" collapsed="false">
      <c r="A46" s="22" t="n">
        <v>45</v>
      </c>
      <c r="B46" s="22" t="s">
        <v>323</v>
      </c>
      <c r="C46" s="22" t="s">
        <v>324</v>
      </c>
      <c r="D46" s="22" t="s">
        <v>138</v>
      </c>
      <c r="E46" s="22" t="s">
        <v>139</v>
      </c>
      <c r="F46" s="22" t="s">
        <v>92</v>
      </c>
      <c r="G46" s="23" t="n">
        <v>43137</v>
      </c>
      <c r="H46" s="24" t="n">
        <f aca="false">IF(G46="","",ROUND((Config!$C$4-G46)/365.25,2))</f>
        <v>8.65</v>
      </c>
      <c r="I46" s="25" t="str">
        <f aca="false">IF(H46="","",IF(H46&lt;=1,"Tramo 1",IF(H46&lt;=3,"Tramo 2",IF(H46&lt;=5,"Tramo 3","Tramo 4"))))</f>
        <v>Tramo 4</v>
      </c>
      <c r="J46" s="22" t="s">
        <v>140</v>
      </c>
      <c r="K46" s="22"/>
      <c r="L46" s="22" t="s">
        <v>325</v>
      </c>
      <c r="M46" s="26" t="s">
        <v>326</v>
      </c>
      <c r="N46" s="22"/>
      <c r="O46" s="22" t="s">
        <v>63</v>
      </c>
      <c r="P46" s="25" t="str">
        <f aca="false">IF(OR(O46="",O46="Sin información"),"",IFERROR(INDEX(Listas!$B$2:$B$9,MATCH(O46,Listas!$A$2:$A$9,0)),""))</f>
        <v/>
      </c>
      <c r="Q46" s="25" t="str">
        <f aca="false">IF(OR(O46="",O46="Sin información"),"",IFERROR(INDEX(Listas!$C$2:$C$9,MATCH(O46,Listas!$A$2:$A$9,0)),""))</f>
        <v/>
      </c>
      <c r="R46" s="22"/>
      <c r="S46" s="22"/>
      <c r="T46" s="25" t="str">
        <f aca="false">IF(S46="","",IFERROR(INDEX(Empleadores!$B$2:$B$601,MATCH(S46,Empleadores!$A$2:$A$601,0)),"No encontrado"))</f>
        <v/>
      </c>
      <c r="U46" s="25" t="str">
        <f aca="false">IF(C46="","",IF(V46="","No",IF(Config!$C$4-V46&lt;=Config!$C$15,"Sí","No")))</f>
        <v>No</v>
      </c>
      <c r="V46" s="23"/>
      <c r="W46" s="22"/>
      <c r="X46" s="22"/>
      <c r="Y46" s="22"/>
      <c r="Z46" s="27"/>
      <c r="AA46" s="22"/>
      <c r="AB46" s="22"/>
    </row>
    <row r="47" customFormat="false" ht="15" hidden="false" customHeight="false" outlineLevel="0" collapsed="false">
      <c r="A47" s="22" t="n">
        <v>46</v>
      </c>
      <c r="B47" s="22" t="s">
        <v>327</v>
      </c>
      <c r="C47" s="22" t="s">
        <v>328</v>
      </c>
      <c r="D47" s="22" t="s">
        <v>149</v>
      </c>
      <c r="E47" s="22" t="s">
        <v>139</v>
      </c>
      <c r="F47" s="22" t="s">
        <v>92</v>
      </c>
      <c r="G47" s="23" t="n">
        <v>43137</v>
      </c>
      <c r="H47" s="24" t="n">
        <f aca="false">IF(G47="","",ROUND((Config!$C$4-G47)/365.25,2))</f>
        <v>8.65</v>
      </c>
      <c r="I47" s="25" t="str">
        <f aca="false">IF(H47="","",IF(H47&lt;=1,"Tramo 1",IF(H47&lt;=3,"Tramo 2",IF(H47&lt;=5,"Tramo 3","Tramo 4"))))</f>
        <v>Tramo 4</v>
      </c>
      <c r="J47" s="22" t="s">
        <v>140</v>
      </c>
      <c r="K47" s="22"/>
      <c r="L47" s="22" t="s">
        <v>329</v>
      </c>
      <c r="M47" s="26" t="s">
        <v>330</v>
      </c>
      <c r="N47" s="22"/>
      <c r="O47" s="22" t="s">
        <v>63</v>
      </c>
      <c r="P47" s="25" t="str">
        <f aca="false">IF(OR(O47="",O47="Sin información"),"",IFERROR(INDEX(Listas!$B$2:$B$9,MATCH(O47,Listas!$A$2:$A$9,0)),""))</f>
        <v/>
      </c>
      <c r="Q47" s="25" t="str">
        <f aca="false">IF(OR(O47="",O47="Sin información"),"",IFERROR(INDEX(Listas!$C$2:$C$9,MATCH(O47,Listas!$A$2:$A$9,0)),""))</f>
        <v/>
      </c>
      <c r="R47" s="22"/>
      <c r="S47" s="22"/>
      <c r="T47" s="25" t="str">
        <f aca="false">IF(S47="","",IFERROR(INDEX(Empleadores!$B$2:$B$601,MATCH(S47,Empleadores!$A$2:$A$601,0)),"No encontrado"))</f>
        <v/>
      </c>
      <c r="U47" s="25" t="str">
        <f aca="false">IF(C47="","",IF(V47="","No",IF(Config!$C$4-V47&lt;=Config!$C$15,"Sí","No")))</f>
        <v>No</v>
      </c>
      <c r="V47" s="23"/>
      <c r="W47" s="22"/>
      <c r="X47" s="22"/>
      <c r="Y47" s="22"/>
      <c r="Z47" s="27"/>
      <c r="AA47" s="22"/>
      <c r="AB47" s="22"/>
    </row>
    <row r="48" customFormat="false" ht="15" hidden="false" customHeight="false" outlineLevel="0" collapsed="false">
      <c r="A48" s="22" t="n">
        <v>47</v>
      </c>
      <c r="B48" s="22" t="s">
        <v>331</v>
      </c>
      <c r="C48" s="22" t="s">
        <v>332</v>
      </c>
      <c r="D48" s="22" t="s">
        <v>138</v>
      </c>
      <c r="E48" s="22" t="s">
        <v>139</v>
      </c>
      <c r="F48" s="22" t="s">
        <v>94</v>
      </c>
      <c r="G48" s="23" t="n">
        <v>43502</v>
      </c>
      <c r="H48" s="24" t="n">
        <f aca="false">IF(G48="","",ROUND((Config!$C$4-G48)/365.25,2))</f>
        <v>7.65</v>
      </c>
      <c r="I48" s="25" t="str">
        <f aca="false">IF(H48="","",IF(H48&lt;=1,"Tramo 1",IF(H48&lt;=3,"Tramo 2",IF(H48&lt;=5,"Tramo 3","Tramo 4"))))</f>
        <v>Tramo 4</v>
      </c>
      <c r="J48" s="22" t="s">
        <v>140</v>
      </c>
      <c r="K48" s="22"/>
      <c r="L48" s="22" t="s">
        <v>333</v>
      </c>
      <c r="M48" s="26" t="s">
        <v>334</v>
      </c>
      <c r="N48" s="22"/>
      <c r="O48" s="22" t="s">
        <v>63</v>
      </c>
      <c r="P48" s="25" t="str">
        <f aca="false">IF(OR(O48="",O48="Sin información"),"",IFERROR(INDEX(Listas!$B$2:$B$9,MATCH(O48,Listas!$A$2:$A$9,0)),""))</f>
        <v/>
      </c>
      <c r="Q48" s="25" t="str">
        <f aca="false">IF(OR(O48="",O48="Sin información"),"",IFERROR(INDEX(Listas!$C$2:$C$9,MATCH(O48,Listas!$A$2:$A$9,0)),""))</f>
        <v/>
      </c>
      <c r="R48" s="22"/>
      <c r="S48" s="22"/>
      <c r="T48" s="25" t="str">
        <f aca="false">IF(S48="","",IFERROR(INDEX(Empleadores!$B$2:$B$601,MATCH(S48,Empleadores!$A$2:$A$601,0)),"No encontrado"))</f>
        <v/>
      </c>
      <c r="U48" s="25" t="str">
        <f aca="false">IF(C48="","",IF(V48="","No",IF(Config!$C$4-V48&lt;=Config!$C$15,"Sí","No")))</f>
        <v>No</v>
      </c>
      <c r="V48" s="23"/>
      <c r="W48" s="22"/>
      <c r="X48" s="22"/>
      <c r="Y48" s="22"/>
      <c r="Z48" s="27"/>
      <c r="AA48" s="22"/>
      <c r="AB48" s="22"/>
    </row>
    <row r="49" customFormat="false" ht="15" hidden="false" customHeight="false" outlineLevel="0" collapsed="false">
      <c r="A49" s="22" t="n">
        <v>48</v>
      </c>
      <c r="B49" s="22" t="s">
        <v>335</v>
      </c>
      <c r="C49" s="22" t="s">
        <v>336</v>
      </c>
      <c r="D49" s="22" t="s">
        <v>138</v>
      </c>
      <c r="E49" s="22" t="s">
        <v>139</v>
      </c>
      <c r="F49" s="22" t="s">
        <v>94</v>
      </c>
      <c r="G49" s="23" t="n">
        <v>43502</v>
      </c>
      <c r="H49" s="24" t="n">
        <f aca="false">IF(G49="","",ROUND((Config!$C$4-G49)/365.25,2))</f>
        <v>7.65</v>
      </c>
      <c r="I49" s="25" t="str">
        <f aca="false">IF(H49="","",IF(H49&lt;=1,"Tramo 1",IF(H49&lt;=3,"Tramo 2",IF(H49&lt;=5,"Tramo 3","Tramo 4"))))</f>
        <v>Tramo 4</v>
      </c>
      <c r="J49" s="22" t="s">
        <v>140</v>
      </c>
      <c r="K49" s="22"/>
      <c r="L49" s="22" t="s">
        <v>337</v>
      </c>
      <c r="M49" s="26" t="s">
        <v>338</v>
      </c>
      <c r="N49" s="22"/>
      <c r="O49" s="22" t="s">
        <v>63</v>
      </c>
      <c r="P49" s="25" t="str">
        <f aca="false">IF(OR(O49="",O49="Sin información"),"",IFERROR(INDEX(Listas!$B$2:$B$9,MATCH(O49,Listas!$A$2:$A$9,0)),""))</f>
        <v/>
      </c>
      <c r="Q49" s="25" t="str">
        <f aca="false">IF(OR(O49="",O49="Sin información"),"",IFERROR(INDEX(Listas!$C$2:$C$9,MATCH(O49,Listas!$A$2:$A$9,0)),""))</f>
        <v/>
      </c>
      <c r="R49" s="22"/>
      <c r="S49" s="22"/>
      <c r="T49" s="25" t="str">
        <f aca="false">IF(S49="","",IFERROR(INDEX(Empleadores!$B$2:$B$601,MATCH(S49,Empleadores!$A$2:$A$601,0)),"No encontrado"))</f>
        <v/>
      </c>
      <c r="U49" s="25" t="str">
        <f aca="false">IF(C49="","",IF(V49="","No",IF(Config!$C$4-V49&lt;=Config!$C$15,"Sí","No")))</f>
        <v>No</v>
      </c>
      <c r="V49" s="23"/>
      <c r="W49" s="22"/>
      <c r="X49" s="22"/>
      <c r="Y49" s="22"/>
      <c r="Z49" s="27"/>
      <c r="AA49" s="22"/>
      <c r="AB49" s="22"/>
    </row>
    <row r="50" customFormat="false" ht="15" hidden="false" customHeight="false" outlineLevel="0" collapsed="false">
      <c r="A50" s="22" t="n">
        <v>49</v>
      </c>
      <c r="B50" s="22" t="s">
        <v>339</v>
      </c>
      <c r="C50" s="22" t="s">
        <v>340</v>
      </c>
      <c r="D50" s="22" t="s">
        <v>149</v>
      </c>
      <c r="E50" s="22" t="s">
        <v>139</v>
      </c>
      <c r="F50" s="22" t="s">
        <v>94</v>
      </c>
      <c r="G50" s="23" t="n">
        <v>43502</v>
      </c>
      <c r="H50" s="24" t="n">
        <f aca="false">IF(G50="","",ROUND((Config!$C$4-G50)/365.25,2))</f>
        <v>7.65</v>
      </c>
      <c r="I50" s="25" t="str">
        <f aca="false">IF(H50="","",IF(H50&lt;=1,"Tramo 1",IF(H50&lt;=3,"Tramo 2",IF(H50&lt;=5,"Tramo 3","Tramo 4"))))</f>
        <v>Tramo 4</v>
      </c>
      <c r="J50" s="22" t="s">
        <v>140</v>
      </c>
      <c r="K50" s="22"/>
      <c r="L50" s="22" t="s">
        <v>341</v>
      </c>
      <c r="M50" s="26" t="s">
        <v>342</v>
      </c>
      <c r="N50" s="22"/>
      <c r="O50" s="22" t="s">
        <v>63</v>
      </c>
      <c r="P50" s="25" t="str">
        <f aca="false">IF(OR(O50="",O50="Sin información"),"",IFERROR(INDEX(Listas!$B$2:$B$9,MATCH(O50,Listas!$A$2:$A$9,0)),""))</f>
        <v/>
      </c>
      <c r="Q50" s="25" t="str">
        <f aca="false">IF(OR(O50="",O50="Sin información"),"",IFERROR(INDEX(Listas!$C$2:$C$9,MATCH(O50,Listas!$A$2:$A$9,0)),""))</f>
        <v/>
      </c>
      <c r="R50" s="22"/>
      <c r="S50" s="22"/>
      <c r="T50" s="25" t="str">
        <f aca="false">IF(S50="","",IFERROR(INDEX(Empleadores!$B$2:$B$601,MATCH(S50,Empleadores!$A$2:$A$601,0)),"No encontrado"))</f>
        <v/>
      </c>
      <c r="U50" s="25" t="str">
        <f aca="false">IF(C50="","",IF(V50="","No",IF(Config!$C$4-V50&lt;=Config!$C$15,"Sí","No")))</f>
        <v>No</v>
      </c>
      <c r="V50" s="23"/>
      <c r="W50" s="22"/>
      <c r="X50" s="22"/>
      <c r="Y50" s="22"/>
      <c r="Z50" s="27"/>
      <c r="AA50" s="22"/>
      <c r="AB50" s="22"/>
    </row>
    <row r="51" customFormat="false" ht="15" hidden="false" customHeight="false" outlineLevel="0" collapsed="false">
      <c r="A51" s="22" t="n">
        <v>50</v>
      </c>
      <c r="B51" s="22" t="s">
        <v>343</v>
      </c>
      <c r="C51" s="22" t="s">
        <v>344</v>
      </c>
      <c r="D51" s="22" t="s">
        <v>149</v>
      </c>
      <c r="E51" s="22" t="s">
        <v>139</v>
      </c>
      <c r="F51" s="22" t="s">
        <v>94</v>
      </c>
      <c r="G51" s="23" t="n">
        <v>43502</v>
      </c>
      <c r="H51" s="24" t="n">
        <f aca="false">IF(G51="","",ROUND((Config!$C$4-G51)/365.25,2))</f>
        <v>7.65</v>
      </c>
      <c r="I51" s="25" t="str">
        <f aca="false">IF(H51="","",IF(H51&lt;=1,"Tramo 1",IF(H51&lt;=3,"Tramo 2",IF(H51&lt;=5,"Tramo 3","Tramo 4"))))</f>
        <v>Tramo 4</v>
      </c>
      <c r="J51" s="22" t="s">
        <v>140</v>
      </c>
      <c r="K51" s="22"/>
      <c r="L51" s="22" t="s">
        <v>345</v>
      </c>
      <c r="M51" s="26" t="s">
        <v>346</v>
      </c>
      <c r="N51" s="22"/>
      <c r="O51" s="22" t="s">
        <v>63</v>
      </c>
      <c r="P51" s="25" t="str">
        <f aca="false">IF(OR(O51="",O51="Sin información"),"",IFERROR(INDEX(Listas!$B$2:$B$9,MATCH(O51,Listas!$A$2:$A$9,0)),""))</f>
        <v/>
      </c>
      <c r="Q51" s="25" t="str">
        <f aca="false">IF(OR(O51="",O51="Sin información"),"",IFERROR(INDEX(Listas!$C$2:$C$9,MATCH(O51,Listas!$A$2:$A$9,0)),""))</f>
        <v/>
      </c>
      <c r="R51" s="22"/>
      <c r="S51" s="22"/>
      <c r="T51" s="25" t="str">
        <f aca="false">IF(S51="","",IFERROR(INDEX(Empleadores!$B$2:$B$601,MATCH(S51,Empleadores!$A$2:$A$601,0)),"No encontrado"))</f>
        <v/>
      </c>
      <c r="U51" s="25" t="str">
        <f aca="false">IF(C51="","",IF(V51="","No",IF(Config!$C$4-V51&lt;=Config!$C$15,"Sí","No")))</f>
        <v>No</v>
      </c>
      <c r="V51" s="23"/>
      <c r="W51" s="22"/>
      <c r="X51" s="22"/>
      <c r="Y51" s="22"/>
      <c r="Z51" s="27"/>
      <c r="AA51" s="22"/>
      <c r="AB51" s="22"/>
    </row>
    <row r="52" customFormat="false" ht="15" hidden="false" customHeight="false" outlineLevel="0" collapsed="false">
      <c r="A52" s="22" t="n">
        <v>51</v>
      </c>
      <c r="B52" s="22" t="s">
        <v>347</v>
      </c>
      <c r="C52" s="22" t="s">
        <v>348</v>
      </c>
      <c r="D52" s="22" t="s">
        <v>149</v>
      </c>
      <c r="E52" s="22" t="s">
        <v>139</v>
      </c>
      <c r="F52" s="22" t="s">
        <v>94</v>
      </c>
      <c r="G52" s="23" t="n">
        <v>43502</v>
      </c>
      <c r="H52" s="24" t="n">
        <f aca="false">IF(G52="","",ROUND((Config!$C$4-G52)/365.25,2))</f>
        <v>7.65</v>
      </c>
      <c r="I52" s="25" t="str">
        <f aca="false">IF(H52="","",IF(H52&lt;=1,"Tramo 1",IF(H52&lt;=3,"Tramo 2",IF(H52&lt;=5,"Tramo 3","Tramo 4"))))</f>
        <v>Tramo 4</v>
      </c>
      <c r="J52" s="22" t="s">
        <v>140</v>
      </c>
      <c r="K52" s="22"/>
      <c r="L52" s="22" t="s">
        <v>349</v>
      </c>
      <c r="M52" s="26" t="s">
        <v>350</v>
      </c>
      <c r="N52" s="22"/>
      <c r="O52" s="22" t="s">
        <v>85</v>
      </c>
      <c r="P52" s="25" t="str">
        <f aca="false">IF(OR(O52="",O52="Sin información"),"",IFERROR(INDEX(Listas!$B$2:$B$9,MATCH(O52,Listas!$A$2:$A$9,0)),""))</f>
        <v>Sí</v>
      </c>
      <c r="Q52" s="25" t="str">
        <f aca="false">IF(OR(O52="",O52="Sin información"),"",IFERROR(INDEX(Listas!$C$2:$C$9,MATCH(O52,Listas!$A$2:$A$9,0)),""))</f>
        <v>Sí</v>
      </c>
      <c r="R52" s="22"/>
      <c r="S52" s="22" t="s">
        <v>351</v>
      </c>
      <c r="T52" s="25" t="str">
        <f aca="false">IF(S52="","",IFERROR(INDEX(Empleadores!$B$2:$B$601,MATCH(S52,Empleadores!$A$2:$A$601,0)),"No encontrado"))</f>
        <v>Hospital Nacional Alberto Sabogal Sologuren</v>
      </c>
      <c r="U52" s="25" t="str">
        <f aca="false">IF(C52="","",IF(V52="","No",IF(Config!$C$4-V52&lt;=Config!$C$15,"Sí","No")))</f>
        <v>Sí</v>
      </c>
      <c r="V52" s="23" t="n">
        <v>45974</v>
      </c>
      <c r="W52" s="22"/>
      <c r="X52" s="22"/>
      <c r="Y52" s="22" t="s">
        <v>181</v>
      </c>
      <c r="Z52" s="27"/>
      <c r="AA52" s="22"/>
      <c r="AB52" s="22" t="s">
        <v>183</v>
      </c>
    </row>
    <row r="53" customFormat="false" ht="15" hidden="false" customHeight="false" outlineLevel="0" collapsed="false">
      <c r="A53" s="22" t="n">
        <v>52</v>
      </c>
      <c r="B53" s="22" t="s">
        <v>352</v>
      </c>
      <c r="C53" s="22" t="s">
        <v>353</v>
      </c>
      <c r="D53" s="22" t="s">
        <v>149</v>
      </c>
      <c r="E53" s="22" t="s">
        <v>139</v>
      </c>
      <c r="F53" s="22" t="s">
        <v>94</v>
      </c>
      <c r="G53" s="23" t="n">
        <v>43502</v>
      </c>
      <c r="H53" s="24" t="n">
        <f aca="false">IF(G53="","",ROUND((Config!$C$4-G53)/365.25,2))</f>
        <v>7.65</v>
      </c>
      <c r="I53" s="25" t="str">
        <f aca="false">IF(H53="","",IF(H53&lt;=1,"Tramo 1",IF(H53&lt;=3,"Tramo 2",IF(H53&lt;=5,"Tramo 3","Tramo 4"))))</f>
        <v>Tramo 4</v>
      </c>
      <c r="J53" s="22" t="s">
        <v>140</v>
      </c>
      <c r="K53" s="22"/>
      <c r="L53" s="22" t="s">
        <v>354</v>
      </c>
      <c r="M53" s="26" t="s">
        <v>355</v>
      </c>
      <c r="N53" s="22"/>
      <c r="O53" s="22" t="s">
        <v>63</v>
      </c>
      <c r="P53" s="25" t="str">
        <f aca="false">IF(OR(O53="",O53="Sin información"),"",IFERROR(INDEX(Listas!$B$2:$B$9,MATCH(O53,Listas!$A$2:$A$9,0)),""))</f>
        <v/>
      </c>
      <c r="Q53" s="25" t="str">
        <f aca="false">IF(OR(O53="",O53="Sin información"),"",IFERROR(INDEX(Listas!$C$2:$C$9,MATCH(O53,Listas!$A$2:$A$9,0)),""))</f>
        <v/>
      </c>
      <c r="R53" s="22"/>
      <c r="S53" s="22"/>
      <c r="T53" s="25" t="str">
        <f aca="false">IF(S53="","",IFERROR(INDEX(Empleadores!$B$2:$B$601,MATCH(S53,Empleadores!$A$2:$A$601,0)),"No encontrado"))</f>
        <v/>
      </c>
      <c r="U53" s="25" t="str">
        <f aca="false">IF(C53="","",IF(V53="","No",IF(Config!$C$4-V53&lt;=Config!$C$15,"Sí","No")))</f>
        <v>No</v>
      </c>
      <c r="V53" s="23"/>
      <c r="W53" s="22"/>
      <c r="X53" s="22"/>
      <c r="Y53" s="22"/>
      <c r="Z53" s="27"/>
      <c r="AA53" s="22"/>
      <c r="AB53" s="22"/>
    </row>
    <row r="54" customFormat="false" ht="15" hidden="false" customHeight="false" outlineLevel="0" collapsed="false">
      <c r="A54" s="22" t="n">
        <v>53</v>
      </c>
      <c r="B54" s="22" t="s">
        <v>356</v>
      </c>
      <c r="C54" s="22" t="s">
        <v>357</v>
      </c>
      <c r="D54" s="22" t="s">
        <v>138</v>
      </c>
      <c r="E54" s="22" t="s">
        <v>139</v>
      </c>
      <c r="F54" s="22" t="s">
        <v>94</v>
      </c>
      <c r="G54" s="23" t="n">
        <v>43502</v>
      </c>
      <c r="H54" s="24" t="n">
        <f aca="false">IF(G54="","",ROUND((Config!$C$4-G54)/365.25,2))</f>
        <v>7.65</v>
      </c>
      <c r="I54" s="25" t="str">
        <f aca="false">IF(H54="","",IF(H54&lt;=1,"Tramo 1",IF(H54&lt;=3,"Tramo 2",IF(H54&lt;=5,"Tramo 3","Tramo 4"))))</f>
        <v>Tramo 4</v>
      </c>
      <c r="J54" s="22" t="s">
        <v>140</v>
      </c>
      <c r="K54" s="22"/>
      <c r="L54" s="22" t="s">
        <v>358</v>
      </c>
      <c r="M54" s="26" t="s">
        <v>359</v>
      </c>
      <c r="N54" s="22"/>
      <c r="O54" s="22" t="s">
        <v>63</v>
      </c>
      <c r="P54" s="25" t="str">
        <f aca="false">IF(OR(O54="",O54="Sin información"),"",IFERROR(INDEX(Listas!$B$2:$B$9,MATCH(O54,Listas!$A$2:$A$9,0)),""))</f>
        <v/>
      </c>
      <c r="Q54" s="25" t="str">
        <f aca="false">IF(OR(O54="",O54="Sin información"),"",IFERROR(INDEX(Listas!$C$2:$C$9,MATCH(O54,Listas!$A$2:$A$9,0)),""))</f>
        <v/>
      </c>
      <c r="R54" s="22"/>
      <c r="S54" s="22"/>
      <c r="T54" s="25" t="str">
        <f aca="false">IF(S54="","",IFERROR(INDEX(Empleadores!$B$2:$B$601,MATCH(S54,Empleadores!$A$2:$A$601,0)),"No encontrado"))</f>
        <v/>
      </c>
      <c r="U54" s="25" t="str">
        <f aca="false">IF(C54="","",IF(V54="","No",IF(Config!$C$4-V54&lt;=Config!$C$15,"Sí","No")))</f>
        <v>No</v>
      </c>
      <c r="V54" s="23"/>
      <c r="W54" s="22"/>
      <c r="X54" s="22"/>
      <c r="Y54" s="22"/>
      <c r="Z54" s="27"/>
      <c r="AA54" s="22"/>
      <c r="AB54" s="22"/>
    </row>
    <row r="55" customFormat="false" ht="15" hidden="false" customHeight="false" outlineLevel="0" collapsed="false">
      <c r="A55" s="22" t="n">
        <v>54</v>
      </c>
      <c r="B55" s="22" t="s">
        <v>360</v>
      </c>
      <c r="C55" s="22" t="s">
        <v>361</v>
      </c>
      <c r="D55" s="22" t="s">
        <v>138</v>
      </c>
      <c r="E55" s="22" t="s">
        <v>139</v>
      </c>
      <c r="F55" s="22" t="s">
        <v>94</v>
      </c>
      <c r="G55" s="23" t="n">
        <v>43502</v>
      </c>
      <c r="H55" s="24" t="n">
        <f aca="false">IF(G55="","",ROUND((Config!$C$4-G55)/365.25,2))</f>
        <v>7.65</v>
      </c>
      <c r="I55" s="25" t="str">
        <f aca="false">IF(H55="","",IF(H55&lt;=1,"Tramo 1",IF(H55&lt;=3,"Tramo 2",IF(H55&lt;=5,"Tramo 3","Tramo 4"))))</f>
        <v>Tramo 4</v>
      </c>
      <c r="J55" s="22" t="s">
        <v>140</v>
      </c>
      <c r="K55" s="22"/>
      <c r="L55" s="22" t="s">
        <v>362</v>
      </c>
      <c r="M55" s="26" t="s">
        <v>363</v>
      </c>
      <c r="N55" s="22"/>
      <c r="O55" s="22" t="s">
        <v>63</v>
      </c>
      <c r="P55" s="25" t="str">
        <f aca="false">IF(OR(O55="",O55="Sin información"),"",IFERROR(INDEX(Listas!$B$2:$B$9,MATCH(O55,Listas!$A$2:$A$9,0)),""))</f>
        <v/>
      </c>
      <c r="Q55" s="25" t="str">
        <f aca="false">IF(OR(O55="",O55="Sin información"),"",IFERROR(INDEX(Listas!$C$2:$C$9,MATCH(O55,Listas!$A$2:$A$9,0)),""))</f>
        <v/>
      </c>
      <c r="R55" s="22"/>
      <c r="S55" s="22"/>
      <c r="T55" s="25" t="str">
        <f aca="false">IF(S55="","",IFERROR(INDEX(Empleadores!$B$2:$B$601,MATCH(S55,Empleadores!$A$2:$A$601,0)),"No encontrado"))</f>
        <v/>
      </c>
      <c r="U55" s="25" t="str">
        <f aca="false">IF(C55="","",IF(V55="","No",IF(Config!$C$4-V55&lt;=Config!$C$15,"Sí","No")))</f>
        <v>No</v>
      </c>
      <c r="V55" s="23"/>
      <c r="W55" s="22"/>
      <c r="X55" s="22"/>
      <c r="Y55" s="22"/>
      <c r="Z55" s="27"/>
      <c r="AA55" s="22"/>
      <c r="AB55" s="22"/>
    </row>
    <row r="56" customFormat="false" ht="15" hidden="false" customHeight="false" outlineLevel="0" collapsed="false">
      <c r="A56" s="22" t="n">
        <v>55</v>
      </c>
      <c r="B56" s="22" t="s">
        <v>364</v>
      </c>
      <c r="C56" s="22" t="s">
        <v>365</v>
      </c>
      <c r="D56" s="22" t="s">
        <v>138</v>
      </c>
      <c r="E56" s="22" t="s">
        <v>139</v>
      </c>
      <c r="F56" s="22" t="s">
        <v>94</v>
      </c>
      <c r="G56" s="23" t="n">
        <v>43502</v>
      </c>
      <c r="H56" s="24" t="n">
        <f aca="false">IF(G56="","",ROUND((Config!$C$4-G56)/365.25,2))</f>
        <v>7.65</v>
      </c>
      <c r="I56" s="25" t="str">
        <f aca="false">IF(H56="","",IF(H56&lt;=1,"Tramo 1",IF(H56&lt;=3,"Tramo 2",IF(H56&lt;=5,"Tramo 3","Tramo 4"))))</f>
        <v>Tramo 4</v>
      </c>
      <c r="J56" s="22" t="s">
        <v>140</v>
      </c>
      <c r="K56" s="22"/>
      <c r="L56" s="22" t="s">
        <v>366</v>
      </c>
      <c r="M56" s="26" t="s">
        <v>367</v>
      </c>
      <c r="N56" s="22"/>
      <c r="O56" s="22" t="s">
        <v>63</v>
      </c>
      <c r="P56" s="25" t="str">
        <f aca="false">IF(OR(O56="",O56="Sin información"),"",IFERROR(INDEX(Listas!$B$2:$B$9,MATCH(O56,Listas!$A$2:$A$9,0)),""))</f>
        <v/>
      </c>
      <c r="Q56" s="25" t="str">
        <f aca="false">IF(OR(O56="",O56="Sin información"),"",IFERROR(INDEX(Listas!$C$2:$C$9,MATCH(O56,Listas!$A$2:$A$9,0)),""))</f>
        <v/>
      </c>
      <c r="R56" s="22"/>
      <c r="S56" s="22"/>
      <c r="T56" s="25" t="str">
        <f aca="false">IF(S56="","",IFERROR(INDEX(Empleadores!$B$2:$B$601,MATCH(S56,Empleadores!$A$2:$A$601,0)),"No encontrado"))</f>
        <v/>
      </c>
      <c r="U56" s="25" t="str">
        <f aca="false">IF(C56="","",IF(V56="","No",IF(Config!$C$4-V56&lt;=Config!$C$15,"Sí","No")))</f>
        <v>No</v>
      </c>
      <c r="V56" s="23"/>
      <c r="W56" s="22"/>
      <c r="X56" s="22"/>
      <c r="Y56" s="22"/>
      <c r="Z56" s="27"/>
      <c r="AA56" s="22"/>
      <c r="AB56" s="22"/>
    </row>
    <row r="57" customFormat="false" ht="15" hidden="false" customHeight="false" outlineLevel="0" collapsed="false">
      <c r="A57" s="22" t="n">
        <v>56</v>
      </c>
      <c r="B57" s="22" t="s">
        <v>368</v>
      </c>
      <c r="C57" s="22" t="s">
        <v>369</v>
      </c>
      <c r="D57" s="22" t="s">
        <v>149</v>
      </c>
      <c r="E57" s="22" t="s">
        <v>139</v>
      </c>
      <c r="F57" s="22" t="s">
        <v>94</v>
      </c>
      <c r="G57" s="23" t="n">
        <v>43502</v>
      </c>
      <c r="H57" s="24" t="n">
        <f aca="false">IF(G57="","",ROUND((Config!$C$4-G57)/365.25,2))</f>
        <v>7.65</v>
      </c>
      <c r="I57" s="25" t="str">
        <f aca="false">IF(H57="","",IF(H57&lt;=1,"Tramo 1",IF(H57&lt;=3,"Tramo 2",IF(H57&lt;=5,"Tramo 3","Tramo 4"))))</f>
        <v>Tramo 4</v>
      </c>
      <c r="J57" s="22" t="s">
        <v>140</v>
      </c>
      <c r="K57" s="22"/>
      <c r="L57" s="22" t="s">
        <v>370</v>
      </c>
      <c r="M57" s="26" t="s">
        <v>371</v>
      </c>
      <c r="N57" s="22"/>
      <c r="O57" s="22" t="s">
        <v>63</v>
      </c>
      <c r="P57" s="25" t="str">
        <f aca="false">IF(OR(O57="",O57="Sin información"),"",IFERROR(INDEX(Listas!$B$2:$B$9,MATCH(O57,Listas!$A$2:$A$9,0)),""))</f>
        <v/>
      </c>
      <c r="Q57" s="25" t="str">
        <f aca="false">IF(OR(O57="",O57="Sin información"),"",IFERROR(INDEX(Listas!$C$2:$C$9,MATCH(O57,Listas!$A$2:$A$9,0)),""))</f>
        <v/>
      </c>
      <c r="R57" s="22"/>
      <c r="S57" s="22"/>
      <c r="T57" s="25" t="str">
        <f aca="false">IF(S57="","",IFERROR(INDEX(Empleadores!$B$2:$B$601,MATCH(S57,Empleadores!$A$2:$A$601,0)),"No encontrado"))</f>
        <v/>
      </c>
      <c r="U57" s="25" t="str">
        <f aca="false">IF(C57="","",IF(V57="","No",IF(Config!$C$4-V57&lt;=Config!$C$15,"Sí","No")))</f>
        <v>No</v>
      </c>
      <c r="V57" s="23"/>
      <c r="W57" s="22"/>
      <c r="X57" s="22"/>
      <c r="Y57" s="22"/>
      <c r="Z57" s="27"/>
      <c r="AA57" s="22"/>
      <c r="AB57" s="22"/>
    </row>
    <row r="58" customFormat="false" ht="15" hidden="false" customHeight="false" outlineLevel="0" collapsed="false">
      <c r="A58" s="22" t="n">
        <v>57</v>
      </c>
      <c r="B58" s="22" t="s">
        <v>372</v>
      </c>
      <c r="C58" s="22" t="s">
        <v>373</v>
      </c>
      <c r="D58" s="22" t="s">
        <v>138</v>
      </c>
      <c r="E58" s="22" t="s">
        <v>139</v>
      </c>
      <c r="F58" s="22" t="s">
        <v>94</v>
      </c>
      <c r="G58" s="23" t="n">
        <v>43502</v>
      </c>
      <c r="H58" s="24" t="n">
        <f aca="false">IF(G58="","",ROUND((Config!$C$4-G58)/365.25,2))</f>
        <v>7.65</v>
      </c>
      <c r="I58" s="25" t="str">
        <f aca="false">IF(H58="","",IF(H58&lt;=1,"Tramo 1",IF(H58&lt;=3,"Tramo 2",IF(H58&lt;=5,"Tramo 3","Tramo 4"))))</f>
        <v>Tramo 4</v>
      </c>
      <c r="J58" s="22" t="s">
        <v>140</v>
      </c>
      <c r="K58" s="22"/>
      <c r="L58" s="22" t="s">
        <v>374</v>
      </c>
      <c r="M58" s="26" t="s">
        <v>375</v>
      </c>
      <c r="N58" s="22"/>
      <c r="O58" s="22" t="s">
        <v>63</v>
      </c>
      <c r="P58" s="25" t="str">
        <f aca="false">IF(OR(O58="",O58="Sin información"),"",IFERROR(INDEX(Listas!$B$2:$B$9,MATCH(O58,Listas!$A$2:$A$9,0)),""))</f>
        <v/>
      </c>
      <c r="Q58" s="25" t="str">
        <f aca="false">IF(OR(O58="",O58="Sin información"),"",IFERROR(INDEX(Listas!$C$2:$C$9,MATCH(O58,Listas!$A$2:$A$9,0)),""))</f>
        <v/>
      </c>
      <c r="R58" s="22"/>
      <c r="S58" s="22"/>
      <c r="T58" s="25" t="str">
        <f aca="false">IF(S58="","",IFERROR(INDEX(Empleadores!$B$2:$B$601,MATCH(S58,Empleadores!$A$2:$A$601,0)),"No encontrado"))</f>
        <v/>
      </c>
      <c r="U58" s="25" t="str">
        <f aca="false">IF(C58="","",IF(V58="","No",IF(Config!$C$4-V58&lt;=Config!$C$15,"Sí","No")))</f>
        <v>No</v>
      </c>
      <c r="V58" s="23"/>
      <c r="W58" s="22"/>
      <c r="X58" s="22"/>
      <c r="Y58" s="22"/>
      <c r="Z58" s="27"/>
      <c r="AA58" s="22"/>
      <c r="AB58" s="22"/>
    </row>
    <row r="59" customFormat="false" ht="15" hidden="false" customHeight="false" outlineLevel="0" collapsed="false">
      <c r="A59" s="22" t="n">
        <v>58</v>
      </c>
      <c r="B59" s="22" t="s">
        <v>376</v>
      </c>
      <c r="C59" s="22" t="s">
        <v>377</v>
      </c>
      <c r="D59" s="22" t="s">
        <v>149</v>
      </c>
      <c r="E59" s="22" t="s">
        <v>139</v>
      </c>
      <c r="F59" s="22" t="s">
        <v>94</v>
      </c>
      <c r="G59" s="23" t="n">
        <v>43502</v>
      </c>
      <c r="H59" s="24" t="n">
        <f aca="false">IF(G59="","",ROUND((Config!$C$4-G59)/365.25,2))</f>
        <v>7.65</v>
      </c>
      <c r="I59" s="25" t="str">
        <f aca="false">IF(H59="","",IF(H59&lt;=1,"Tramo 1",IF(H59&lt;=3,"Tramo 2",IF(H59&lt;=5,"Tramo 3","Tramo 4"))))</f>
        <v>Tramo 4</v>
      </c>
      <c r="J59" s="22" t="s">
        <v>140</v>
      </c>
      <c r="K59" s="22"/>
      <c r="L59" s="22" t="s">
        <v>378</v>
      </c>
      <c r="M59" s="26" t="s">
        <v>379</v>
      </c>
      <c r="N59" s="22"/>
      <c r="O59" s="22" t="s">
        <v>63</v>
      </c>
      <c r="P59" s="25" t="str">
        <f aca="false">IF(OR(O59="",O59="Sin información"),"",IFERROR(INDEX(Listas!$B$2:$B$9,MATCH(O59,Listas!$A$2:$A$9,0)),""))</f>
        <v/>
      </c>
      <c r="Q59" s="25" t="str">
        <f aca="false">IF(OR(O59="",O59="Sin información"),"",IFERROR(INDEX(Listas!$C$2:$C$9,MATCH(O59,Listas!$A$2:$A$9,0)),""))</f>
        <v/>
      </c>
      <c r="R59" s="22"/>
      <c r="S59" s="22"/>
      <c r="T59" s="25" t="str">
        <f aca="false">IF(S59="","",IFERROR(INDEX(Empleadores!$B$2:$B$601,MATCH(S59,Empleadores!$A$2:$A$601,0)),"No encontrado"))</f>
        <v/>
      </c>
      <c r="U59" s="25" t="str">
        <f aca="false">IF(C59="","",IF(V59="","No",IF(Config!$C$4-V59&lt;=Config!$C$15,"Sí","No")))</f>
        <v>No</v>
      </c>
      <c r="V59" s="23"/>
      <c r="W59" s="22"/>
      <c r="X59" s="22"/>
      <c r="Y59" s="22"/>
      <c r="Z59" s="27"/>
      <c r="AA59" s="22"/>
      <c r="AB59" s="22"/>
    </row>
    <row r="60" customFormat="false" ht="15" hidden="false" customHeight="false" outlineLevel="0" collapsed="false">
      <c r="A60" s="22" t="n">
        <v>59</v>
      </c>
      <c r="B60" s="22" t="s">
        <v>380</v>
      </c>
      <c r="C60" s="22" t="s">
        <v>381</v>
      </c>
      <c r="D60" s="22" t="s">
        <v>149</v>
      </c>
      <c r="E60" s="22" t="s">
        <v>139</v>
      </c>
      <c r="F60" s="22" t="s">
        <v>94</v>
      </c>
      <c r="G60" s="23" t="n">
        <v>43502</v>
      </c>
      <c r="H60" s="24" t="n">
        <f aca="false">IF(G60="","",ROUND((Config!$C$4-G60)/365.25,2))</f>
        <v>7.65</v>
      </c>
      <c r="I60" s="25" t="str">
        <f aca="false">IF(H60="","",IF(H60&lt;=1,"Tramo 1",IF(H60&lt;=3,"Tramo 2",IF(H60&lt;=5,"Tramo 3","Tramo 4"))))</f>
        <v>Tramo 4</v>
      </c>
      <c r="J60" s="22" t="s">
        <v>140</v>
      </c>
      <c r="K60" s="22"/>
      <c r="L60" s="22" t="s">
        <v>382</v>
      </c>
      <c r="M60" s="26" t="s">
        <v>383</v>
      </c>
      <c r="N60" s="22"/>
      <c r="O60" s="22" t="s">
        <v>63</v>
      </c>
      <c r="P60" s="25" t="str">
        <f aca="false">IF(OR(O60="",O60="Sin información"),"",IFERROR(INDEX(Listas!$B$2:$B$9,MATCH(O60,Listas!$A$2:$A$9,0)),""))</f>
        <v/>
      </c>
      <c r="Q60" s="25" t="str">
        <f aca="false">IF(OR(O60="",O60="Sin información"),"",IFERROR(INDEX(Listas!$C$2:$C$9,MATCH(O60,Listas!$A$2:$A$9,0)),""))</f>
        <v/>
      </c>
      <c r="R60" s="22"/>
      <c r="S60" s="22"/>
      <c r="T60" s="25" t="str">
        <f aca="false">IF(S60="","",IFERROR(INDEX(Empleadores!$B$2:$B$601,MATCH(S60,Empleadores!$A$2:$A$601,0)),"No encontrado"))</f>
        <v/>
      </c>
      <c r="U60" s="25" t="str">
        <f aca="false">IF(C60="","",IF(V60="","No",IF(Config!$C$4-V60&lt;=Config!$C$15,"Sí","No")))</f>
        <v>No</v>
      </c>
      <c r="V60" s="23"/>
      <c r="W60" s="22"/>
      <c r="X60" s="22"/>
      <c r="Y60" s="22"/>
      <c r="Z60" s="27"/>
      <c r="AA60" s="22"/>
      <c r="AB60" s="22"/>
    </row>
    <row r="61" customFormat="false" ht="15" hidden="false" customHeight="false" outlineLevel="0" collapsed="false">
      <c r="A61" s="22" t="n">
        <v>60</v>
      </c>
      <c r="B61" s="22" t="s">
        <v>384</v>
      </c>
      <c r="C61" s="22" t="s">
        <v>385</v>
      </c>
      <c r="D61" s="22" t="s">
        <v>149</v>
      </c>
      <c r="E61" s="22" t="s">
        <v>139</v>
      </c>
      <c r="F61" s="22" t="s">
        <v>94</v>
      </c>
      <c r="G61" s="23" t="n">
        <v>43502</v>
      </c>
      <c r="H61" s="24" t="n">
        <f aca="false">IF(G61="","",ROUND((Config!$C$4-G61)/365.25,2))</f>
        <v>7.65</v>
      </c>
      <c r="I61" s="25" t="str">
        <f aca="false">IF(H61="","",IF(H61&lt;=1,"Tramo 1",IF(H61&lt;=3,"Tramo 2",IF(H61&lt;=5,"Tramo 3","Tramo 4"))))</f>
        <v>Tramo 4</v>
      </c>
      <c r="J61" s="22" t="s">
        <v>140</v>
      </c>
      <c r="K61" s="22"/>
      <c r="L61" s="22" t="s">
        <v>386</v>
      </c>
      <c r="M61" s="26" t="s">
        <v>387</v>
      </c>
      <c r="N61" s="22"/>
      <c r="O61" s="22" t="s">
        <v>63</v>
      </c>
      <c r="P61" s="25" t="str">
        <f aca="false">IF(OR(O61="",O61="Sin información"),"",IFERROR(INDEX(Listas!$B$2:$B$9,MATCH(O61,Listas!$A$2:$A$9,0)),""))</f>
        <v/>
      </c>
      <c r="Q61" s="25" t="str">
        <f aca="false">IF(OR(O61="",O61="Sin información"),"",IFERROR(INDEX(Listas!$C$2:$C$9,MATCH(O61,Listas!$A$2:$A$9,0)),""))</f>
        <v/>
      </c>
      <c r="R61" s="22"/>
      <c r="S61" s="22"/>
      <c r="T61" s="25" t="str">
        <f aca="false">IF(S61="","",IFERROR(INDEX(Empleadores!$B$2:$B$601,MATCH(S61,Empleadores!$A$2:$A$601,0)),"No encontrado"))</f>
        <v/>
      </c>
      <c r="U61" s="25" t="str">
        <f aca="false">IF(C61="","",IF(V61="","No",IF(Config!$C$4-V61&lt;=Config!$C$15,"Sí","No")))</f>
        <v>No</v>
      </c>
      <c r="V61" s="23"/>
      <c r="W61" s="22"/>
      <c r="X61" s="22"/>
      <c r="Y61" s="22"/>
      <c r="Z61" s="27"/>
      <c r="AA61" s="22"/>
      <c r="AB61" s="22"/>
    </row>
    <row r="62" customFormat="false" ht="15" hidden="false" customHeight="false" outlineLevel="0" collapsed="false">
      <c r="A62" s="22" t="n">
        <v>61</v>
      </c>
      <c r="B62" s="22" t="s">
        <v>388</v>
      </c>
      <c r="C62" s="22" t="s">
        <v>389</v>
      </c>
      <c r="D62" s="22" t="s">
        <v>138</v>
      </c>
      <c r="E62" s="22" t="s">
        <v>139</v>
      </c>
      <c r="F62" s="22" t="s">
        <v>94</v>
      </c>
      <c r="G62" s="23" t="n">
        <v>43502</v>
      </c>
      <c r="H62" s="24" t="n">
        <f aca="false">IF(G62="","",ROUND((Config!$C$4-G62)/365.25,2))</f>
        <v>7.65</v>
      </c>
      <c r="I62" s="25" t="str">
        <f aca="false">IF(H62="","",IF(H62&lt;=1,"Tramo 1",IF(H62&lt;=3,"Tramo 2",IF(H62&lt;=5,"Tramo 3","Tramo 4"))))</f>
        <v>Tramo 4</v>
      </c>
      <c r="J62" s="22" t="s">
        <v>140</v>
      </c>
      <c r="K62" s="22"/>
      <c r="L62" s="22" t="s">
        <v>390</v>
      </c>
      <c r="M62" s="26" t="s">
        <v>391</v>
      </c>
      <c r="N62" s="22"/>
      <c r="O62" s="22" t="s">
        <v>63</v>
      </c>
      <c r="P62" s="25" t="str">
        <f aca="false">IF(OR(O62="",O62="Sin información"),"",IFERROR(INDEX(Listas!$B$2:$B$9,MATCH(O62,Listas!$A$2:$A$9,0)),""))</f>
        <v/>
      </c>
      <c r="Q62" s="25" t="str">
        <f aca="false">IF(OR(O62="",O62="Sin información"),"",IFERROR(INDEX(Listas!$C$2:$C$9,MATCH(O62,Listas!$A$2:$A$9,0)),""))</f>
        <v/>
      </c>
      <c r="R62" s="22"/>
      <c r="S62" s="22"/>
      <c r="T62" s="25" t="str">
        <f aca="false">IF(S62="","",IFERROR(INDEX(Empleadores!$B$2:$B$601,MATCH(S62,Empleadores!$A$2:$A$601,0)),"No encontrado"))</f>
        <v/>
      </c>
      <c r="U62" s="25" t="str">
        <f aca="false">IF(C62="","",IF(V62="","No",IF(Config!$C$4-V62&lt;=Config!$C$15,"Sí","No")))</f>
        <v>No</v>
      </c>
      <c r="V62" s="23"/>
      <c r="W62" s="22"/>
      <c r="X62" s="22"/>
      <c r="Y62" s="22"/>
      <c r="Z62" s="27"/>
      <c r="AA62" s="22"/>
      <c r="AB62" s="22"/>
    </row>
    <row r="63" customFormat="false" ht="15" hidden="false" customHeight="false" outlineLevel="0" collapsed="false">
      <c r="A63" s="22" t="n">
        <v>62</v>
      </c>
      <c r="B63" s="22" t="s">
        <v>392</v>
      </c>
      <c r="C63" s="22" t="s">
        <v>393</v>
      </c>
      <c r="D63" s="22" t="s">
        <v>149</v>
      </c>
      <c r="E63" s="22" t="s">
        <v>139</v>
      </c>
      <c r="F63" s="22" t="s">
        <v>94</v>
      </c>
      <c r="G63" s="23" t="n">
        <v>43502</v>
      </c>
      <c r="H63" s="24" t="n">
        <f aca="false">IF(G63="","",ROUND((Config!$C$4-G63)/365.25,2))</f>
        <v>7.65</v>
      </c>
      <c r="I63" s="25" t="str">
        <f aca="false">IF(H63="","",IF(H63&lt;=1,"Tramo 1",IF(H63&lt;=3,"Tramo 2",IF(H63&lt;=5,"Tramo 3","Tramo 4"))))</f>
        <v>Tramo 4</v>
      </c>
      <c r="J63" s="22" t="s">
        <v>140</v>
      </c>
      <c r="K63" s="22"/>
      <c r="L63" s="22" t="s">
        <v>394</v>
      </c>
      <c r="M63" s="26" t="s">
        <v>395</v>
      </c>
      <c r="N63" s="22"/>
      <c r="O63" s="22" t="s">
        <v>63</v>
      </c>
      <c r="P63" s="25" t="str">
        <f aca="false">IF(OR(O63="",O63="Sin información"),"",IFERROR(INDEX(Listas!$B$2:$B$9,MATCH(O63,Listas!$A$2:$A$9,0)),""))</f>
        <v/>
      </c>
      <c r="Q63" s="25" t="str">
        <f aca="false">IF(OR(O63="",O63="Sin información"),"",IFERROR(INDEX(Listas!$C$2:$C$9,MATCH(O63,Listas!$A$2:$A$9,0)),""))</f>
        <v/>
      </c>
      <c r="R63" s="22"/>
      <c r="S63" s="22"/>
      <c r="T63" s="25" t="str">
        <f aca="false">IF(S63="","",IFERROR(INDEX(Empleadores!$B$2:$B$601,MATCH(S63,Empleadores!$A$2:$A$601,0)),"No encontrado"))</f>
        <v/>
      </c>
      <c r="U63" s="25" t="str">
        <f aca="false">IF(C63="","",IF(V63="","No",IF(Config!$C$4-V63&lt;=Config!$C$15,"Sí","No")))</f>
        <v>No</v>
      </c>
      <c r="V63" s="23"/>
      <c r="W63" s="22"/>
      <c r="X63" s="22"/>
      <c r="Y63" s="22"/>
      <c r="Z63" s="27"/>
      <c r="AA63" s="22"/>
      <c r="AB63" s="22"/>
    </row>
    <row r="64" customFormat="false" ht="15" hidden="false" customHeight="false" outlineLevel="0" collapsed="false">
      <c r="A64" s="22" t="n">
        <v>63</v>
      </c>
      <c r="B64" s="22" t="s">
        <v>396</v>
      </c>
      <c r="C64" s="22" t="s">
        <v>397</v>
      </c>
      <c r="D64" s="22" t="s">
        <v>149</v>
      </c>
      <c r="E64" s="22" t="s">
        <v>139</v>
      </c>
      <c r="F64" s="22" t="s">
        <v>94</v>
      </c>
      <c r="G64" s="23" t="n">
        <v>43502</v>
      </c>
      <c r="H64" s="24" t="n">
        <f aca="false">IF(G64="","",ROUND((Config!$C$4-G64)/365.25,2))</f>
        <v>7.65</v>
      </c>
      <c r="I64" s="25" t="str">
        <f aca="false">IF(H64="","",IF(H64&lt;=1,"Tramo 1",IF(H64&lt;=3,"Tramo 2",IF(H64&lt;=5,"Tramo 3","Tramo 4"))))</f>
        <v>Tramo 4</v>
      </c>
      <c r="J64" s="22" t="s">
        <v>140</v>
      </c>
      <c r="K64" s="22"/>
      <c r="L64" s="22" t="s">
        <v>398</v>
      </c>
      <c r="M64" s="26" t="s">
        <v>399</v>
      </c>
      <c r="N64" s="22"/>
      <c r="O64" s="22" t="s">
        <v>63</v>
      </c>
      <c r="P64" s="25" t="str">
        <f aca="false">IF(OR(O64="",O64="Sin información"),"",IFERROR(INDEX(Listas!$B$2:$B$9,MATCH(O64,Listas!$A$2:$A$9,0)),""))</f>
        <v/>
      </c>
      <c r="Q64" s="25" t="str">
        <f aca="false">IF(OR(O64="",O64="Sin información"),"",IFERROR(INDEX(Listas!$C$2:$C$9,MATCH(O64,Listas!$A$2:$A$9,0)),""))</f>
        <v/>
      </c>
      <c r="R64" s="22"/>
      <c r="S64" s="22"/>
      <c r="T64" s="25" t="str">
        <f aca="false">IF(S64="","",IFERROR(INDEX(Empleadores!$B$2:$B$601,MATCH(S64,Empleadores!$A$2:$A$601,0)),"No encontrado"))</f>
        <v/>
      </c>
      <c r="U64" s="25" t="str">
        <f aca="false">IF(C64="","",IF(V64="","No",IF(Config!$C$4-V64&lt;=Config!$C$15,"Sí","No")))</f>
        <v>No</v>
      </c>
      <c r="V64" s="23"/>
      <c r="W64" s="22"/>
      <c r="X64" s="22"/>
      <c r="Y64" s="22"/>
      <c r="Z64" s="27"/>
      <c r="AA64" s="22"/>
      <c r="AB64" s="22"/>
    </row>
    <row r="65" customFormat="false" ht="15" hidden="false" customHeight="false" outlineLevel="0" collapsed="false">
      <c r="A65" s="22" t="n">
        <v>64</v>
      </c>
      <c r="B65" s="22" t="s">
        <v>400</v>
      </c>
      <c r="C65" s="22" t="s">
        <v>401</v>
      </c>
      <c r="D65" s="22" t="s">
        <v>138</v>
      </c>
      <c r="E65" s="22" t="s">
        <v>139</v>
      </c>
      <c r="F65" s="22" t="s">
        <v>94</v>
      </c>
      <c r="G65" s="23" t="n">
        <v>43502</v>
      </c>
      <c r="H65" s="24" t="n">
        <f aca="false">IF(G65="","",ROUND((Config!$C$4-G65)/365.25,2))</f>
        <v>7.65</v>
      </c>
      <c r="I65" s="25" t="str">
        <f aca="false">IF(H65="","",IF(H65&lt;=1,"Tramo 1",IF(H65&lt;=3,"Tramo 2",IF(H65&lt;=5,"Tramo 3","Tramo 4"))))</f>
        <v>Tramo 4</v>
      </c>
      <c r="J65" s="22" t="s">
        <v>140</v>
      </c>
      <c r="K65" s="22"/>
      <c r="L65" s="22" t="s">
        <v>402</v>
      </c>
      <c r="M65" s="26" t="s">
        <v>403</v>
      </c>
      <c r="N65" s="22"/>
      <c r="O65" s="22" t="s">
        <v>63</v>
      </c>
      <c r="P65" s="25" t="str">
        <f aca="false">IF(OR(O65="",O65="Sin información"),"",IFERROR(INDEX(Listas!$B$2:$B$9,MATCH(O65,Listas!$A$2:$A$9,0)),""))</f>
        <v/>
      </c>
      <c r="Q65" s="25" t="str">
        <f aca="false">IF(OR(O65="",O65="Sin información"),"",IFERROR(INDEX(Listas!$C$2:$C$9,MATCH(O65,Listas!$A$2:$A$9,0)),""))</f>
        <v/>
      </c>
      <c r="R65" s="22"/>
      <c r="S65" s="22"/>
      <c r="T65" s="25" t="str">
        <f aca="false">IF(S65="","",IFERROR(INDEX(Empleadores!$B$2:$B$601,MATCH(S65,Empleadores!$A$2:$A$601,0)),"No encontrado"))</f>
        <v/>
      </c>
      <c r="U65" s="25" t="str">
        <f aca="false">IF(C65="","",IF(V65="","No",IF(Config!$C$4-V65&lt;=Config!$C$15,"Sí","No")))</f>
        <v>No</v>
      </c>
      <c r="V65" s="23"/>
      <c r="W65" s="22"/>
      <c r="X65" s="22"/>
      <c r="Y65" s="22"/>
      <c r="Z65" s="27"/>
      <c r="AA65" s="22"/>
      <c r="AB65" s="22"/>
    </row>
    <row r="66" customFormat="false" ht="15" hidden="false" customHeight="false" outlineLevel="0" collapsed="false">
      <c r="A66" s="22" t="n">
        <v>65</v>
      </c>
      <c r="B66" s="22" t="s">
        <v>404</v>
      </c>
      <c r="C66" s="22" t="s">
        <v>405</v>
      </c>
      <c r="D66" s="22" t="s">
        <v>138</v>
      </c>
      <c r="E66" s="22" t="s">
        <v>139</v>
      </c>
      <c r="F66" s="22" t="s">
        <v>94</v>
      </c>
      <c r="G66" s="23" t="n">
        <v>43502</v>
      </c>
      <c r="H66" s="24" t="n">
        <f aca="false">IF(G66="","",ROUND((Config!$C$4-G66)/365.25,2))</f>
        <v>7.65</v>
      </c>
      <c r="I66" s="25" t="str">
        <f aca="false">IF(H66="","",IF(H66&lt;=1,"Tramo 1",IF(H66&lt;=3,"Tramo 2",IF(H66&lt;=5,"Tramo 3","Tramo 4"))))</f>
        <v>Tramo 4</v>
      </c>
      <c r="J66" s="22" t="s">
        <v>140</v>
      </c>
      <c r="K66" s="22"/>
      <c r="L66" s="22" t="s">
        <v>406</v>
      </c>
      <c r="M66" s="26" t="s">
        <v>407</v>
      </c>
      <c r="N66" s="22"/>
      <c r="O66" s="22" t="s">
        <v>63</v>
      </c>
      <c r="P66" s="25" t="str">
        <f aca="false">IF(OR(O66="",O66="Sin información"),"",IFERROR(INDEX(Listas!$B$2:$B$9,MATCH(O66,Listas!$A$2:$A$9,0)),""))</f>
        <v/>
      </c>
      <c r="Q66" s="25" t="str">
        <f aca="false">IF(OR(O66="",O66="Sin información"),"",IFERROR(INDEX(Listas!$C$2:$C$9,MATCH(O66,Listas!$A$2:$A$9,0)),""))</f>
        <v/>
      </c>
      <c r="R66" s="22"/>
      <c r="S66" s="22"/>
      <c r="T66" s="25" t="str">
        <f aca="false">IF(S66="","",IFERROR(INDEX(Empleadores!$B$2:$B$601,MATCH(S66,Empleadores!$A$2:$A$601,0)),"No encontrado"))</f>
        <v/>
      </c>
      <c r="U66" s="25" t="str">
        <f aca="false">IF(C66="","",IF(V66="","No",IF(Config!$C$4-V66&lt;=Config!$C$15,"Sí","No")))</f>
        <v>No</v>
      </c>
      <c r="V66" s="23"/>
      <c r="W66" s="22"/>
      <c r="X66" s="22"/>
      <c r="Y66" s="22"/>
      <c r="Z66" s="27"/>
      <c r="AA66" s="22"/>
      <c r="AB66" s="22"/>
    </row>
    <row r="67" customFormat="false" ht="15" hidden="false" customHeight="false" outlineLevel="0" collapsed="false">
      <c r="A67" s="22" t="n">
        <v>66</v>
      </c>
      <c r="B67" s="22" t="s">
        <v>408</v>
      </c>
      <c r="C67" s="22" t="s">
        <v>409</v>
      </c>
      <c r="D67" s="22" t="s">
        <v>149</v>
      </c>
      <c r="E67" s="22" t="s">
        <v>139</v>
      </c>
      <c r="F67" s="22" t="s">
        <v>94</v>
      </c>
      <c r="G67" s="23" t="n">
        <v>43502</v>
      </c>
      <c r="H67" s="24" t="n">
        <f aca="false">IF(G67="","",ROUND((Config!$C$4-G67)/365.25,2))</f>
        <v>7.65</v>
      </c>
      <c r="I67" s="25" t="str">
        <f aca="false">IF(H67="","",IF(H67&lt;=1,"Tramo 1",IF(H67&lt;=3,"Tramo 2",IF(H67&lt;=5,"Tramo 3","Tramo 4"))))</f>
        <v>Tramo 4</v>
      </c>
      <c r="J67" s="22" t="s">
        <v>140</v>
      </c>
      <c r="K67" s="22"/>
      <c r="L67" s="22" t="s">
        <v>410</v>
      </c>
      <c r="M67" s="26" t="s">
        <v>411</v>
      </c>
      <c r="N67" s="22"/>
      <c r="O67" s="22" t="s">
        <v>63</v>
      </c>
      <c r="P67" s="25" t="str">
        <f aca="false">IF(OR(O67="",O67="Sin información"),"",IFERROR(INDEX(Listas!$B$2:$B$9,MATCH(O67,Listas!$A$2:$A$9,0)),""))</f>
        <v/>
      </c>
      <c r="Q67" s="25" t="str">
        <f aca="false">IF(OR(O67="",O67="Sin información"),"",IFERROR(INDEX(Listas!$C$2:$C$9,MATCH(O67,Listas!$A$2:$A$9,0)),""))</f>
        <v/>
      </c>
      <c r="R67" s="22"/>
      <c r="S67" s="22"/>
      <c r="T67" s="25" t="str">
        <f aca="false">IF(S67="","",IFERROR(INDEX(Empleadores!$B$2:$B$601,MATCH(S67,Empleadores!$A$2:$A$601,0)),"No encontrado"))</f>
        <v/>
      </c>
      <c r="U67" s="25" t="str">
        <f aca="false">IF(C67="","",IF(V67="","No",IF(Config!$C$4-V67&lt;=Config!$C$15,"Sí","No")))</f>
        <v>No</v>
      </c>
      <c r="V67" s="23"/>
      <c r="W67" s="22"/>
      <c r="X67" s="22"/>
      <c r="Y67" s="22"/>
      <c r="Z67" s="27"/>
      <c r="AA67" s="22"/>
      <c r="AB67" s="22"/>
    </row>
    <row r="68" customFormat="false" ht="15" hidden="false" customHeight="false" outlineLevel="0" collapsed="false">
      <c r="A68" s="22" t="n">
        <v>67</v>
      </c>
      <c r="B68" s="22" t="s">
        <v>412</v>
      </c>
      <c r="C68" s="22" t="s">
        <v>413</v>
      </c>
      <c r="D68" s="22" t="s">
        <v>138</v>
      </c>
      <c r="E68" s="22" t="s">
        <v>139</v>
      </c>
      <c r="F68" s="22" t="s">
        <v>94</v>
      </c>
      <c r="G68" s="23" t="n">
        <v>43502</v>
      </c>
      <c r="H68" s="24" t="n">
        <f aca="false">IF(G68="","",ROUND((Config!$C$4-G68)/365.25,2))</f>
        <v>7.65</v>
      </c>
      <c r="I68" s="25" t="str">
        <f aca="false">IF(H68="","",IF(H68&lt;=1,"Tramo 1",IF(H68&lt;=3,"Tramo 2",IF(H68&lt;=5,"Tramo 3","Tramo 4"))))</f>
        <v>Tramo 4</v>
      </c>
      <c r="J68" s="22" t="s">
        <v>140</v>
      </c>
      <c r="K68" s="22"/>
      <c r="L68" s="22" t="s">
        <v>414</v>
      </c>
      <c r="M68" s="26" t="s">
        <v>415</v>
      </c>
      <c r="N68" s="22"/>
      <c r="O68" s="22" t="s">
        <v>85</v>
      </c>
      <c r="P68" s="25" t="str">
        <f aca="false">IF(OR(O68="",O68="Sin información"),"",IFERROR(INDEX(Listas!$B$2:$B$9,MATCH(O68,Listas!$A$2:$A$9,0)),""))</f>
        <v>Sí</v>
      </c>
      <c r="Q68" s="25" t="str">
        <f aca="false">IF(OR(O68="",O68="Sin información"),"",IFERROR(INDEX(Listas!$C$2:$C$9,MATCH(O68,Listas!$A$2:$A$9,0)),""))</f>
        <v>Sí</v>
      </c>
      <c r="R68" s="22"/>
      <c r="S68" s="22" t="s">
        <v>318</v>
      </c>
      <c r="T68" s="25" t="str">
        <f aca="false">IF(S68="","",IFERROR(INDEX(Empleadores!$B$2:$B$601,MATCH(S68,Empleadores!$A$2:$A$601,0)),"No encontrado"))</f>
        <v>Hospital Antonio Lorena</v>
      </c>
      <c r="U68" s="25" t="str">
        <f aca="false">IF(C68="","",IF(V68="","No",IF(Config!$C$4-V68&lt;=Config!$C$15,"Sí","No")))</f>
        <v>Sí</v>
      </c>
      <c r="V68" s="23" t="n">
        <v>45973</v>
      </c>
      <c r="W68" s="22"/>
      <c r="X68" s="22"/>
      <c r="Y68" s="22" t="s">
        <v>181</v>
      </c>
      <c r="Z68" s="27"/>
      <c r="AA68" s="22"/>
      <c r="AB68" s="22" t="s">
        <v>183</v>
      </c>
    </row>
    <row r="69" customFormat="false" ht="15" hidden="false" customHeight="false" outlineLevel="0" collapsed="false">
      <c r="A69" s="22" t="n">
        <v>68</v>
      </c>
      <c r="B69" s="22" t="s">
        <v>416</v>
      </c>
      <c r="C69" s="22" t="s">
        <v>417</v>
      </c>
      <c r="D69" s="22" t="s">
        <v>149</v>
      </c>
      <c r="E69" s="22" t="s">
        <v>139</v>
      </c>
      <c r="F69" s="22" t="s">
        <v>94</v>
      </c>
      <c r="G69" s="23" t="n">
        <v>43502</v>
      </c>
      <c r="H69" s="24" t="n">
        <f aca="false">IF(G69="","",ROUND((Config!$C$4-G69)/365.25,2))</f>
        <v>7.65</v>
      </c>
      <c r="I69" s="25" t="str">
        <f aca="false">IF(H69="","",IF(H69&lt;=1,"Tramo 1",IF(H69&lt;=3,"Tramo 2",IF(H69&lt;=5,"Tramo 3","Tramo 4"))))</f>
        <v>Tramo 4</v>
      </c>
      <c r="J69" s="22" t="s">
        <v>140</v>
      </c>
      <c r="K69" s="22"/>
      <c r="L69" s="22" t="s">
        <v>418</v>
      </c>
      <c r="M69" s="26" t="s">
        <v>419</v>
      </c>
      <c r="N69" s="22"/>
      <c r="O69" s="22" t="s">
        <v>63</v>
      </c>
      <c r="P69" s="25" t="str">
        <f aca="false">IF(OR(O69="",O69="Sin información"),"",IFERROR(INDEX(Listas!$B$2:$B$9,MATCH(O69,Listas!$A$2:$A$9,0)),""))</f>
        <v/>
      </c>
      <c r="Q69" s="25" t="str">
        <f aca="false">IF(OR(O69="",O69="Sin información"),"",IFERROR(INDEX(Listas!$C$2:$C$9,MATCH(O69,Listas!$A$2:$A$9,0)),""))</f>
        <v/>
      </c>
      <c r="R69" s="22"/>
      <c r="S69" s="22"/>
      <c r="T69" s="25" t="str">
        <f aca="false">IF(S69="","",IFERROR(INDEX(Empleadores!$B$2:$B$601,MATCH(S69,Empleadores!$A$2:$A$601,0)),"No encontrado"))</f>
        <v/>
      </c>
      <c r="U69" s="25" t="str">
        <f aca="false">IF(C69="","",IF(V69="","No",IF(Config!$C$4-V69&lt;=Config!$C$15,"Sí","No")))</f>
        <v>No</v>
      </c>
      <c r="V69" s="23"/>
      <c r="W69" s="22"/>
      <c r="X69" s="22"/>
      <c r="Y69" s="22"/>
      <c r="Z69" s="27"/>
      <c r="AA69" s="22"/>
      <c r="AB69" s="22"/>
    </row>
    <row r="70" customFormat="false" ht="15" hidden="false" customHeight="false" outlineLevel="0" collapsed="false">
      <c r="A70" s="22" t="n">
        <v>69</v>
      </c>
      <c r="B70" s="22" t="s">
        <v>420</v>
      </c>
      <c r="C70" s="22" t="s">
        <v>421</v>
      </c>
      <c r="D70" s="22" t="s">
        <v>138</v>
      </c>
      <c r="E70" s="22" t="s">
        <v>139</v>
      </c>
      <c r="F70" s="22" t="s">
        <v>94</v>
      </c>
      <c r="G70" s="23" t="n">
        <v>43502</v>
      </c>
      <c r="H70" s="24" t="n">
        <f aca="false">IF(G70="","",ROUND((Config!$C$4-G70)/365.25,2))</f>
        <v>7.65</v>
      </c>
      <c r="I70" s="25" t="str">
        <f aca="false">IF(H70="","",IF(H70&lt;=1,"Tramo 1",IF(H70&lt;=3,"Tramo 2",IF(H70&lt;=5,"Tramo 3","Tramo 4"))))</f>
        <v>Tramo 4</v>
      </c>
      <c r="J70" s="22" t="s">
        <v>140</v>
      </c>
      <c r="K70" s="22"/>
      <c r="L70" s="22" t="s">
        <v>422</v>
      </c>
      <c r="M70" s="26" t="s">
        <v>423</v>
      </c>
      <c r="N70" s="22"/>
      <c r="O70" s="22" t="s">
        <v>85</v>
      </c>
      <c r="P70" s="25" t="str">
        <f aca="false">IF(OR(O70="",O70="Sin información"),"",IFERROR(INDEX(Listas!$B$2:$B$9,MATCH(O70,Listas!$A$2:$A$9,0)),""))</f>
        <v>Sí</v>
      </c>
      <c r="Q70" s="25" t="str">
        <f aca="false">IF(OR(O70="",O70="Sin información"),"",IFERROR(INDEX(Listas!$C$2:$C$9,MATCH(O70,Listas!$A$2:$A$9,0)),""))</f>
        <v>Sí</v>
      </c>
      <c r="R70" s="22"/>
      <c r="S70" s="22" t="s">
        <v>424</v>
      </c>
      <c r="T70" s="25" t="str">
        <f aca="false">IF(S70="","",IFERROR(INDEX(Empleadores!$B$2:$B$601,MATCH(S70,Empleadores!$A$2:$A$601,0)),"No encontrado"))</f>
        <v>Instituto Nacional de Enfermedades Neoplásicas</v>
      </c>
      <c r="U70" s="25" t="str">
        <f aca="false">IF(C70="","",IF(V70="","No",IF(Config!$C$4-V70&lt;=Config!$C$15,"Sí","No")))</f>
        <v>Sí</v>
      </c>
      <c r="V70" s="23" t="n">
        <v>45974</v>
      </c>
      <c r="W70" s="22"/>
      <c r="X70" s="22"/>
      <c r="Y70" s="22" t="s">
        <v>181</v>
      </c>
      <c r="Z70" s="27"/>
      <c r="AA70" s="22"/>
      <c r="AB70" s="22" t="s">
        <v>183</v>
      </c>
    </row>
    <row r="71" customFormat="false" ht="15" hidden="false" customHeight="false" outlineLevel="0" collapsed="false">
      <c r="A71" s="22" t="n">
        <v>70</v>
      </c>
      <c r="B71" s="22" t="s">
        <v>425</v>
      </c>
      <c r="C71" s="22" t="s">
        <v>426</v>
      </c>
      <c r="D71" s="22" t="s">
        <v>138</v>
      </c>
      <c r="E71" s="22" t="s">
        <v>139</v>
      </c>
      <c r="F71" s="22" t="s">
        <v>94</v>
      </c>
      <c r="G71" s="23" t="n">
        <v>43502</v>
      </c>
      <c r="H71" s="24" t="n">
        <f aca="false">IF(G71="","",ROUND((Config!$C$4-G71)/365.25,2))</f>
        <v>7.65</v>
      </c>
      <c r="I71" s="25" t="str">
        <f aca="false">IF(H71="","",IF(H71&lt;=1,"Tramo 1",IF(H71&lt;=3,"Tramo 2",IF(H71&lt;=5,"Tramo 3","Tramo 4"))))</f>
        <v>Tramo 4</v>
      </c>
      <c r="J71" s="22" t="s">
        <v>140</v>
      </c>
      <c r="K71" s="22"/>
      <c r="L71" s="22" t="s">
        <v>427</v>
      </c>
      <c r="M71" s="26" t="s">
        <v>428</v>
      </c>
      <c r="N71" s="22"/>
      <c r="O71" s="22" t="s">
        <v>63</v>
      </c>
      <c r="P71" s="25" t="str">
        <f aca="false">IF(OR(O71="",O71="Sin información"),"",IFERROR(INDEX(Listas!$B$2:$B$9,MATCH(O71,Listas!$A$2:$A$9,0)),""))</f>
        <v/>
      </c>
      <c r="Q71" s="25" t="str">
        <f aca="false">IF(OR(O71="",O71="Sin información"),"",IFERROR(INDEX(Listas!$C$2:$C$9,MATCH(O71,Listas!$A$2:$A$9,0)),""))</f>
        <v/>
      </c>
      <c r="R71" s="22"/>
      <c r="S71" s="22"/>
      <c r="T71" s="25" t="str">
        <f aca="false">IF(S71="","",IFERROR(INDEX(Empleadores!$B$2:$B$601,MATCH(S71,Empleadores!$A$2:$A$601,0)),"No encontrado"))</f>
        <v/>
      </c>
      <c r="U71" s="25" t="str">
        <f aca="false">IF(C71="","",IF(V71="","No",IF(Config!$C$4-V71&lt;=Config!$C$15,"Sí","No")))</f>
        <v>No</v>
      </c>
      <c r="V71" s="23"/>
      <c r="W71" s="22"/>
      <c r="X71" s="22"/>
      <c r="Y71" s="22"/>
      <c r="Z71" s="27"/>
      <c r="AA71" s="22"/>
      <c r="AB71" s="22"/>
    </row>
    <row r="72" customFormat="false" ht="15" hidden="false" customHeight="false" outlineLevel="0" collapsed="false">
      <c r="A72" s="22" t="n">
        <v>71</v>
      </c>
      <c r="B72" s="22" t="s">
        <v>429</v>
      </c>
      <c r="C72" s="22" t="s">
        <v>430</v>
      </c>
      <c r="D72" s="22" t="s">
        <v>138</v>
      </c>
      <c r="E72" s="22" t="s">
        <v>139</v>
      </c>
      <c r="F72" s="22" t="s">
        <v>94</v>
      </c>
      <c r="G72" s="23" t="n">
        <v>43502</v>
      </c>
      <c r="H72" s="24" t="n">
        <f aca="false">IF(G72="","",ROUND((Config!$C$4-G72)/365.25,2))</f>
        <v>7.65</v>
      </c>
      <c r="I72" s="25" t="str">
        <f aca="false">IF(H72="","",IF(H72&lt;=1,"Tramo 1",IF(H72&lt;=3,"Tramo 2",IF(H72&lt;=5,"Tramo 3","Tramo 4"))))</f>
        <v>Tramo 4</v>
      </c>
      <c r="J72" s="22" t="s">
        <v>140</v>
      </c>
      <c r="K72" s="22"/>
      <c r="L72" s="22" t="s">
        <v>431</v>
      </c>
      <c r="M72" s="26" t="s">
        <v>432</v>
      </c>
      <c r="N72" s="22"/>
      <c r="O72" s="22" t="s">
        <v>63</v>
      </c>
      <c r="P72" s="25" t="str">
        <f aca="false">IF(OR(O72="",O72="Sin información"),"",IFERROR(INDEX(Listas!$B$2:$B$9,MATCH(O72,Listas!$A$2:$A$9,0)),""))</f>
        <v/>
      </c>
      <c r="Q72" s="25" t="str">
        <f aca="false">IF(OR(O72="",O72="Sin información"),"",IFERROR(INDEX(Listas!$C$2:$C$9,MATCH(O72,Listas!$A$2:$A$9,0)),""))</f>
        <v/>
      </c>
      <c r="R72" s="22"/>
      <c r="S72" s="22"/>
      <c r="T72" s="25" t="str">
        <f aca="false">IF(S72="","",IFERROR(INDEX(Empleadores!$B$2:$B$601,MATCH(S72,Empleadores!$A$2:$A$601,0)),"No encontrado"))</f>
        <v/>
      </c>
      <c r="U72" s="25" t="str">
        <f aca="false">IF(C72="","",IF(V72="","No",IF(Config!$C$4-V72&lt;=Config!$C$15,"Sí","No")))</f>
        <v>No</v>
      </c>
      <c r="V72" s="23"/>
      <c r="W72" s="22"/>
      <c r="X72" s="22"/>
      <c r="Y72" s="22"/>
      <c r="Z72" s="27"/>
      <c r="AA72" s="22"/>
      <c r="AB72" s="22"/>
    </row>
    <row r="73" customFormat="false" ht="15" hidden="false" customHeight="false" outlineLevel="0" collapsed="false">
      <c r="A73" s="22" t="n">
        <v>72</v>
      </c>
      <c r="B73" s="22" t="s">
        <v>433</v>
      </c>
      <c r="C73" s="22" t="s">
        <v>434</v>
      </c>
      <c r="D73" s="22" t="s">
        <v>149</v>
      </c>
      <c r="E73" s="22" t="s">
        <v>139</v>
      </c>
      <c r="F73" s="22" t="s">
        <v>94</v>
      </c>
      <c r="G73" s="23" t="n">
        <v>43502</v>
      </c>
      <c r="H73" s="24" t="n">
        <f aca="false">IF(G73="","",ROUND((Config!$C$4-G73)/365.25,2))</f>
        <v>7.65</v>
      </c>
      <c r="I73" s="25" t="str">
        <f aca="false">IF(H73="","",IF(H73&lt;=1,"Tramo 1",IF(H73&lt;=3,"Tramo 2",IF(H73&lt;=5,"Tramo 3","Tramo 4"))))</f>
        <v>Tramo 4</v>
      </c>
      <c r="J73" s="22" t="s">
        <v>140</v>
      </c>
      <c r="K73" s="22"/>
      <c r="L73" s="22" t="s">
        <v>435</v>
      </c>
      <c r="M73" s="26" t="s">
        <v>436</v>
      </c>
      <c r="N73" s="22"/>
      <c r="O73" s="22" t="s">
        <v>63</v>
      </c>
      <c r="P73" s="25" t="str">
        <f aca="false">IF(OR(O73="",O73="Sin información"),"",IFERROR(INDEX(Listas!$B$2:$B$9,MATCH(O73,Listas!$A$2:$A$9,0)),""))</f>
        <v/>
      </c>
      <c r="Q73" s="25" t="str">
        <f aca="false">IF(OR(O73="",O73="Sin información"),"",IFERROR(INDEX(Listas!$C$2:$C$9,MATCH(O73,Listas!$A$2:$A$9,0)),""))</f>
        <v/>
      </c>
      <c r="R73" s="22"/>
      <c r="S73" s="22"/>
      <c r="T73" s="25" t="str">
        <f aca="false">IF(S73="","",IFERROR(INDEX(Empleadores!$B$2:$B$601,MATCH(S73,Empleadores!$A$2:$A$601,0)),"No encontrado"))</f>
        <v/>
      </c>
      <c r="U73" s="25" t="str">
        <f aca="false">IF(C73="","",IF(V73="","No",IF(Config!$C$4-V73&lt;=Config!$C$15,"Sí","No")))</f>
        <v>No</v>
      </c>
      <c r="V73" s="23"/>
      <c r="W73" s="22"/>
      <c r="X73" s="22"/>
      <c r="Y73" s="22"/>
      <c r="Z73" s="27"/>
      <c r="AA73" s="22"/>
      <c r="AB73" s="22"/>
    </row>
    <row r="74" customFormat="false" ht="15" hidden="false" customHeight="false" outlineLevel="0" collapsed="false">
      <c r="A74" s="22" t="n">
        <v>73</v>
      </c>
      <c r="B74" s="22" t="s">
        <v>437</v>
      </c>
      <c r="C74" s="22" t="s">
        <v>438</v>
      </c>
      <c r="D74" s="22" t="s">
        <v>138</v>
      </c>
      <c r="E74" s="22" t="s">
        <v>139</v>
      </c>
      <c r="F74" s="22" t="s">
        <v>94</v>
      </c>
      <c r="G74" s="23" t="n">
        <v>43502</v>
      </c>
      <c r="H74" s="24" t="n">
        <f aca="false">IF(G74="","",ROUND((Config!$C$4-G74)/365.25,2))</f>
        <v>7.65</v>
      </c>
      <c r="I74" s="25" t="str">
        <f aca="false">IF(H74="","",IF(H74&lt;=1,"Tramo 1",IF(H74&lt;=3,"Tramo 2",IF(H74&lt;=5,"Tramo 3","Tramo 4"))))</f>
        <v>Tramo 4</v>
      </c>
      <c r="J74" s="22" t="s">
        <v>140</v>
      </c>
      <c r="K74" s="22"/>
      <c r="L74" s="22" t="s">
        <v>439</v>
      </c>
      <c r="M74" s="26" t="s">
        <v>440</v>
      </c>
      <c r="N74" s="22"/>
      <c r="O74" s="22" t="s">
        <v>63</v>
      </c>
      <c r="P74" s="25" t="str">
        <f aca="false">IF(OR(O74="",O74="Sin información"),"",IFERROR(INDEX(Listas!$B$2:$B$9,MATCH(O74,Listas!$A$2:$A$9,0)),""))</f>
        <v/>
      </c>
      <c r="Q74" s="25" t="str">
        <f aca="false">IF(OR(O74="",O74="Sin información"),"",IFERROR(INDEX(Listas!$C$2:$C$9,MATCH(O74,Listas!$A$2:$A$9,0)),""))</f>
        <v/>
      </c>
      <c r="R74" s="22"/>
      <c r="S74" s="22"/>
      <c r="T74" s="25" t="str">
        <f aca="false">IF(S74="","",IFERROR(INDEX(Empleadores!$B$2:$B$601,MATCH(S74,Empleadores!$A$2:$A$601,0)),"No encontrado"))</f>
        <v/>
      </c>
      <c r="U74" s="25" t="str">
        <f aca="false">IF(C74="","",IF(V74="","No",IF(Config!$C$4-V74&lt;=Config!$C$15,"Sí","No")))</f>
        <v>No</v>
      </c>
      <c r="V74" s="23"/>
      <c r="W74" s="22"/>
      <c r="X74" s="22"/>
      <c r="Y74" s="22"/>
      <c r="Z74" s="27"/>
      <c r="AA74" s="22"/>
      <c r="AB74" s="22"/>
    </row>
    <row r="75" customFormat="false" ht="15" hidden="false" customHeight="false" outlineLevel="0" collapsed="false">
      <c r="A75" s="22" t="n">
        <v>74</v>
      </c>
      <c r="B75" s="22" t="s">
        <v>441</v>
      </c>
      <c r="C75" s="22" t="s">
        <v>442</v>
      </c>
      <c r="D75" s="22" t="s">
        <v>138</v>
      </c>
      <c r="E75" s="22" t="s">
        <v>139</v>
      </c>
      <c r="F75" s="22" t="s">
        <v>94</v>
      </c>
      <c r="G75" s="23" t="n">
        <v>43502</v>
      </c>
      <c r="H75" s="24" t="n">
        <f aca="false">IF(G75="","",ROUND((Config!$C$4-G75)/365.25,2))</f>
        <v>7.65</v>
      </c>
      <c r="I75" s="25" t="str">
        <f aca="false">IF(H75="","",IF(H75&lt;=1,"Tramo 1",IF(H75&lt;=3,"Tramo 2",IF(H75&lt;=5,"Tramo 3","Tramo 4"))))</f>
        <v>Tramo 4</v>
      </c>
      <c r="J75" s="22" t="s">
        <v>140</v>
      </c>
      <c r="K75" s="22"/>
      <c r="L75" s="22" t="s">
        <v>443</v>
      </c>
      <c r="M75" s="26" t="s">
        <v>444</v>
      </c>
      <c r="N75" s="22"/>
      <c r="O75" s="22" t="s">
        <v>63</v>
      </c>
      <c r="P75" s="25" t="str">
        <f aca="false">IF(OR(O75="",O75="Sin información"),"",IFERROR(INDEX(Listas!$B$2:$B$9,MATCH(O75,Listas!$A$2:$A$9,0)),""))</f>
        <v/>
      </c>
      <c r="Q75" s="25" t="str">
        <f aca="false">IF(OR(O75="",O75="Sin información"),"",IFERROR(INDEX(Listas!$C$2:$C$9,MATCH(O75,Listas!$A$2:$A$9,0)),""))</f>
        <v/>
      </c>
      <c r="R75" s="22"/>
      <c r="S75" s="22"/>
      <c r="T75" s="25" t="str">
        <f aca="false">IF(S75="","",IFERROR(INDEX(Empleadores!$B$2:$B$601,MATCH(S75,Empleadores!$A$2:$A$601,0)),"No encontrado"))</f>
        <v/>
      </c>
      <c r="U75" s="25" t="str">
        <f aca="false">IF(C75="","",IF(V75="","No",IF(Config!$C$4-V75&lt;=Config!$C$15,"Sí","No")))</f>
        <v>No</v>
      </c>
      <c r="V75" s="23"/>
      <c r="W75" s="22"/>
      <c r="X75" s="22"/>
      <c r="Y75" s="22"/>
      <c r="Z75" s="27"/>
      <c r="AA75" s="22"/>
      <c r="AB75" s="22"/>
    </row>
    <row r="76" customFormat="false" ht="15" hidden="false" customHeight="false" outlineLevel="0" collapsed="false">
      <c r="A76" s="22" t="n">
        <v>75</v>
      </c>
      <c r="B76" s="22" t="s">
        <v>445</v>
      </c>
      <c r="C76" s="22" t="s">
        <v>446</v>
      </c>
      <c r="D76" s="22" t="s">
        <v>138</v>
      </c>
      <c r="E76" s="22" t="s">
        <v>139</v>
      </c>
      <c r="F76" s="22" t="s">
        <v>94</v>
      </c>
      <c r="G76" s="23" t="n">
        <v>43502</v>
      </c>
      <c r="H76" s="24" t="n">
        <f aca="false">IF(G76="","",ROUND((Config!$C$4-G76)/365.25,2))</f>
        <v>7.65</v>
      </c>
      <c r="I76" s="25" t="str">
        <f aca="false">IF(H76="","",IF(H76&lt;=1,"Tramo 1",IF(H76&lt;=3,"Tramo 2",IF(H76&lt;=5,"Tramo 3","Tramo 4"))))</f>
        <v>Tramo 4</v>
      </c>
      <c r="J76" s="22" t="s">
        <v>140</v>
      </c>
      <c r="K76" s="22"/>
      <c r="L76" s="22" t="s">
        <v>447</v>
      </c>
      <c r="M76" s="26" t="s">
        <v>448</v>
      </c>
      <c r="N76" s="22"/>
      <c r="O76" s="22" t="s">
        <v>63</v>
      </c>
      <c r="P76" s="25" t="str">
        <f aca="false">IF(OR(O76="",O76="Sin información"),"",IFERROR(INDEX(Listas!$B$2:$B$9,MATCH(O76,Listas!$A$2:$A$9,0)),""))</f>
        <v/>
      </c>
      <c r="Q76" s="25" t="str">
        <f aca="false">IF(OR(O76="",O76="Sin información"),"",IFERROR(INDEX(Listas!$C$2:$C$9,MATCH(O76,Listas!$A$2:$A$9,0)),""))</f>
        <v/>
      </c>
      <c r="R76" s="22"/>
      <c r="S76" s="22"/>
      <c r="T76" s="25" t="str">
        <f aca="false">IF(S76="","",IFERROR(INDEX(Empleadores!$B$2:$B$601,MATCH(S76,Empleadores!$A$2:$A$601,0)),"No encontrado"))</f>
        <v/>
      </c>
      <c r="U76" s="25" t="str">
        <f aca="false">IF(C76="","",IF(V76="","No",IF(Config!$C$4-V76&lt;=Config!$C$15,"Sí","No")))</f>
        <v>No</v>
      </c>
      <c r="V76" s="23"/>
      <c r="W76" s="22"/>
      <c r="X76" s="22"/>
      <c r="Y76" s="22"/>
      <c r="Z76" s="27"/>
      <c r="AA76" s="22"/>
      <c r="AB76" s="22"/>
    </row>
    <row r="77" customFormat="false" ht="15" hidden="false" customHeight="false" outlineLevel="0" collapsed="false">
      <c r="A77" s="22" t="n">
        <v>76</v>
      </c>
      <c r="B77" s="22" t="s">
        <v>449</v>
      </c>
      <c r="C77" s="22" t="s">
        <v>450</v>
      </c>
      <c r="D77" s="22" t="s">
        <v>138</v>
      </c>
      <c r="E77" s="22" t="s">
        <v>139</v>
      </c>
      <c r="F77" s="22" t="s">
        <v>94</v>
      </c>
      <c r="G77" s="23" t="n">
        <v>43502</v>
      </c>
      <c r="H77" s="24" t="n">
        <f aca="false">IF(G77="","",ROUND((Config!$C$4-G77)/365.25,2))</f>
        <v>7.65</v>
      </c>
      <c r="I77" s="25" t="str">
        <f aca="false">IF(H77="","",IF(H77&lt;=1,"Tramo 1",IF(H77&lt;=3,"Tramo 2",IF(H77&lt;=5,"Tramo 3","Tramo 4"))))</f>
        <v>Tramo 4</v>
      </c>
      <c r="J77" s="22" t="s">
        <v>140</v>
      </c>
      <c r="K77" s="22"/>
      <c r="L77" s="22" t="s">
        <v>451</v>
      </c>
      <c r="M77" s="26" t="s">
        <v>452</v>
      </c>
      <c r="N77" s="22"/>
      <c r="O77" s="22" t="s">
        <v>63</v>
      </c>
      <c r="P77" s="25" t="str">
        <f aca="false">IF(OR(O77="",O77="Sin información"),"",IFERROR(INDEX(Listas!$B$2:$B$9,MATCH(O77,Listas!$A$2:$A$9,0)),""))</f>
        <v/>
      </c>
      <c r="Q77" s="25" t="str">
        <f aca="false">IF(OR(O77="",O77="Sin información"),"",IFERROR(INDEX(Listas!$C$2:$C$9,MATCH(O77,Listas!$A$2:$A$9,0)),""))</f>
        <v/>
      </c>
      <c r="R77" s="22"/>
      <c r="S77" s="22"/>
      <c r="T77" s="25" t="str">
        <f aca="false">IF(S77="","",IFERROR(INDEX(Empleadores!$B$2:$B$601,MATCH(S77,Empleadores!$A$2:$A$601,0)),"No encontrado"))</f>
        <v/>
      </c>
      <c r="U77" s="25" t="str">
        <f aca="false">IF(C77="","",IF(V77="","No",IF(Config!$C$4-V77&lt;=Config!$C$15,"Sí","No")))</f>
        <v>No</v>
      </c>
      <c r="V77" s="23"/>
      <c r="W77" s="22"/>
      <c r="X77" s="22"/>
      <c r="Y77" s="22"/>
      <c r="Z77" s="27"/>
      <c r="AA77" s="22"/>
      <c r="AB77" s="22"/>
    </row>
    <row r="78" customFormat="false" ht="15" hidden="false" customHeight="false" outlineLevel="0" collapsed="false">
      <c r="A78" s="22" t="n">
        <v>77</v>
      </c>
      <c r="B78" s="22" t="s">
        <v>453</v>
      </c>
      <c r="C78" s="22" t="s">
        <v>454</v>
      </c>
      <c r="D78" s="22" t="s">
        <v>149</v>
      </c>
      <c r="E78" s="22" t="s">
        <v>139</v>
      </c>
      <c r="F78" s="22" t="s">
        <v>94</v>
      </c>
      <c r="G78" s="23" t="n">
        <v>43502</v>
      </c>
      <c r="H78" s="24" t="n">
        <f aca="false">IF(G78="","",ROUND((Config!$C$4-G78)/365.25,2))</f>
        <v>7.65</v>
      </c>
      <c r="I78" s="25" t="str">
        <f aca="false">IF(H78="","",IF(H78&lt;=1,"Tramo 1",IF(H78&lt;=3,"Tramo 2",IF(H78&lt;=5,"Tramo 3","Tramo 4"))))</f>
        <v>Tramo 4</v>
      </c>
      <c r="J78" s="22" t="s">
        <v>140</v>
      </c>
      <c r="K78" s="22"/>
      <c r="L78" s="22" t="s">
        <v>455</v>
      </c>
      <c r="M78" s="26" t="s">
        <v>456</v>
      </c>
      <c r="N78" s="22"/>
      <c r="O78" s="22" t="s">
        <v>63</v>
      </c>
      <c r="P78" s="25" t="str">
        <f aca="false">IF(OR(O78="",O78="Sin información"),"",IFERROR(INDEX(Listas!$B$2:$B$9,MATCH(O78,Listas!$A$2:$A$9,0)),""))</f>
        <v/>
      </c>
      <c r="Q78" s="25" t="str">
        <f aca="false">IF(OR(O78="",O78="Sin información"),"",IFERROR(INDEX(Listas!$C$2:$C$9,MATCH(O78,Listas!$A$2:$A$9,0)),""))</f>
        <v/>
      </c>
      <c r="R78" s="22"/>
      <c r="S78" s="22"/>
      <c r="T78" s="25" t="str">
        <f aca="false">IF(S78="","",IFERROR(INDEX(Empleadores!$B$2:$B$601,MATCH(S78,Empleadores!$A$2:$A$601,0)),"No encontrado"))</f>
        <v/>
      </c>
      <c r="U78" s="25" t="str">
        <f aca="false">IF(C78="","",IF(V78="","No",IF(Config!$C$4-V78&lt;=Config!$C$15,"Sí","No")))</f>
        <v>No</v>
      </c>
      <c r="V78" s="23"/>
      <c r="W78" s="22"/>
      <c r="X78" s="22"/>
      <c r="Y78" s="22"/>
      <c r="Z78" s="27"/>
      <c r="AA78" s="22"/>
      <c r="AB78" s="22"/>
    </row>
    <row r="79" customFormat="false" ht="15" hidden="false" customHeight="false" outlineLevel="0" collapsed="false">
      <c r="A79" s="22" t="n">
        <v>78</v>
      </c>
      <c r="B79" s="22" t="s">
        <v>457</v>
      </c>
      <c r="C79" s="22" t="s">
        <v>458</v>
      </c>
      <c r="D79" s="22" t="s">
        <v>138</v>
      </c>
      <c r="E79" s="22" t="s">
        <v>139</v>
      </c>
      <c r="F79" s="22" t="s">
        <v>94</v>
      </c>
      <c r="G79" s="23" t="n">
        <v>43502</v>
      </c>
      <c r="H79" s="24" t="n">
        <f aca="false">IF(G79="","",ROUND((Config!$C$4-G79)/365.25,2))</f>
        <v>7.65</v>
      </c>
      <c r="I79" s="25" t="str">
        <f aca="false">IF(H79="","",IF(H79&lt;=1,"Tramo 1",IF(H79&lt;=3,"Tramo 2",IF(H79&lt;=5,"Tramo 3","Tramo 4"))))</f>
        <v>Tramo 4</v>
      </c>
      <c r="J79" s="22" t="s">
        <v>140</v>
      </c>
      <c r="K79" s="22"/>
      <c r="L79" s="22" t="s">
        <v>459</v>
      </c>
      <c r="M79" s="26" t="s">
        <v>460</v>
      </c>
      <c r="N79" s="22"/>
      <c r="O79" s="22" t="s">
        <v>63</v>
      </c>
      <c r="P79" s="25" t="str">
        <f aca="false">IF(OR(O79="",O79="Sin información"),"",IFERROR(INDEX(Listas!$B$2:$B$9,MATCH(O79,Listas!$A$2:$A$9,0)),""))</f>
        <v/>
      </c>
      <c r="Q79" s="25" t="str">
        <f aca="false">IF(OR(O79="",O79="Sin información"),"",IFERROR(INDEX(Listas!$C$2:$C$9,MATCH(O79,Listas!$A$2:$A$9,0)),""))</f>
        <v/>
      </c>
      <c r="R79" s="22"/>
      <c r="S79" s="22"/>
      <c r="T79" s="25" t="str">
        <f aca="false">IF(S79="","",IFERROR(INDEX(Empleadores!$B$2:$B$601,MATCH(S79,Empleadores!$A$2:$A$601,0)),"No encontrado"))</f>
        <v/>
      </c>
      <c r="U79" s="25" t="str">
        <f aca="false">IF(C79="","",IF(V79="","No",IF(Config!$C$4-V79&lt;=Config!$C$15,"Sí","No")))</f>
        <v>No</v>
      </c>
      <c r="V79" s="23"/>
      <c r="W79" s="22"/>
      <c r="X79" s="22"/>
      <c r="Y79" s="22"/>
      <c r="Z79" s="27"/>
      <c r="AA79" s="22"/>
      <c r="AB79" s="22"/>
    </row>
    <row r="80" customFormat="false" ht="15" hidden="false" customHeight="false" outlineLevel="0" collapsed="false">
      <c r="A80" s="22" t="n">
        <v>79</v>
      </c>
      <c r="B80" s="22" t="s">
        <v>461</v>
      </c>
      <c r="C80" s="22" t="s">
        <v>462</v>
      </c>
      <c r="D80" s="22" t="s">
        <v>138</v>
      </c>
      <c r="E80" s="22" t="s">
        <v>139</v>
      </c>
      <c r="F80" s="22" t="s">
        <v>94</v>
      </c>
      <c r="G80" s="23" t="n">
        <v>43502</v>
      </c>
      <c r="H80" s="24" t="n">
        <f aca="false">IF(G80="","",ROUND((Config!$C$4-G80)/365.25,2))</f>
        <v>7.65</v>
      </c>
      <c r="I80" s="25" t="str">
        <f aca="false">IF(H80="","",IF(H80&lt;=1,"Tramo 1",IF(H80&lt;=3,"Tramo 2",IF(H80&lt;=5,"Tramo 3","Tramo 4"))))</f>
        <v>Tramo 4</v>
      </c>
      <c r="J80" s="22" t="s">
        <v>140</v>
      </c>
      <c r="K80" s="22"/>
      <c r="L80" s="22" t="s">
        <v>463</v>
      </c>
      <c r="M80" s="26" t="s">
        <v>464</v>
      </c>
      <c r="N80" s="22"/>
      <c r="O80" s="22" t="s">
        <v>63</v>
      </c>
      <c r="P80" s="25" t="str">
        <f aca="false">IF(OR(O80="",O80="Sin información"),"",IFERROR(INDEX(Listas!$B$2:$B$9,MATCH(O80,Listas!$A$2:$A$9,0)),""))</f>
        <v/>
      </c>
      <c r="Q80" s="25" t="str">
        <f aca="false">IF(OR(O80="",O80="Sin información"),"",IFERROR(INDEX(Listas!$C$2:$C$9,MATCH(O80,Listas!$A$2:$A$9,0)),""))</f>
        <v/>
      </c>
      <c r="R80" s="22"/>
      <c r="S80" s="22"/>
      <c r="T80" s="25" t="str">
        <f aca="false">IF(S80="","",IFERROR(INDEX(Empleadores!$B$2:$B$601,MATCH(S80,Empleadores!$A$2:$A$601,0)),"No encontrado"))</f>
        <v/>
      </c>
      <c r="U80" s="25" t="str">
        <f aca="false">IF(C80="","",IF(V80="","No",IF(Config!$C$4-V80&lt;=Config!$C$15,"Sí","No")))</f>
        <v>No</v>
      </c>
      <c r="V80" s="23"/>
      <c r="W80" s="22"/>
      <c r="X80" s="22"/>
      <c r="Y80" s="22"/>
      <c r="Z80" s="27"/>
      <c r="AA80" s="22"/>
      <c r="AB80" s="22"/>
    </row>
    <row r="81" customFormat="false" ht="15" hidden="false" customHeight="false" outlineLevel="0" collapsed="false">
      <c r="A81" s="22" t="n">
        <v>80</v>
      </c>
      <c r="B81" s="22" t="s">
        <v>465</v>
      </c>
      <c r="C81" s="22" t="s">
        <v>466</v>
      </c>
      <c r="D81" s="22" t="s">
        <v>138</v>
      </c>
      <c r="E81" s="22" t="s">
        <v>139</v>
      </c>
      <c r="F81" s="22" t="s">
        <v>95</v>
      </c>
      <c r="G81" s="23" t="n">
        <v>43593</v>
      </c>
      <c r="H81" s="24" t="n">
        <f aca="false">IF(G81="","",ROUND((Config!$C$4-G81)/365.25,2))</f>
        <v>7.4</v>
      </c>
      <c r="I81" s="25" t="str">
        <f aca="false">IF(H81="","",IF(H81&lt;=1,"Tramo 1",IF(H81&lt;=3,"Tramo 2",IF(H81&lt;=5,"Tramo 3","Tramo 4"))))</f>
        <v>Tramo 4</v>
      </c>
      <c r="J81" s="22" t="s">
        <v>140</v>
      </c>
      <c r="K81" s="22"/>
      <c r="L81" s="22" t="s">
        <v>467</v>
      </c>
      <c r="M81" s="26" t="s">
        <v>468</v>
      </c>
      <c r="N81" s="22"/>
      <c r="O81" s="22" t="s">
        <v>63</v>
      </c>
      <c r="P81" s="25" t="str">
        <f aca="false">IF(OR(O81="",O81="Sin información"),"",IFERROR(INDEX(Listas!$B$2:$B$9,MATCH(O81,Listas!$A$2:$A$9,0)),""))</f>
        <v/>
      </c>
      <c r="Q81" s="25" t="str">
        <f aca="false">IF(OR(O81="",O81="Sin información"),"",IFERROR(INDEX(Listas!$C$2:$C$9,MATCH(O81,Listas!$A$2:$A$9,0)),""))</f>
        <v/>
      </c>
      <c r="R81" s="22"/>
      <c r="S81" s="22"/>
      <c r="T81" s="25" t="str">
        <f aca="false">IF(S81="","",IFERROR(INDEX(Empleadores!$B$2:$B$601,MATCH(S81,Empleadores!$A$2:$A$601,0)),"No encontrado"))</f>
        <v/>
      </c>
      <c r="U81" s="25" t="str">
        <f aca="false">IF(C81="","",IF(V81="","No",IF(Config!$C$4-V81&lt;=Config!$C$15,"Sí","No")))</f>
        <v>No</v>
      </c>
      <c r="V81" s="23"/>
      <c r="W81" s="22"/>
      <c r="X81" s="22"/>
      <c r="Y81" s="22"/>
      <c r="Z81" s="27"/>
      <c r="AA81" s="22"/>
      <c r="AB81" s="22"/>
    </row>
    <row r="82" customFormat="false" ht="15" hidden="false" customHeight="false" outlineLevel="0" collapsed="false">
      <c r="A82" s="22" t="n">
        <v>81</v>
      </c>
      <c r="B82" s="22" t="s">
        <v>469</v>
      </c>
      <c r="C82" s="22" t="s">
        <v>470</v>
      </c>
      <c r="D82" s="22" t="s">
        <v>149</v>
      </c>
      <c r="E82" s="22" t="s">
        <v>139</v>
      </c>
      <c r="F82" s="22" t="s">
        <v>96</v>
      </c>
      <c r="G82" s="23" t="n">
        <v>43861</v>
      </c>
      <c r="H82" s="24" t="n">
        <f aca="false">IF(G82="","",ROUND((Config!$C$4-G82)/365.25,2))</f>
        <v>6.67</v>
      </c>
      <c r="I82" s="25" t="str">
        <f aca="false">IF(H82="","",IF(H82&lt;=1,"Tramo 1",IF(H82&lt;=3,"Tramo 2",IF(H82&lt;=5,"Tramo 3","Tramo 4"))))</f>
        <v>Tramo 4</v>
      </c>
      <c r="J82" s="22" t="s">
        <v>140</v>
      </c>
      <c r="K82" s="22"/>
      <c r="L82" s="22"/>
      <c r="M82" s="26" t="s">
        <v>471</v>
      </c>
      <c r="N82" s="22"/>
      <c r="O82" s="22" t="s">
        <v>63</v>
      </c>
      <c r="P82" s="25" t="str">
        <f aca="false">IF(OR(O82="",O82="Sin información"),"",IFERROR(INDEX(Listas!$B$2:$B$9,MATCH(O82,Listas!$A$2:$A$9,0)),""))</f>
        <v/>
      </c>
      <c r="Q82" s="25" t="str">
        <f aca="false">IF(OR(O82="",O82="Sin información"),"",IFERROR(INDEX(Listas!$C$2:$C$9,MATCH(O82,Listas!$A$2:$A$9,0)),""))</f>
        <v/>
      </c>
      <c r="R82" s="22"/>
      <c r="S82" s="22"/>
      <c r="T82" s="25" t="str">
        <f aca="false">IF(S82="","",IFERROR(INDEX(Empleadores!$B$2:$B$601,MATCH(S82,Empleadores!$A$2:$A$601,0)),"No encontrado"))</f>
        <v/>
      </c>
      <c r="U82" s="25" t="str">
        <f aca="false">IF(C82="","",IF(V82="","No",IF(Config!$C$4-V82&lt;=Config!$C$15,"Sí","No")))</f>
        <v>No</v>
      </c>
      <c r="V82" s="23"/>
      <c r="W82" s="22"/>
      <c r="X82" s="22"/>
      <c r="Y82" s="22"/>
      <c r="Z82" s="27"/>
      <c r="AA82" s="22"/>
      <c r="AB82" s="22"/>
    </row>
    <row r="83" customFormat="false" ht="15" hidden="false" customHeight="false" outlineLevel="0" collapsed="false">
      <c r="A83" s="22" t="n">
        <v>82</v>
      </c>
      <c r="B83" s="22" t="s">
        <v>472</v>
      </c>
      <c r="C83" s="22" t="s">
        <v>473</v>
      </c>
      <c r="D83" s="22" t="s">
        <v>138</v>
      </c>
      <c r="E83" s="22" t="s">
        <v>139</v>
      </c>
      <c r="F83" s="22" t="s">
        <v>96</v>
      </c>
      <c r="G83" s="23" t="n">
        <v>43861</v>
      </c>
      <c r="H83" s="24" t="n">
        <f aca="false">IF(G83="","",ROUND((Config!$C$4-G83)/365.25,2))</f>
        <v>6.67</v>
      </c>
      <c r="I83" s="25" t="str">
        <f aca="false">IF(H83="","",IF(H83&lt;=1,"Tramo 1",IF(H83&lt;=3,"Tramo 2",IF(H83&lt;=5,"Tramo 3","Tramo 4"))))</f>
        <v>Tramo 4</v>
      </c>
      <c r="J83" s="22" t="s">
        <v>140</v>
      </c>
      <c r="K83" s="22"/>
      <c r="L83" s="22" t="s">
        <v>474</v>
      </c>
      <c r="M83" s="26" t="s">
        <v>475</v>
      </c>
      <c r="N83" s="22"/>
      <c r="O83" s="22" t="s">
        <v>85</v>
      </c>
      <c r="P83" s="25" t="str">
        <f aca="false">IF(OR(O83="",O83="Sin información"),"",IFERROR(INDEX(Listas!$B$2:$B$9,MATCH(O83,Listas!$A$2:$A$9,0)),""))</f>
        <v>Sí</v>
      </c>
      <c r="Q83" s="25" t="str">
        <f aca="false">IF(OR(O83="",O83="Sin información"),"",IFERROR(INDEX(Listas!$C$2:$C$9,MATCH(O83,Listas!$A$2:$A$9,0)),""))</f>
        <v>Sí</v>
      </c>
      <c r="R83" s="22"/>
      <c r="S83" s="22" t="s">
        <v>476</v>
      </c>
      <c r="T83" s="25" t="str">
        <f aca="false">IF(S83="","",IFERROR(INDEX(Empleadores!$B$2:$B$601,MATCH(S83,Empleadores!$A$2:$A$601,0)),"No encontrado"))</f>
        <v>Hospital Regional Honorio Delgado</v>
      </c>
      <c r="U83" s="25" t="str">
        <f aca="false">IF(C83="","",IF(V83="","No",IF(Config!$C$4-V83&lt;=Config!$C$15,"Sí","No")))</f>
        <v>Sí</v>
      </c>
      <c r="V83" s="23" t="n">
        <v>45972</v>
      </c>
      <c r="W83" s="22"/>
      <c r="X83" s="22"/>
      <c r="Y83" s="22" t="s">
        <v>181</v>
      </c>
      <c r="Z83" s="27" t="s">
        <v>182</v>
      </c>
      <c r="AA83" s="22"/>
      <c r="AB83" s="22" t="s">
        <v>183</v>
      </c>
    </row>
    <row r="84" customFormat="false" ht="15" hidden="false" customHeight="false" outlineLevel="0" collapsed="false">
      <c r="A84" s="22" t="n">
        <v>83</v>
      </c>
      <c r="B84" s="22" t="s">
        <v>477</v>
      </c>
      <c r="C84" s="22" t="s">
        <v>478</v>
      </c>
      <c r="D84" s="22" t="s">
        <v>138</v>
      </c>
      <c r="E84" s="22" t="s">
        <v>139</v>
      </c>
      <c r="F84" s="22" t="s">
        <v>96</v>
      </c>
      <c r="G84" s="23" t="n">
        <v>43861</v>
      </c>
      <c r="H84" s="24" t="n">
        <f aca="false">IF(G84="","",ROUND((Config!$C$4-G84)/365.25,2))</f>
        <v>6.67</v>
      </c>
      <c r="I84" s="25" t="str">
        <f aca="false">IF(H84="","",IF(H84&lt;=1,"Tramo 1",IF(H84&lt;=3,"Tramo 2",IF(H84&lt;=5,"Tramo 3","Tramo 4"))))</f>
        <v>Tramo 4</v>
      </c>
      <c r="J84" s="22" t="s">
        <v>140</v>
      </c>
      <c r="K84" s="22"/>
      <c r="L84" s="22" t="s">
        <v>479</v>
      </c>
      <c r="M84" s="26" t="s">
        <v>480</v>
      </c>
      <c r="N84" s="22"/>
      <c r="O84" s="22" t="s">
        <v>63</v>
      </c>
      <c r="P84" s="25" t="str">
        <f aca="false">IF(OR(O84="",O84="Sin información"),"",IFERROR(INDEX(Listas!$B$2:$B$9,MATCH(O84,Listas!$A$2:$A$9,0)),""))</f>
        <v/>
      </c>
      <c r="Q84" s="25" t="str">
        <f aca="false">IF(OR(O84="",O84="Sin información"),"",IFERROR(INDEX(Listas!$C$2:$C$9,MATCH(O84,Listas!$A$2:$A$9,0)),""))</f>
        <v/>
      </c>
      <c r="R84" s="22"/>
      <c r="S84" s="22"/>
      <c r="T84" s="25" t="str">
        <f aca="false">IF(S84="","",IFERROR(INDEX(Empleadores!$B$2:$B$601,MATCH(S84,Empleadores!$A$2:$A$601,0)),"No encontrado"))</f>
        <v/>
      </c>
      <c r="U84" s="25" t="str">
        <f aca="false">IF(C84="","",IF(V84="","No",IF(Config!$C$4-V84&lt;=Config!$C$15,"Sí","No")))</f>
        <v>No</v>
      </c>
      <c r="V84" s="23"/>
      <c r="W84" s="22"/>
      <c r="X84" s="22"/>
      <c r="Y84" s="22"/>
      <c r="Z84" s="27"/>
      <c r="AA84" s="22"/>
      <c r="AB84" s="22"/>
    </row>
    <row r="85" customFormat="false" ht="15" hidden="false" customHeight="false" outlineLevel="0" collapsed="false">
      <c r="A85" s="22" t="n">
        <v>84</v>
      </c>
      <c r="B85" s="22" t="s">
        <v>481</v>
      </c>
      <c r="C85" s="22" t="s">
        <v>482</v>
      </c>
      <c r="D85" s="22" t="s">
        <v>149</v>
      </c>
      <c r="E85" s="22" t="s">
        <v>139</v>
      </c>
      <c r="F85" s="22" t="s">
        <v>96</v>
      </c>
      <c r="G85" s="23" t="n">
        <v>43861</v>
      </c>
      <c r="H85" s="24" t="n">
        <f aca="false">IF(G85="","",ROUND((Config!$C$4-G85)/365.25,2))</f>
        <v>6.67</v>
      </c>
      <c r="I85" s="25" t="str">
        <f aca="false">IF(H85="","",IF(H85&lt;=1,"Tramo 1",IF(H85&lt;=3,"Tramo 2",IF(H85&lt;=5,"Tramo 3","Tramo 4"))))</f>
        <v>Tramo 4</v>
      </c>
      <c r="J85" s="22" t="s">
        <v>140</v>
      </c>
      <c r="K85" s="22"/>
      <c r="L85" s="22" t="s">
        <v>483</v>
      </c>
      <c r="M85" s="26" t="s">
        <v>484</v>
      </c>
      <c r="N85" s="22"/>
      <c r="O85" s="22" t="s">
        <v>85</v>
      </c>
      <c r="P85" s="25" t="str">
        <f aca="false">IF(OR(O85="",O85="Sin información"),"",IFERROR(INDEX(Listas!$B$2:$B$9,MATCH(O85,Listas!$A$2:$A$9,0)),""))</f>
        <v>Sí</v>
      </c>
      <c r="Q85" s="25" t="str">
        <f aca="false">IF(OR(O85="",O85="Sin información"),"",IFERROR(INDEX(Listas!$C$2:$C$9,MATCH(O85,Listas!$A$2:$A$9,0)),""))</f>
        <v>Sí</v>
      </c>
      <c r="R85" s="22"/>
      <c r="S85" s="22" t="s">
        <v>485</v>
      </c>
      <c r="T85" s="25" t="str">
        <f aca="false">IF(S85="","",IFERROR(INDEX(Empleadores!$B$2:$B$601,MATCH(S85,Empleadores!$A$2:$A$601,0)),"No encontrado"))</f>
        <v>Centro de Salud Integral Qhali Runa – UAC</v>
      </c>
      <c r="U85" s="25" t="str">
        <f aca="false">IF(C85="","",IF(V85="","No",IF(Config!$C$4-V85&lt;=Config!$C$15,"Sí","No")))</f>
        <v>Sí</v>
      </c>
      <c r="V85" s="23" t="n">
        <v>45968</v>
      </c>
      <c r="W85" s="22"/>
      <c r="X85" s="22"/>
      <c r="Y85" s="22" t="s">
        <v>181</v>
      </c>
      <c r="Z85" s="27"/>
      <c r="AA85" s="22"/>
      <c r="AB85" s="22" t="s">
        <v>183</v>
      </c>
    </row>
    <row r="86" customFormat="false" ht="15" hidden="false" customHeight="false" outlineLevel="0" collapsed="false">
      <c r="A86" s="22" t="n">
        <v>85</v>
      </c>
      <c r="B86" s="22" t="s">
        <v>486</v>
      </c>
      <c r="C86" s="22" t="s">
        <v>487</v>
      </c>
      <c r="D86" s="22" t="s">
        <v>149</v>
      </c>
      <c r="E86" s="22" t="s">
        <v>139</v>
      </c>
      <c r="F86" s="22" t="s">
        <v>96</v>
      </c>
      <c r="G86" s="23" t="n">
        <v>43861</v>
      </c>
      <c r="H86" s="24" t="n">
        <f aca="false">IF(G86="","",ROUND((Config!$C$4-G86)/365.25,2))</f>
        <v>6.67</v>
      </c>
      <c r="I86" s="25" t="str">
        <f aca="false">IF(H86="","",IF(H86&lt;=1,"Tramo 1",IF(H86&lt;=3,"Tramo 2",IF(H86&lt;=5,"Tramo 3","Tramo 4"))))</f>
        <v>Tramo 4</v>
      </c>
      <c r="J86" s="22" t="s">
        <v>140</v>
      </c>
      <c r="K86" s="22"/>
      <c r="L86" s="22" t="s">
        <v>488</v>
      </c>
      <c r="M86" s="26" t="s">
        <v>489</v>
      </c>
      <c r="N86" s="22"/>
      <c r="O86" s="22" t="s">
        <v>63</v>
      </c>
      <c r="P86" s="25" t="str">
        <f aca="false">IF(OR(O86="",O86="Sin información"),"",IFERROR(INDEX(Listas!$B$2:$B$9,MATCH(O86,Listas!$A$2:$A$9,0)),""))</f>
        <v/>
      </c>
      <c r="Q86" s="25" t="str">
        <f aca="false">IF(OR(O86="",O86="Sin información"),"",IFERROR(INDEX(Listas!$C$2:$C$9,MATCH(O86,Listas!$A$2:$A$9,0)),""))</f>
        <v/>
      </c>
      <c r="R86" s="22"/>
      <c r="S86" s="22"/>
      <c r="T86" s="25" t="str">
        <f aca="false">IF(S86="","",IFERROR(INDEX(Empleadores!$B$2:$B$601,MATCH(S86,Empleadores!$A$2:$A$601,0)),"No encontrado"))</f>
        <v/>
      </c>
      <c r="U86" s="25" t="str">
        <f aca="false">IF(C86="","",IF(V86="","No",IF(Config!$C$4-V86&lt;=Config!$C$15,"Sí","No")))</f>
        <v>No</v>
      </c>
      <c r="V86" s="23"/>
      <c r="W86" s="22"/>
      <c r="X86" s="22"/>
      <c r="Y86" s="22"/>
      <c r="Z86" s="27"/>
      <c r="AA86" s="22"/>
      <c r="AB86" s="22"/>
    </row>
    <row r="87" customFormat="false" ht="15" hidden="false" customHeight="false" outlineLevel="0" collapsed="false">
      <c r="A87" s="22" t="n">
        <v>86</v>
      </c>
      <c r="B87" s="22" t="s">
        <v>490</v>
      </c>
      <c r="C87" s="22" t="s">
        <v>491</v>
      </c>
      <c r="D87" s="22" t="s">
        <v>138</v>
      </c>
      <c r="E87" s="22" t="s">
        <v>139</v>
      </c>
      <c r="F87" s="22" t="s">
        <v>96</v>
      </c>
      <c r="G87" s="23" t="n">
        <v>43861</v>
      </c>
      <c r="H87" s="24" t="n">
        <f aca="false">IF(G87="","",ROUND((Config!$C$4-G87)/365.25,2))</f>
        <v>6.67</v>
      </c>
      <c r="I87" s="25" t="str">
        <f aca="false">IF(H87="","",IF(H87&lt;=1,"Tramo 1",IF(H87&lt;=3,"Tramo 2",IF(H87&lt;=5,"Tramo 3","Tramo 4"))))</f>
        <v>Tramo 4</v>
      </c>
      <c r="J87" s="22" t="s">
        <v>140</v>
      </c>
      <c r="K87" s="22"/>
      <c r="L87" s="22" t="s">
        <v>492</v>
      </c>
      <c r="M87" s="26" t="s">
        <v>493</v>
      </c>
      <c r="N87" s="22"/>
      <c r="O87" s="22" t="s">
        <v>63</v>
      </c>
      <c r="P87" s="25" t="str">
        <f aca="false">IF(OR(O87="",O87="Sin información"),"",IFERROR(INDEX(Listas!$B$2:$B$9,MATCH(O87,Listas!$A$2:$A$9,0)),""))</f>
        <v/>
      </c>
      <c r="Q87" s="25" t="str">
        <f aca="false">IF(OR(O87="",O87="Sin información"),"",IFERROR(INDEX(Listas!$C$2:$C$9,MATCH(O87,Listas!$A$2:$A$9,0)),""))</f>
        <v/>
      </c>
      <c r="R87" s="22"/>
      <c r="S87" s="22"/>
      <c r="T87" s="25" t="str">
        <f aca="false">IF(S87="","",IFERROR(INDEX(Empleadores!$B$2:$B$601,MATCH(S87,Empleadores!$A$2:$A$601,0)),"No encontrado"))</f>
        <v/>
      </c>
      <c r="U87" s="25" t="str">
        <f aca="false">IF(C87="","",IF(V87="","No",IF(Config!$C$4-V87&lt;=Config!$C$15,"Sí","No")))</f>
        <v>No</v>
      </c>
      <c r="V87" s="23"/>
      <c r="W87" s="22"/>
      <c r="X87" s="22"/>
      <c r="Y87" s="22"/>
      <c r="Z87" s="27"/>
      <c r="AA87" s="22"/>
      <c r="AB87" s="22"/>
    </row>
    <row r="88" customFormat="false" ht="15" hidden="false" customHeight="false" outlineLevel="0" collapsed="false">
      <c r="A88" s="22" t="n">
        <v>87</v>
      </c>
      <c r="B88" s="22" t="s">
        <v>494</v>
      </c>
      <c r="C88" s="22" t="s">
        <v>495</v>
      </c>
      <c r="D88" s="22" t="s">
        <v>138</v>
      </c>
      <c r="E88" s="22" t="s">
        <v>139</v>
      </c>
      <c r="F88" s="22" t="s">
        <v>96</v>
      </c>
      <c r="G88" s="23" t="n">
        <v>43861</v>
      </c>
      <c r="H88" s="24" t="n">
        <f aca="false">IF(G88="","",ROUND((Config!$C$4-G88)/365.25,2))</f>
        <v>6.67</v>
      </c>
      <c r="I88" s="25" t="str">
        <f aca="false">IF(H88="","",IF(H88&lt;=1,"Tramo 1",IF(H88&lt;=3,"Tramo 2",IF(H88&lt;=5,"Tramo 3","Tramo 4"))))</f>
        <v>Tramo 4</v>
      </c>
      <c r="J88" s="22" t="s">
        <v>140</v>
      </c>
      <c r="K88" s="22"/>
      <c r="L88" s="22" t="s">
        <v>496</v>
      </c>
      <c r="M88" s="26" t="s">
        <v>497</v>
      </c>
      <c r="N88" s="22"/>
      <c r="O88" s="22" t="s">
        <v>63</v>
      </c>
      <c r="P88" s="25" t="str">
        <f aca="false">IF(OR(O88="",O88="Sin información"),"",IFERROR(INDEX(Listas!$B$2:$B$9,MATCH(O88,Listas!$A$2:$A$9,0)),""))</f>
        <v/>
      </c>
      <c r="Q88" s="25" t="str">
        <f aca="false">IF(OR(O88="",O88="Sin información"),"",IFERROR(INDEX(Listas!$C$2:$C$9,MATCH(O88,Listas!$A$2:$A$9,0)),""))</f>
        <v/>
      </c>
      <c r="R88" s="22"/>
      <c r="S88" s="22"/>
      <c r="T88" s="25" t="str">
        <f aca="false">IF(S88="","",IFERROR(INDEX(Empleadores!$B$2:$B$601,MATCH(S88,Empleadores!$A$2:$A$601,0)),"No encontrado"))</f>
        <v/>
      </c>
      <c r="U88" s="25" t="str">
        <f aca="false">IF(C88="","",IF(V88="","No",IF(Config!$C$4-V88&lt;=Config!$C$15,"Sí","No")))</f>
        <v>No</v>
      </c>
      <c r="V88" s="23"/>
      <c r="W88" s="22"/>
      <c r="X88" s="22"/>
      <c r="Y88" s="22"/>
      <c r="Z88" s="27"/>
      <c r="AA88" s="22"/>
      <c r="AB88" s="22"/>
    </row>
    <row r="89" customFormat="false" ht="15" hidden="false" customHeight="false" outlineLevel="0" collapsed="false">
      <c r="A89" s="22" t="n">
        <v>88</v>
      </c>
      <c r="B89" s="22" t="s">
        <v>498</v>
      </c>
      <c r="C89" s="22" t="s">
        <v>499</v>
      </c>
      <c r="D89" s="22" t="s">
        <v>149</v>
      </c>
      <c r="E89" s="22" t="s">
        <v>139</v>
      </c>
      <c r="F89" s="22" t="s">
        <v>96</v>
      </c>
      <c r="G89" s="23" t="n">
        <v>43861</v>
      </c>
      <c r="H89" s="24" t="n">
        <f aca="false">IF(G89="","",ROUND((Config!$C$4-G89)/365.25,2))</f>
        <v>6.67</v>
      </c>
      <c r="I89" s="25" t="str">
        <f aca="false">IF(H89="","",IF(H89&lt;=1,"Tramo 1",IF(H89&lt;=3,"Tramo 2",IF(H89&lt;=5,"Tramo 3","Tramo 4"))))</f>
        <v>Tramo 4</v>
      </c>
      <c r="J89" s="22" t="s">
        <v>140</v>
      </c>
      <c r="K89" s="22"/>
      <c r="L89" s="22" t="s">
        <v>500</v>
      </c>
      <c r="M89" s="26" t="s">
        <v>501</v>
      </c>
      <c r="N89" s="22"/>
      <c r="O89" s="22" t="s">
        <v>63</v>
      </c>
      <c r="P89" s="25" t="str">
        <f aca="false">IF(OR(O89="",O89="Sin información"),"",IFERROR(INDEX(Listas!$B$2:$B$9,MATCH(O89,Listas!$A$2:$A$9,0)),""))</f>
        <v/>
      </c>
      <c r="Q89" s="25" t="str">
        <f aca="false">IF(OR(O89="",O89="Sin información"),"",IFERROR(INDEX(Listas!$C$2:$C$9,MATCH(O89,Listas!$A$2:$A$9,0)),""))</f>
        <v/>
      </c>
      <c r="R89" s="22"/>
      <c r="S89" s="22"/>
      <c r="T89" s="25" t="str">
        <f aca="false">IF(S89="","",IFERROR(INDEX(Empleadores!$B$2:$B$601,MATCH(S89,Empleadores!$A$2:$A$601,0)),"No encontrado"))</f>
        <v/>
      </c>
      <c r="U89" s="25" t="str">
        <f aca="false">IF(C89="","",IF(V89="","No",IF(Config!$C$4-V89&lt;=Config!$C$15,"Sí","No")))</f>
        <v>No</v>
      </c>
      <c r="V89" s="23"/>
      <c r="W89" s="22"/>
      <c r="X89" s="22"/>
      <c r="Y89" s="22"/>
      <c r="Z89" s="27"/>
      <c r="AA89" s="22"/>
      <c r="AB89" s="22"/>
    </row>
    <row r="90" customFormat="false" ht="15" hidden="false" customHeight="false" outlineLevel="0" collapsed="false">
      <c r="A90" s="22" t="n">
        <v>89</v>
      </c>
      <c r="B90" s="22" t="s">
        <v>502</v>
      </c>
      <c r="C90" s="22" t="s">
        <v>503</v>
      </c>
      <c r="D90" s="22" t="s">
        <v>149</v>
      </c>
      <c r="E90" s="22" t="s">
        <v>139</v>
      </c>
      <c r="F90" s="22" t="s">
        <v>96</v>
      </c>
      <c r="G90" s="23" t="n">
        <v>43861</v>
      </c>
      <c r="H90" s="24" t="n">
        <f aca="false">IF(G90="","",ROUND((Config!$C$4-G90)/365.25,2))</f>
        <v>6.67</v>
      </c>
      <c r="I90" s="25" t="str">
        <f aca="false">IF(H90="","",IF(H90&lt;=1,"Tramo 1",IF(H90&lt;=3,"Tramo 2",IF(H90&lt;=5,"Tramo 3","Tramo 4"))))</f>
        <v>Tramo 4</v>
      </c>
      <c r="J90" s="22" t="s">
        <v>140</v>
      </c>
      <c r="K90" s="22"/>
      <c r="L90" s="22" t="s">
        <v>504</v>
      </c>
      <c r="M90" s="26" t="s">
        <v>505</v>
      </c>
      <c r="N90" s="22"/>
      <c r="O90" s="22" t="s">
        <v>63</v>
      </c>
      <c r="P90" s="25" t="str">
        <f aca="false">IF(OR(O90="",O90="Sin información"),"",IFERROR(INDEX(Listas!$B$2:$B$9,MATCH(O90,Listas!$A$2:$A$9,0)),""))</f>
        <v/>
      </c>
      <c r="Q90" s="25" t="str">
        <f aca="false">IF(OR(O90="",O90="Sin información"),"",IFERROR(INDEX(Listas!$C$2:$C$9,MATCH(O90,Listas!$A$2:$A$9,0)),""))</f>
        <v/>
      </c>
      <c r="R90" s="22"/>
      <c r="S90" s="22"/>
      <c r="T90" s="25" t="str">
        <f aca="false">IF(S90="","",IFERROR(INDEX(Empleadores!$B$2:$B$601,MATCH(S90,Empleadores!$A$2:$A$601,0)),"No encontrado"))</f>
        <v/>
      </c>
      <c r="U90" s="25" t="str">
        <f aca="false">IF(C90="","",IF(V90="","No",IF(Config!$C$4-V90&lt;=Config!$C$15,"Sí","No")))</f>
        <v>No</v>
      </c>
      <c r="V90" s="23"/>
      <c r="W90" s="22"/>
      <c r="X90" s="22"/>
      <c r="Y90" s="22"/>
      <c r="Z90" s="27"/>
      <c r="AA90" s="22"/>
      <c r="AB90" s="22"/>
    </row>
    <row r="91" customFormat="false" ht="15" hidden="false" customHeight="false" outlineLevel="0" collapsed="false">
      <c r="A91" s="22" t="n">
        <v>90</v>
      </c>
      <c r="B91" s="22" t="s">
        <v>506</v>
      </c>
      <c r="C91" s="22" t="s">
        <v>507</v>
      </c>
      <c r="D91" s="22" t="s">
        <v>149</v>
      </c>
      <c r="E91" s="22" t="s">
        <v>139</v>
      </c>
      <c r="F91" s="22" t="s">
        <v>96</v>
      </c>
      <c r="G91" s="23" t="n">
        <v>43861</v>
      </c>
      <c r="H91" s="24" t="n">
        <f aca="false">IF(G91="","",ROUND((Config!$C$4-G91)/365.25,2))</f>
        <v>6.67</v>
      </c>
      <c r="I91" s="25" t="str">
        <f aca="false">IF(H91="","",IF(H91&lt;=1,"Tramo 1",IF(H91&lt;=3,"Tramo 2",IF(H91&lt;=5,"Tramo 3","Tramo 4"))))</f>
        <v>Tramo 4</v>
      </c>
      <c r="J91" s="22" t="s">
        <v>140</v>
      </c>
      <c r="K91" s="22"/>
      <c r="L91" s="22" t="s">
        <v>508</v>
      </c>
      <c r="M91" s="26" t="s">
        <v>509</v>
      </c>
      <c r="N91" s="22"/>
      <c r="O91" s="22" t="s">
        <v>63</v>
      </c>
      <c r="P91" s="25" t="str">
        <f aca="false">IF(OR(O91="",O91="Sin información"),"",IFERROR(INDEX(Listas!$B$2:$B$9,MATCH(O91,Listas!$A$2:$A$9,0)),""))</f>
        <v/>
      </c>
      <c r="Q91" s="25" t="str">
        <f aca="false">IF(OR(O91="",O91="Sin información"),"",IFERROR(INDEX(Listas!$C$2:$C$9,MATCH(O91,Listas!$A$2:$A$9,0)),""))</f>
        <v/>
      </c>
      <c r="R91" s="22"/>
      <c r="S91" s="22"/>
      <c r="T91" s="25" t="str">
        <f aca="false">IF(S91="","",IFERROR(INDEX(Empleadores!$B$2:$B$601,MATCH(S91,Empleadores!$A$2:$A$601,0)),"No encontrado"))</f>
        <v/>
      </c>
      <c r="U91" s="25" t="str">
        <f aca="false">IF(C91="","",IF(V91="","No",IF(Config!$C$4-V91&lt;=Config!$C$15,"Sí","No")))</f>
        <v>No</v>
      </c>
      <c r="V91" s="23"/>
      <c r="W91" s="22"/>
      <c r="X91" s="22"/>
      <c r="Y91" s="22"/>
      <c r="Z91" s="27"/>
      <c r="AA91" s="22"/>
      <c r="AB91" s="22"/>
    </row>
    <row r="92" customFormat="false" ht="15" hidden="false" customHeight="false" outlineLevel="0" collapsed="false">
      <c r="A92" s="22" t="n">
        <v>91</v>
      </c>
      <c r="B92" s="22" t="s">
        <v>510</v>
      </c>
      <c r="C92" s="22" t="s">
        <v>511</v>
      </c>
      <c r="D92" s="22" t="s">
        <v>138</v>
      </c>
      <c r="E92" s="22" t="s">
        <v>139</v>
      </c>
      <c r="F92" s="22" t="s">
        <v>96</v>
      </c>
      <c r="G92" s="23" t="n">
        <v>43861</v>
      </c>
      <c r="H92" s="24" t="n">
        <f aca="false">IF(G92="","",ROUND((Config!$C$4-G92)/365.25,2))</f>
        <v>6.67</v>
      </c>
      <c r="I92" s="25" t="str">
        <f aca="false">IF(H92="","",IF(H92&lt;=1,"Tramo 1",IF(H92&lt;=3,"Tramo 2",IF(H92&lt;=5,"Tramo 3","Tramo 4"))))</f>
        <v>Tramo 4</v>
      </c>
      <c r="J92" s="22" t="s">
        <v>140</v>
      </c>
      <c r="K92" s="22"/>
      <c r="L92" s="22" t="s">
        <v>512</v>
      </c>
      <c r="M92" s="26" t="s">
        <v>513</v>
      </c>
      <c r="N92" s="22"/>
      <c r="O92" s="22" t="s">
        <v>63</v>
      </c>
      <c r="P92" s="25" t="str">
        <f aca="false">IF(OR(O92="",O92="Sin información"),"",IFERROR(INDEX(Listas!$B$2:$B$9,MATCH(O92,Listas!$A$2:$A$9,0)),""))</f>
        <v/>
      </c>
      <c r="Q92" s="25" t="str">
        <f aca="false">IF(OR(O92="",O92="Sin información"),"",IFERROR(INDEX(Listas!$C$2:$C$9,MATCH(O92,Listas!$A$2:$A$9,0)),""))</f>
        <v/>
      </c>
      <c r="R92" s="22"/>
      <c r="S92" s="22"/>
      <c r="T92" s="25" t="str">
        <f aca="false">IF(S92="","",IFERROR(INDEX(Empleadores!$B$2:$B$601,MATCH(S92,Empleadores!$A$2:$A$601,0)),"No encontrado"))</f>
        <v/>
      </c>
      <c r="U92" s="25" t="str">
        <f aca="false">IF(C92="","",IF(V92="","No",IF(Config!$C$4-V92&lt;=Config!$C$15,"Sí","No")))</f>
        <v>No</v>
      </c>
      <c r="V92" s="23"/>
      <c r="W92" s="22"/>
      <c r="X92" s="22"/>
      <c r="Y92" s="22"/>
      <c r="Z92" s="27"/>
      <c r="AA92" s="22"/>
      <c r="AB92" s="22"/>
    </row>
    <row r="93" customFormat="false" ht="15" hidden="false" customHeight="false" outlineLevel="0" collapsed="false">
      <c r="A93" s="22" t="n">
        <v>92</v>
      </c>
      <c r="B93" s="22" t="s">
        <v>514</v>
      </c>
      <c r="C93" s="22" t="s">
        <v>515</v>
      </c>
      <c r="D93" s="22" t="s">
        <v>138</v>
      </c>
      <c r="E93" s="22" t="s">
        <v>139</v>
      </c>
      <c r="F93" s="22" t="s">
        <v>96</v>
      </c>
      <c r="G93" s="23" t="n">
        <v>43861</v>
      </c>
      <c r="H93" s="24" t="n">
        <f aca="false">IF(G93="","",ROUND((Config!$C$4-G93)/365.25,2))</f>
        <v>6.67</v>
      </c>
      <c r="I93" s="25" t="str">
        <f aca="false">IF(H93="","",IF(H93&lt;=1,"Tramo 1",IF(H93&lt;=3,"Tramo 2",IF(H93&lt;=5,"Tramo 3","Tramo 4"))))</f>
        <v>Tramo 4</v>
      </c>
      <c r="J93" s="22" t="s">
        <v>140</v>
      </c>
      <c r="K93" s="22"/>
      <c r="L93" s="22" t="s">
        <v>516</v>
      </c>
      <c r="M93" s="26" t="s">
        <v>517</v>
      </c>
      <c r="N93" s="22"/>
      <c r="O93" s="22" t="s">
        <v>63</v>
      </c>
      <c r="P93" s="25" t="str">
        <f aca="false">IF(OR(O93="",O93="Sin información"),"",IFERROR(INDEX(Listas!$B$2:$B$9,MATCH(O93,Listas!$A$2:$A$9,0)),""))</f>
        <v/>
      </c>
      <c r="Q93" s="25" t="str">
        <f aca="false">IF(OR(O93="",O93="Sin información"),"",IFERROR(INDEX(Listas!$C$2:$C$9,MATCH(O93,Listas!$A$2:$A$9,0)),""))</f>
        <v/>
      </c>
      <c r="R93" s="22"/>
      <c r="S93" s="22"/>
      <c r="T93" s="25" t="str">
        <f aca="false">IF(S93="","",IFERROR(INDEX(Empleadores!$B$2:$B$601,MATCH(S93,Empleadores!$A$2:$A$601,0)),"No encontrado"))</f>
        <v/>
      </c>
      <c r="U93" s="25" t="str">
        <f aca="false">IF(C93="","",IF(V93="","No",IF(Config!$C$4-V93&lt;=Config!$C$15,"Sí","No")))</f>
        <v>No</v>
      </c>
      <c r="V93" s="23"/>
      <c r="W93" s="22"/>
      <c r="X93" s="22"/>
      <c r="Y93" s="22"/>
      <c r="Z93" s="27"/>
      <c r="AA93" s="22"/>
      <c r="AB93" s="22"/>
    </row>
    <row r="94" customFormat="false" ht="15" hidden="false" customHeight="false" outlineLevel="0" collapsed="false">
      <c r="A94" s="22" t="n">
        <v>93</v>
      </c>
      <c r="B94" s="22" t="s">
        <v>518</v>
      </c>
      <c r="C94" s="22" t="s">
        <v>519</v>
      </c>
      <c r="D94" s="22" t="s">
        <v>149</v>
      </c>
      <c r="E94" s="22" t="s">
        <v>139</v>
      </c>
      <c r="F94" s="22" t="s">
        <v>96</v>
      </c>
      <c r="G94" s="23" t="n">
        <v>43861</v>
      </c>
      <c r="H94" s="24" t="n">
        <f aca="false">IF(G94="","",ROUND((Config!$C$4-G94)/365.25,2))</f>
        <v>6.67</v>
      </c>
      <c r="I94" s="25" t="str">
        <f aca="false">IF(H94="","",IF(H94&lt;=1,"Tramo 1",IF(H94&lt;=3,"Tramo 2",IF(H94&lt;=5,"Tramo 3","Tramo 4"))))</f>
        <v>Tramo 4</v>
      </c>
      <c r="J94" s="22" t="s">
        <v>140</v>
      </c>
      <c r="K94" s="22"/>
      <c r="L94" s="22" t="s">
        <v>520</v>
      </c>
      <c r="M94" s="26" t="s">
        <v>521</v>
      </c>
      <c r="N94" s="22"/>
      <c r="O94" s="22" t="s">
        <v>63</v>
      </c>
      <c r="P94" s="25" t="str">
        <f aca="false">IF(OR(O94="",O94="Sin información"),"",IFERROR(INDEX(Listas!$B$2:$B$9,MATCH(O94,Listas!$A$2:$A$9,0)),""))</f>
        <v/>
      </c>
      <c r="Q94" s="25" t="str">
        <f aca="false">IF(OR(O94="",O94="Sin información"),"",IFERROR(INDEX(Listas!$C$2:$C$9,MATCH(O94,Listas!$A$2:$A$9,0)),""))</f>
        <v/>
      </c>
      <c r="R94" s="22"/>
      <c r="S94" s="22"/>
      <c r="T94" s="25" t="str">
        <f aca="false">IF(S94="","",IFERROR(INDEX(Empleadores!$B$2:$B$601,MATCH(S94,Empleadores!$A$2:$A$601,0)),"No encontrado"))</f>
        <v/>
      </c>
      <c r="U94" s="25" t="str">
        <f aca="false">IF(C94="","",IF(V94="","No",IF(Config!$C$4-V94&lt;=Config!$C$15,"Sí","No")))</f>
        <v>No</v>
      </c>
      <c r="V94" s="23"/>
      <c r="W94" s="22"/>
      <c r="X94" s="22"/>
      <c r="Y94" s="22"/>
      <c r="Z94" s="27"/>
      <c r="AA94" s="22"/>
      <c r="AB94" s="22"/>
    </row>
    <row r="95" customFormat="false" ht="15" hidden="false" customHeight="false" outlineLevel="0" collapsed="false">
      <c r="A95" s="22" t="n">
        <v>94</v>
      </c>
      <c r="B95" s="22" t="s">
        <v>522</v>
      </c>
      <c r="C95" s="22" t="s">
        <v>523</v>
      </c>
      <c r="D95" s="22" t="s">
        <v>149</v>
      </c>
      <c r="E95" s="22" t="s">
        <v>139</v>
      </c>
      <c r="F95" s="22" t="s">
        <v>96</v>
      </c>
      <c r="G95" s="23" t="n">
        <v>43861</v>
      </c>
      <c r="H95" s="24" t="n">
        <f aca="false">IF(G95="","",ROUND((Config!$C$4-G95)/365.25,2))</f>
        <v>6.67</v>
      </c>
      <c r="I95" s="25" t="str">
        <f aca="false">IF(H95="","",IF(H95&lt;=1,"Tramo 1",IF(H95&lt;=3,"Tramo 2",IF(H95&lt;=5,"Tramo 3","Tramo 4"))))</f>
        <v>Tramo 4</v>
      </c>
      <c r="J95" s="22" t="s">
        <v>140</v>
      </c>
      <c r="K95" s="22"/>
      <c r="L95" s="22" t="s">
        <v>524</v>
      </c>
      <c r="M95" s="26" t="s">
        <v>525</v>
      </c>
      <c r="N95" s="22"/>
      <c r="O95" s="22" t="s">
        <v>63</v>
      </c>
      <c r="P95" s="25" t="str">
        <f aca="false">IF(OR(O95="",O95="Sin información"),"",IFERROR(INDEX(Listas!$B$2:$B$9,MATCH(O95,Listas!$A$2:$A$9,0)),""))</f>
        <v/>
      </c>
      <c r="Q95" s="25" t="str">
        <f aca="false">IF(OR(O95="",O95="Sin información"),"",IFERROR(INDEX(Listas!$C$2:$C$9,MATCH(O95,Listas!$A$2:$A$9,0)),""))</f>
        <v/>
      </c>
      <c r="R95" s="22"/>
      <c r="S95" s="22"/>
      <c r="T95" s="25" t="str">
        <f aca="false">IF(S95="","",IFERROR(INDEX(Empleadores!$B$2:$B$601,MATCH(S95,Empleadores!$A$2:$A$601,0)),"No encontrado"))</f>
        <v/>
      </c>
      <c r="U95" s="25" t="str">
        <f aca="false">IF(C95="","",IF(V95="","No",IF(Config!$C$4-V95&lt;=Config!$C$15,"Sí","No")))</f>
        <v>No</v>
      </c>
      <c r="V95" s="23"/>
      <c r="W95" s="22"/>
      <c r="X95" s="22"/>
      <c r="Y95" s="22"/>
      <c r="Z95" s="27"/>
      <c r="AA95" s="22"/>
      <c r="AB95" s="22"/>
    </row>
    <row r="96" customFormat="false" ht="15" hidden="false" customHeight="false" outlineLevel="0" collapsed="false">
      <c r="A96" s="22" t="n">
        <v>95</v>
      </c>
      <c r="B96" s="22" t="s">
        <v>526</v>
      </c>
      <c r="C96" s="22" t="s">
        <v>527</v>
      </c>
      <c r="D96" s="22" t="s">
        <v>138</v>
      </c>
      <c r="E96" s="22" t="s">
        <v>139</v>
      </c>
      <c r="F96" s="22" t="s">
        <v>96</v>
      </c>
      <c r="G96" s="23" t="n">
        <v>43861</v>
      </c>
      <c r="H96" s="24" t="n">
        <f aca="false">IF(G96="","",ROUND((Config!$C$4-G96)/365.25,2))</f>
        <v>6.67</v>
      </c>
      <c r="I96" s="25" t="str">
        <f aca="false">IF(H96="","",IF(H96&lt;=1,"Tramo 1",IF(H96&lt;=3,"Tramo 2",IF(H96&lt;=5,"Tramo 3","Tramo 4"))))</f>
        <v>Tramo 4</v>
      </c>
      <c r="J96" s="22" t="s">
        <v>140</v>
      </c>
      <c r="K96" s="22"/>
      <c r="L96" s="22" t="s">
        <v>528</v>
      </c>
      <c r="M96" s="26"/>
      <c r="N96" s="22"/>
      <c r="O96" s="22" t="s">
        <v>63</v>
      </c>
      <c r="P96" s="25" t="str">
        <f aca="false">IF(OR(O96="",O96="Sin información"),"",IFERROR(INDEX(Listas!$B$2:$B$9,MATCH(O96,Listas!$A$2:$A$9,0)),""))</f>
        <v/>
      </c>
      <c r="Q96" s="25" t="str">
        <f aca="false">IF(OR(O96="",O96="Sin información"),"",IFERROR(INDEX(Listas!$C$2:$C$9,MATCH(O96,Listas!$A$2:$A$9,0)),""))</f>
        <v/>
      </c>
      <c r="R96" s="22"/>
      <c r="S96" s="22"/>
      <c r="T96" s="25" t="str">
        <f aca="false">IF(S96="","",IFERROR(INDEX(Empleadores!$B$2:$B$601,MATCH(S96,Empleadores!$A$2:$A$601,0)),"No encontrado"))</f>
        <v/>
      </c>
      <c r="U96" s="25" t="str">
        <f aca="false">IF(C96="","",IF(V96="","No",IF(Config!$C$4-V96&lt;=Config!$C$15,"Sí","No")))</f>
        <v>No</v>
      </c>
      <c r="V96" s="23"/>
      <c r="W96" s="22"/>
      <c r="X96" s="22"/>
      <c r="Y96" s="22"/>
      <c r="Z96" s="27"/>
      <c r="AA96" s="22"/>
      <c r="AB96" s="22"/>
    </row>
    <row r="97" customFormat="false" ht="15" hidden="false" customHeight="false" outlineLevel="0" collapsed="false">
      <c r="A97" s="22" t="n">
        <v>96</v>
      </c>
      <c r="B97" s="22" t="s">
        <v>529</v>
      </c>
      <c r="C97" s="22" t="s">
        <v>530</v>
      </c>
      <c r="D97" s="22" t="s">
        <v>138</v>
      </c>
      <c r="E97" s="22" t="s">
        <v>139</v>
      </c>
      <c r="F97" s="22" t="s">
        <v>96</v>
      </c>
      <c r="G97" s="23" t="n">
        <v>43861</v>
      </c>
      <c r="H97" s="24" t="n">
        <f aca="false">IF(G97="","",ROUND((Config!$C$4-G97)/365.25,2))</f>
        <v>6.67</v>
      </c>
      <c r="I97" s="25" t="str">
        <f aca="false">IF(H97="","",IF(H97&lt;=1,"Tramo 1",IF(H97&lt;=3,"Tramo 2",IF(H97&lt;=5,"Tramo 3","Tramo 4"))))</f>
        <v>Tramo 4</v>
      </c>
      <c r="J97" s="22" t="s">
        <v>140</v>
      </c>
      <c r="K97" s="22"/>
      <c r="L97" s="22" t="s">
        <v>531</v>
      </c>
      <c r="M97" s="26" t="s">
        <v>532</v>
      </c>
      <c r="N97" s="22"/>
      <c r="O97" s="22" t="s">
        <v>85</v>
      </c>
      <c r="P97" s="25" t="str">
        <f aca="false">IF(OR(O97="",O97="Sin información"),"",IFERROR(INDEX(Listas!$B$2:$B$9,MATCH(O97,Listas!$A$2:$A$9,0)),""))</f>
        <v>Sí</v>
      </c>
      <c r="Q97" s="25" t="str">
        <f aca="false">IF(OR(O97="",O97="Sin información"),"",IFERROR(INDEX(Listas!$C$2:$C$9,MATCH(O97,Listas!$A$2:$A$9,0)),""))</f>
        <v>Sí</v>
      </c>
      <c r="R97" s="22"/>
      <c r="S97" s="22" t="s">
        <v>533</v>
      </c>
      <c r="T97" s="25" t="str">
        <f aca="false">IF(S97="","",IFERROR(INDEX(Empleadores!$B$2:$B$601,MATCH(S97,Empleadores!$A$2:$A$601,0)),"No encontrado"))</f>
        <v>Hospital de la Solidaridad – Cusco</v>
      </c>
      <c r="U97" s="25" t="str">
        <f aca="false">IF(C97="","",IF(V97="","No",IF(Config!$C$4-V97&lt;=Config!$C$15,"Sí","No")))</f>
        <v>Sí</v>
      </c>
      <c r="V97" s="23" t="n">
        <v>45968</v>
      </c>
      <c r="W97" s="22"/>
      <c r="X97" s="22"/>
      <c r="Y97" s="22" t="s">
        <v>181</v>
      </c>
      <c r="Z97" s="27"/>
      <c r="AA97" s="22"/>
      <c r="AB97" s="22" t="s">
        <v>183</v>
      </c>
    </row>
    <row r="98" customFormat="false" ht="15" hidden="false" customHeight="false" outlineLevel="0" collapsed="false">
      <c r="A98" s="22" t="n">
        <v>97</v>
      </c>
      <c r="B98" s="22" t="s">
        <v>534</v>
      </c>
      <c r="C98" s="22" t="s">
        <v>535</v>
      </c>
      <c r="D98" s="22" t="s">
        <v>138</v>
      </c>
      <c r="E98" s="22" t="s">
        <v>139</v>
      </c>
      <c r="F98" s="22" t="s">
        <v>96</v>
      </c>
      <c r="G98" s="23" t="n">
        <v>43861</v>
      </c>
      <c r="H98" s="24" t="n">
        <f aca="false">IF(G98="","",ROUND((Config!$C$4-G98)/365.25,2))</f>
        <v>6.67</v>
      </c>
      <c r="I98" s="25" t="str">
        <f aca="false">IF(H98="","",IF(H98&lt;=1,"Tramo 1",IF(H98&lt;=3,"Tramo 2",IF(H98&lt;=5,"Tramo 3","Tramo 4"))))</f>
        <v>Tramo 4</v>
      </c>
      <c r="J98" s="22" t="s">
        <v>140</v>
      </c>
      <c r="K98" s="22"/>
      <c r="L98" s="22" t="s">
        <v>536</v>
      </c>
      <c r="M98" s="26" t="s">
        <v>537</v>
      </c>
      <c r="N98" s="22"/>
      <c r="O98" s="22" t="s">
        <v>63</v>
      </c>
      <c r="P98" s="25" t="str">
        <f aca="false">IF(OR(O98="",O98="Sin información"),"",IFERROR(INDEX(Listas!$B$2:$B$9,MATCH(O98,Listas!$A$2:$A$9,0)),""))</f>
        <v/>
      </c>
      <c r="Q98" s="25" t="str">
        <f aca="false">IF(OR(O98="",O98="Sin información"),"",IFERROR(INDEX(Listas!$C$2:$C$9,MATCH(O98,Listas!$A$2:$A$9,0)),""))</f>
        <v/>
      </c>
      <c r="R98" s="22"/>
      <c r="S98" s="22"/>
      <c r="T98" s="25" t="str">
        <f aca="false">IF(S98="","",IFERROR(INDEX(Empleadores!$B$2:$B$601,MATCH(S98,Empleadores!$A$2:$A$601,0)),"No encontrado"))</f>
        <v/>
      </c>
      <c r="U98" s="25" t="str">
        <f aca="false">IF(C98="","",IF(V98="","No",IF(Config!$C$4-V98&lt;=Config!$C$15,"Sí","No")))</f>
        <v>No</v>
      </c>
      <c r="V98" s="23"/>
      <c r="W98" s="22"/>
      <c r="X98" s="22"/>
      <c r="Y98" s="22"/>
      <c r="Z98" s="27"/>
      <c r="AA98" s="22"/>
      <c r="AB98" s="22"/>
    </row>
    <row r="99" customFormat="false" ht="15" hidden="false" customHeight="false" outlineLevel="0" collapsed="false">
      <c r="A99" s="22" t="n">
        <v>98</v>
      </c>
      <c r="B99" s="22" t="s">
        <v>538</v>
      </c>
      <c r="C99" s="22" t="s">
        <v>539</v>
      </c>
      <c r="D99" s="22" t="s">
        <v>138</v>
      </c>
      <c r="E99" s="22" t="s">
        <v>139</v>
      </c>
      <c r="F99" s="22" t="s">
        <v>96</v>
      </c>
      <c r="G99" s="23" t="n">
        <v>43861</v>
      </c>
      <c r="H99" s="24" t="n">
        <f aca="false">IF(G99="","",ROUND((Config!$C$4-G99)/365.25,2))</f>
        <v>6.67</v>
      </c>
      <c r="I99" s="25" t="str">
        <f aca="false">IF(H99="","",IF(H99&lt;=1,"Tramo 1",IF(H99&lt;=3,"Tramo 2",IF(H99&lt;=5,"Tramo 3","Tramo 4"))))</f>
        <v>Tramo 4</v>
      </c>
      <c r="J99" s="22" t="s">
        <v>140</v>
      </c>
      <c r="K99" s="22"/>
      <c r="L99" s="22" t="s">
        <v>540</v>
      </c>
      <c r="M99" s="26" t="s">
        <v>541</v>
      </c>
      <c r="N99" s="22"/>
      <c r="O99" s="22" t="s">
        <v>63</v>
      </c>
      <c r="P99" s="25" t="str">
        <f aca="false">IF(OR(O99="",O99="Sin información"),"",IFERROR(INDEX(Listas!$B$2:$B$9,MATCH(O99,Listas!$A$2:$A$9,0)),""))</f>
        <v/>
      </c>
      <c r="Q99" s="25" t="str">
        <f aca="false">IF(OR(O99="",O99="Sin información"),"",IFERROR(INDEX(Listas!$C$2:$C$9,MATCH(O99,Listas!$A$2:$A$9,0)),""))</f>
        <v/>
      </c>
      <c r="R99" s="22"/>
      <c r="S99" s="22"/>
      <c r="T99" s="25" t="str">
        <f aca="false">IF(S99="","",IFERROR(INDEX(Empleadores!$B$2:$B$601,MATCH(S99,Empleadores!$A$2:$A$601,0)),"No encontrado"))</f>
        <v/>
      </c>
      <c r="U99" s="25" t="str">
        <f aca="false">IF(C99="","",IF(V99="","No",IF(Config!$C$4-V99&lt;=Config!$C$15,"Sí","No")))</f>
        <v>No</v>
      </c>
      <c r="V99" s="23"/>
      <c r="W99" s="22"/>
      <c r="X99" s="22"/>
      <c r="Y99" s="22"/>
      <c r="Z99" s="27"/>
      <c r="AA99" s="22"/>
      <c r="AB99" s="22"/>
    </row>
    <row r="100" customFormat="false" ht="15" hidden="false" customHeight="false" outlineLevel="0" collapsed="false">
      <c r="A100" s="22" t="n">
        <v>99</v>
      </c>
      <c r="B100" s="22" t="s">
        <v>542</v>
      </c>
      <c r="C100" s="22" t="s">
        <v>543</v>
      </c>
      <c r="D100" s="22" t="s">
        <v>149</v>
      </c>
      <c r="E100" s="22" t="s">
        <v>139</v>
      </c>
      <c r="F100" s="22" t="s">
        <v>96</v>
      </c>
      <c r="G100" s="23" t="n">
        <v>43861</v>
      </c>
      <c r="H100" s="24" t="n">
        <f aca="false">IF(G100="","",ROUND((Config!$C$4-G100)/365.25,2))</f>
        <v>6.67</v>
      </c>
      <c r="I100" s="25" t="str">
        <f aca="false">IF(H100="","",IF(H100&lt;=1,"Tramo 1",IF(H100&lt;=3,"Tramo 2",IF(H100&lt;=5,"Tramo 3","Tramo 4"))))</f>
        <v>Tramo 4</v>
      </c>
      <c r="J100" s="22" t="s">
        <v>140</v>
      </c>
      <c r="K100" s="22"/>
      <c r="L100" s="22" t="s">
        <v>544</v>
      </c>
      <c r="M100" s="26" t="s">
        <v>545</v>
      </c>
      <c r="N100" s="22"/>
      <c r="O100" s="22" t="s">
        <v>63</v>
      </c>
      <c r="P100" s="25" t="str">
        <f aca="false">IF(OR(O100="",O100="Sin información"),"",IFERROR(INDEX(Listas!$B$2:$B$9,MATCH(O100,Listas!$A$2:$A$9,0)),""))</f>
        <v/>
      </c>
      <c r="Q100" s="25" t="str">
        <f aca="false">IF(OR(O100="",O100="Sin información"),"",IFERROR(INDEX(Listas!$C$2:$C$9,MATCH(O100,Listas!$A$2:$A$9,0)),""))</f>
        <v/>
      </c>
      <c r="R100" s="22"/>
      <c r="S100" s="22"/>
      <c r="T100" s="25" t="str">
        <f aca="false">IF(S100="","",IFERROR(INDEX(Empleadores!$B$2:$B$601,MATCH(S100,Empleadores!$A$2:$A$601,0)),"No encontrado"))</f>
        <v/>
      </c>
      <c r="U100" s="25" t="str">
        <f aca="false">IF(C100="","",IF(V100="","No",IF(Config!$C$4-V100&lt;=Config!$C$15,"Sí","No")))</f>
        <v>No</v>
      </c>
      <c r="V100" s="23"/>
      <c r="W100" s="22"/>
      <c r="X100" s="22"/>
      <c r="Y100" s="22"/>
      <c r="Z100" s="27"/>
      <c r="AA100" s="22"/>
      <c r="AB100" s="22"/>
    </row>
    <row r="101" customFormat="false" ht="15" hidden="false" customHeight="false" outlineLevel="0" collapsed="false">
      <c r="A101" s="22" t="n">
        <v>100</v>
      </c>
      <c r="B101" s="22" t="s">
        <v>546</v>
      </c>
      <c r="C101" s="22" t="s">
        <v>547</v>
      </c>
      <c r="D101" s="22" t="s">
        <v>149</v>
      </c>
      <c r="E101" s="22" t="s">
        <v>139</v>
      </c>
      <c r="F101" s="22" t="s">
        <v>96</v>
      </c>
      <c r="G101" s="23" t="n">
        <v>43861</v>
      </c>
      <c r="H101" s="24" t="n">
        <f aca="false">IF(G101="","",ROUND((Config!$C$4-G101)/365.25,2))</f>
        <v>6.67</v>
      </c>
      <c r="I101" s="25" t="str">
        <f aca="false">IF(H101="","",IF(H101&lt;=1,"Tramo 1",IF(H101&lt;=3,"Tramo 2",IF(H101&lt;=5,"Tramo 3","Tramo 4"))))</f>
        <v>Tramo 4</v>
      </c>
      <c r="J101" s="22" t="s">
        <v>140</v>
      </c>
      <c r="K101" s="22"/>
      <c r="L101" s="22" t="s">
        <v>548</v>
      </c>
      <c r="M101" s="26" t="s">
        <v>549</v>
      </c>
      <c r="N101" s="22"/>
      <c r="O101" s="22" t="s">
        <v>63</v>
      </c>
      <c r="P101" s="25" t="str">
        <f aca="false">IF(OR(O101="",O101="Sin información"),"",IFERROR(INDEX(Listas!$B$2:$B$9,MATCH(O101,Listas!$A$2:$A$9,0)),""))</f>
        <v/>
      </c>
      <c r="Q101" s="25" t="str">
        <f aca="false">IF(OR(O101="",O101="Sin información"),"",IFERROR(INDEX(Listas!$C$2:$C$9,MATCH(O101,Listas!$A$2:$A$9,0)),""))</f>
        <v/>
      </c>
      <c r="R101" s="22"/>
      <c r="S101" s="22"/>
      <c r="T101" s="25" t="str">
        <f aca="false">IF(S101="","",IFERROR(INDEX(Empleadores!$B$2:$B$601,MATCH(S101,Empleadores!$A$2:$A$601,0)),"No encontrado"))</f>
        <v/>
      </c>
      <c r="U101" s="25" t="str">
        <f aca="false">IF(C101="","",IF(V101="","No",IF(Config!$C$4-V101&lt;=Config!$C$15,"Sí","No")))</f>
        <v>No</v>
      </c>
      <c r="V101" s="23"/>
      <c r="W101" s="22"/>
      <c r="X101" s="22"/>
      <c r="Y101" s="22"/>
      <c r="Z101" s="27"/>
      <c r="AA101" s="22"/>
      <c r="AB101" s="22"/>
    </row>
    <row r="102" customFormat="false" ht="15" hidden="false" customHeight="false" outlineLevel="0" collapsed="false">
      <c r="A102" s="22" t="n">
        <v>101</v>
      </c>
      <c r="B102" s="22" t="s">
        <v>550</v>
      </c>
      <c r="C102" s="22" t="s">
        <v>551</v>
      </c>
      <c r="D102" s="22" t="s">
        <v>138</v>
      </c>
      <c r="E102" s="22" t="s">
        <v>139</v>
      </c>
      <c r="F102" s="22" t="s">
        <v>96</v>
      </c>
      <c r="G102" s="23" t="n">
        <v>43861</v>
      </c>
      <c r="H102" s="24" t="n">
        <f aca="false">IF(G102="","",ROUND((Config!$C$4-G102)/365.25,2))</f>
        <v>6.67</v>
      </c>
      <c r="I102" s="25" t="str">
        <f aca="false">IF(H102="","",IF(H102&lt;=1,"Tramo 1",IF(H102&lt;=3,"Tramo 2",IF(H102&lt;=5,"Tramo 3","Tramo 4"))))</f>
        <v>Tramo 4</v>
      </c>
      <c r="J102" s="22" t="s">
        <v>140</v>
      </c>
      <c r="K102" s="22"/>
      <c r="L102" s="22" t="s">
        <v>552</v>
      </c>
      <c r="M102" s="26" t="s">
        <v>553</v>
      </c>
      <c r="N102" s="22"/>
      <c r="O102" s="22" t="s">
        <v>63</v>
      </c>
      <c r="P102" s="25" t="str">
        <f aca="false">IF(OR(O102="",O102="Sin información"),"",IFERROR(INDEX(Listas!$B$2:$B$9,MATCH(O102,Listas!$A$2:$A$9,0)),""))</f>
        <v/>
      </c>
      <c r="Q102" s="25" t="str">
        <f aca="false">IF(OR(O102="",O102="Sin información"),"",IFERROR(INDEX(Listas!$C$2:$C$9,MATCH(O102,Listas!$A$2:$A$9,0)),""))</f>
        <v/>
      </c>
      <c r="R102" s="22"/>
      <c r="S102" s="22"/>
      <c r="T102" s="25" t="str">
        <f aca="false">IF(S102="","",IFERROR(INDEX(Empleadores!$B$2:$B$601,MATCH(S102,Empleadores!$A$2:$A$601,0)),"No encontrado"))</f>
        <v/>
      </c>
      <c r="U102" s="25" t="str">
        <f aca="false">IF(C102="","",IF(V102="","No",IF(Config!$C$4-V102&lt;=Config!$C$15,"Sí","No")))</f>
        <v>No</v>
      </c>
      <c r="V102" s="23"/>
      <c r="W102" s="22"/>
      <c r="X102" s="22"/>
      <c r="Y102" s="22"/>
      <c r="Z102" s="27"/>
      <c r="AA102" s="22"/>
      <c r="AB102" s="22"/>
    </row>
    <row r="103" customFormat="false" ht="15" hidden="false" customHeight="false" outlineLevel="0" collapsed="false">
      <c r="A103" s="22" t="n">
        <v>102</v>
      </c>
      <c r="B103" s="22" t="s">
        <v>554</v>
      </c>
      <c r="C103" s="22" t="s">
        <v>555</v>
      </c>
      <c r="D103" s="22" t="s">
        <v>138</v>
      </c>
      <c r="E103" s="22" t="s">
        <v>139</v>
      </c>
      <c r="F103" s="22" t="s">
        <v>96</v>
      </c>
      <c r="G103" s="23" t="n">
        <v>43861</v>
      </c>
      <c r="H103" s="24" t="n">
        <f aca="false">IF(G103="","",ROUND((Config!$C$4-G103)/365.25,2))</f>
        <v>6.67</v>
      </c>
      <c r="I103" s="25" t="str">
        <f aca="false">IF(H103="","",IF(H103&lt;=1,"Tramo 1",IF(H103&lt;=3,"Tramo 2",IF(H103&lt;=5,"Tramo 3","Tramo 4"))))</f>
        <v>Tramo 4</v>
      </c>
      <c r="J103" s="22" t="s">
        <v>140</v>
      </c>
      <c r="K103" s="22"/>
      <c r="L103" s="22" t="s">
        <v>556</v>
      </c>
      <c r="M103" s="26" t="s">
        <v>557</v>
      </c>
      <c r="N103" s="22"/>
      <c r="O103" s="22" t="s">
        <v>63</v>
      </c>
      <c r="P103" s="25" t="str">
        <f aca="false">IF(OR(O103="",O103="Sin información"),"",IFERROR(INDEX(Listas!$B$2:$B$9,MATCH(O103,Listas!$A$2:$A$9,0)),""))</f>
        <v/>
      </c>
      <c r="Q103" s="25" t="str">
        <f aca="false">IF(OR(O103="",O103="Sin información"),"",IFERROR(INDEX(Listas!$C$2:$C$9,MATCH(O103,Listas!$A$2:$A$9,0)),""))</f>
        <v/>
      </c>
      <c r="R103" s="22"/>
      <c r="S103" s="22"/>
      <c r="T103" s="25" t="str">
        <f aca="false">IF(S103="","",IFERROR(INDEX(Empleadores!$B$2:$B$601,MATCH(S103,Empleadores!$A$2:$A$601,0)),"No encontrado"))</f>
        <v/>
      </c>
      <c r="U103" s="25" t="str">
        <f aca="false">IF(C103="","",IF(V103="","No",IF(Config!$C$4-V103&lt;=Config!$C$15,"Sí","No")))</f>
        <v>No</v>
      </c>
      <c r="V103" s="23"/>
      <c r="W103" s="22"/>
      <c r="X103" s="22"/>
      <c r="Y103" s="22"/>
      <c r="Z103" s="27"/>
      <c r="AA103" s="22"/>
      <c r="AB103" s="22"/>
    </row>
    <row r="104" customFormat="false" ht="15" hidden="false" customHeight="false" outlineLevel="0" collapsed="false">
      <c r="A104" s="22" t="n">
        <v>103</v>
      </c>
      <c r="B104" s="22" t="s">
        <v>558</v>
      </c>
      <c r="C104" s="22" t="s">
        <v>559</v>
      </c>
      <c r="D104" s="22" t="s">
        <v>149</v>
      </c>
      <c r="E104" s="22" t="s">
        <v>139</v>
      </c>
      <c r="F104" s="22" t="s">
        <v>96</v>
      </c>
      <c r="G104" s="23" t="n">
        <v>43861</v>
      </c>
      <c r="H104" s="24" t="n">
        <f aca="false">IF(G104="","",ROUND((Config!$C$4-G104)/365.25,2))</f>
        <v>6.67</v>
      </c>
      <c r="I104" s="25" t="str">
        <f aca="false">IF(H104="","",IF(H104&lt;=1,"Tramo 1",IF(H104&lt;=3,"Tramo 2",IF(H104&lt;=5,"Tramo 3","Tramo 4"))))</f>
        <v>Tramo 4</v>
      </c>
      <c r="J104" s="22" t="s">
        <v>140</v>
      </c>
      <c r="K104" s="22"/>
      <c r="L104" s="22" t="s">
        <v>560</v>
      </c>
      <c r="M104" s="26" t="s">
        <v>561</v>
      </c>
      <c r="N104" s="22"/>
      <c r="O104" s="22" t="s">
        <v>87</v>
      </c>
      <c r="P104" s="25" t="str">
        <f aca="false">IF(OR(O104="",O104="Sin información"),"",IFERROR(INDEX(Listas!$B$2:$B$9,MATCH(O104,Listas!$A$2:$A$9,0)),""))</f>
        <v>Sí</v>
      </c>
      <c r="Q104" s="25" t="str">
        <f aca="false">IF(OR(O104="",O104="Sin información"),"",IFERROR(INDEX(Listas!$C$2:$C$9,MATCH(O104,Listas!$A$2:$A$9,0)),""))</f>
        <v>Sí</v>
      </c>
      <c r="R104" s="22" t="s">
        <v>562</v>
      </c>
      <c r="S104" s="22" t="s">
        <v>563</v>
      </c>
      <c r="T104" s="25" t="str">
        <f aca="false">IF(S104="","",IFERROR(INDEX(Empleadores!$B$2:$B$601,MATCH(S104,Empleadores!$A$2:$A$601,0)),"No encontrado"))</f>
        <v>Universidad Andina del Cusco – EP Medicina Humana</v>
      </c>
      <c r="U104" s="25" t="str">
        <f aca="false">IF(C104="","",IF(V104="","No",IF(Config!$C$4-V104&lt;=Config!$C$15,"Sí","No")))</f>
        <v>Sí</v>
      </c>
      <c r="V104" s="23" t="n">
        <v>46244</v>
      </c>
      <c r="W104" s="22"/>
      <c r="X104" s="22"/>
      <c r="Y104" s="22" t="s">
        <v>181</v>
      </c>
      <c r="Z104" s="27"/>
      <c r="AA104" s="22"/>
      <c r="AB104" s="22" t="s">
        <v>564</v>
      </c>
    </row>
    <row r="105" customFormat="false" ht="15" hidden="false" customHeight="false" outlineLevel="0" collapsed="false">
      <c r="A105" s="22" t="n">
        <v>104</v>
      </c>
      <c r="B105" s="22" t="s">
        <v>565</v>
      </c>
      <c r="C105" s="22" t="s">
        <v>566</v>
      </c>
      <c r="D105" s="22" t="s">
        <v>138</v>
      </c>
      <c r="E105" s="22" t="s">
        <v>139</v>
      </c>
      <c r="F105" s="22" t="s">
        <v>96</v>
      </c>
      <c r="G105" s="23" t="n">
        <v>43861</v>
      </c>
      <c r="H105" s="24" t="n">
        <f aca="false">IF(G105="","",ROUND((Config!$C$4-G105)/365.25,2))</f>
        <v>6.67</v>
      </c>
      <c r="I105" s="25" t="str">
        <f aca="false">IF(H105="","",IF(H105&lt;=1,"Tramo 1",IF(H105&lt;=3,"Tramo 2",IF(H105&lt;=5,"Tramo 3","Tramo 4"))))</f>
        <v>Tramo 4</v>
      </c>
      <c r="J105" s="22" t="s">
        <v>140</v>
      </c>
      <c r="K105" s="22"/>
      <c r="L105" s="22" t="s">
        <v>567</v>
      </c>
      <c r="M105" s="26" t="s">
        <v>568</v>
      </c>
      <c r="N105" s="22"/>
      <c r="O105" s="22" t="s">
        <v>63</v>
      </c>
      <c r="P105" s="25" t="str">
        <f aca="false">IF(OR(O105="",O105="Sin información"),"",IFERROR(INDEX(Listas!$B$2:$B$9,MATCH(O105,Listas!$A$2:$A$9,0)),""))</f>
        <v/>
      </c>
      <c r="Q105" s="25" t="str">
        <f aca="false">IF(OR(O105="",O105="Sin información"),"",IFERROR(INDEX(Listas!$C$2:$C$9,MATCH(O105,Listas!$A$2:$A$9,0)),""))</f>
        <v/>
      </c>
      <c r="R105" s="22"/>
      <c r="S105" s="22"/>
      <c r="T105" s="25" t="str">
        <f aca="false">IF(S105="","",IFERROR(INDEX(Empleadores!$B$2:$B$601,MATCH(S105,Empleadores!$A$2:$A$601,0)),"No encontrado"))</f>
        <v/>
      </c>
      <c r="U105" s="25" t="str">
        <f aca="false">IF(C105="","",IF(V105="","No",IF(Config!$C$4-V105&lt;=Config!$C$15,"Sí","No")))</f>
        <v>No</v>
      </c>
      <c r="V105" s="23"/>
      <c r="W105" s="22"/>
      <c r="X105" s="22"/>
      <c r="Y105" s="22"/>
      <c r="Z105" s="27"/>
      <c r="AA105" s="22"/>
      <c r="AB105" s="22"/>
    </row>
    <row r="106" customFormat="false" ht="15" hidden="false" customHeight="false" outlineLevel="0" collapsed="false">
      <c r="A106" s="22" t="n">
        <v>105</v>
      </c>
      <c r="B106" s="22" t="s">
        <v>569</v>
      </c>
      <c r="C106" s="22" t="s">
        <v>570</v>
      </c>
      <c r="D106" s="22" t="s">
        <v>138</v>
      </c>
      <c r="E106" s="22" t="s">
        <v>139</v>
      </c>
      <c r="F106" s="22" t="s">
        <v>96</v>
      </c>
      <c r="G106" s="23" t="n">
        <v>43861</v>
      </c>
      <c r="H106" s="24" t="n">
        <f aca="false">IF(G106="","",ROUND((Config!$C$4-G106)/365.25,2))</f>
        <v>6.67</v>
      </c>
      <c r="I106" s="25" t="str">
        <f aca="false">IF(H106="","",IF(H106&lt;=1,"Tramo 1",IF(H106&lt;=3,"Tramo 2",IF(H106&lt;=5,"Tramo 3","Tramo 4"))))</f>
        <v>Tramo 4</v>
      </c>
      <c r="J106" s="22" t="s">
        <v>140</v>
      </c>
      <c r="K106" s="22"/>
      <c r="L106" s="22" t="s">
        <v>571</v>
      </c>
      <c r="M106" s="26" t="s">
        <v>572</v>
      </c>
      <c r="N106" s="22"/>
      <c r="O106" s="22" t="s">
        <v>63</v>
      </c>
      <c r="P106" s="25" t="str">
        <f aca="false">IF(OR(O106="",O106="Sin información"),"",IFERROR(INDEX(Listas!$B$2:$B$9,MATCH(O106,Listas!$A$2:$A$9,0)),""))</f>
        <v/>
      </c>
      <c r="Q106" s="25" t="str">
        <f aca="false">IF(OR(O106="",O106="Sin información"),"",IFERROR(INDEX(Listas!$C$2:$C$9,MATCH(O106,Listas!$A$2:$A$9,0)),""))</f>
        <v/>
      </c>
      <c r="R106" s="22"/>
      <c r="S106" s="22"/>
      <c r="T106" s="25" t="str">
        <f aca="false">IF(S106="","",IFERROR(INDEX(Empleadores!$B$2:$B$601,MATCH(S106,Empleadores!$A$2:$A$601,0)),"No encontrado"))</f>
        <v/>
      </c>
      <c r="U106" s="25" t="str">
        <f aca="false">IF(C106="","",IF(V106="","No",IF(Config!$C$4-V106&lt;=Config!$C$15,"Sí","No")))</f>
        <v>No</v>
      </c>
      <c r="V106" s="23"/>
      <c r="W106" s="22"/>
      <c r="X106" s="22"/>
      <c r="Y106" s="22"/>
      <c r="Z106" s="27"/>
      <c r="AA106" s="22"/>
      <c r="AB106" s="22"/>
    </row>
    <row r="107" customFormat="false" ht="15" hidden="false" customHeight="false" outlineLevel="0" collapsed="false">
      <c r="A107" s="22" t="n">
        <v>106</v>
      </c>
      <c r="B107" s="22" t="s">
        <v>573</v>
      </c>
      <c r="C107" s="22" t="s">
        <v>574</v>
      </c>
      <c r="D107" s="22" t="s">
        <v>149</v>
      </c>
      <c r="E107" s="22" t="s">
        <v>139</v>
      </c>
      <c r="F107" s="22" t="s">
        <v>96</v>
      </c>
      <c r="G107" s="23" t="n">
        <v>43861</v>
      </c>
      <c r="H107" s="24" t="n">
        <f aca="false">IF(G107="","",ROUND((Config!$C$4-G107)/365.25,2))</f>
        <v>6.67</v>
      </c>
      <c r="I107" s="25" t="str">
        <f aca="false">IF(H107="","",IF(H107&lt;=1,"Tramo 1",IF(H107&lt;=3,"Tramo 2",IF(H107&lt;=5,"Tramo 3","Tramo 4"))))</f>
        <v>Tramo 4</v>
      </c>
      <c r="J107" s="22" t="s">
        <v>140</v>
      </c>
      <c r="K107" s="22"/>
      <c r="L107" s="22" t="s">
        <v>575</v>
      </c>
      <c r="M107" s="26" t="s">
        <v>576</v>
      </c>
      <c r="N107" s="22"/>
      <c r="O107" s="22" t="s">
        <v>63</v>
      </c>
      <c r="P107" s="25" t="str">
        <f aca="false">IF(OR(O107="",O107="Sin información"),"",IFERROR(INDEX(Listas!$B$2:$B$9,MATCH(O107,Listas!$A$2:$A$9,0)),""))</f>
        <v/>
      </c>
      <c r="Q107" s="25" t="str">
        <f aca="false">IF(OR(O107="",O107="Sin información"),"",IFERROR(INDEX(Listas!$C$2:$C$9,MATCH(O107,Listas!$A$2:$A$9,0)),""))</f>
        <v/>
      </c>
      <c r="R107" s="22"/>
      <c r="S107" s="22"/>
      <c r="T107" s="25" t="str">
        <f aca="false">IF(S107="","",IFERROR(INDEX(Empleadores!$B$2:$B$601,MATCH(S107,Empleadores!$A$2:$A$601,0)),"No encontrado"))</f>
        <v/>
      </c>
      <c r="U107" s="25" t="str">
        <f aca="false">IF(C107="","",IF(V107="","No",IF(Config!$C$4-V107&lt;=Config!$C$15,"Sí","No")))</f>
        <v>No</v>
      </c>
      <c r="V107" s="23"/>
      <c r="W107" s="22"/>
      <c r="X107" s="22"/>
      <c r="Y107" s="22"/>
      <c r="Z107" s="27"/>
      <c r="AA107" s="22"/>
      <c r="AB107" s="22"/>
    </row>
    <row r="108" customFormat="false" ht="15" hidden="false" customHeight="false" outlineLevel="0" collapsed="false">
      <c r="A108" s="22" t="n">
        <v>107</v>
      </c>
      <c r="B108" s="22" t="s">
        <v>577</v>
      </c>
      <c r="C108" s="22" t="s">
        <v>578</v>
      </c>
      <c r="D108" s="22" t="s">
        <v>138</v>
      </c>
      <c r="E108" s="22" t="s">
        <v>139</v>
      </c>
      <c r="F108" s="22" t="s">
        <v>96</v>
      </c>
      <c r="G108" s="23" t="n">
        <v>43861</v>
      </c>
      <c r="H108" s="24" t="n">
        <f aca="false">IF(G108="","",ROUND((Config!$C$4-G108)/365.25,2))</f>
        <v>6.67</v>
      </c>
      <c r="I108" s="25" t="str">
        <f aca="false">IF(H108="","",IF(H108&lt;=1,"Tramo 1",IF(H108&lt;=3,"Tramo 2",IF(H108&lt;=5,"Tramo 3","Tramo 4"))))</f>
        <v>Tramo 4</v>
      </c>
      <c r="J108" s="22" t="s">
        <v>140</v>
      </c>
      <c r="K108" s="22"/>
      <c r="L108" s="22" t="s">
        <v>579</v>
      </c>
      <c r="M108" s="26" t="s">
        <v>580</v>
      </c>
      <c r="N108" s="22"/>
      <c r="O108" s="22" t="s">
        <v>63</v>
      </c>
      <c r="P108" s="25" t="str">
        <f aca="false">IF(OR(O108="",O108="Sin información"),"",IFERROR(INDEX(Listas!$B$2:$B$9,MATCH(O108,Listas!$A$2:$A$9,0)),""))</f>
        <v/>
      </c>
      <c r="Q108" s="25" t="str">
        <f aca="false">IF(OR(O108="",O108="Sin información"),"",IFERROR(INDEX(Listas!$C$2:$C$9,MATCH(O108,Listas!$A$2:$A$9,0)),""))</f>
        <v/>
      </c>
      <c r="R108" s="22"/>
      <c r="S108" s="22"/>
      <c r="T108" s="25" t="str">
        <f aca="false">IF(S108="","",IFERROR(INDEX(Empleadores!$B$2:$B$601,MATCH(S108,Empleadores!$A$2:$A$601,0)),"No encontrado"))</f>
        <v/>
      </c>
      <c r="U108" s="25" t="str">
        <f aca="false">IF(C108="","",IF(V108="","No",IF(Config!$C$4-V108&lt;=Config!$C$15,"Sí","No")))</f>
        <v>No</v>
      </c>
      <c r="V108" s="23"/>
      <c r="W108" s="22"/>
      <c r="X108" s="22"/>
      <c r="Y108" s="22"/>
      <c r="Z108" s="27"/>
      <c r="AA108" s="22"/>
      <c r="AB108" s="22"/>
    </row>
    <row r="109" customFormat="false" ht="15" hidden="false" customHeight="false" outlineLevel="0" collapsed="false">
      <c r="A109" s="22" t="n">
        <v>108</v>
      </c>
      <c r="B109" s="22" t="s">
        <v>581</v>
      </c>
      <c r="C109" s="22" t="s">
        <v>582</v>
      </c>
      <c r="D109" s="22" t="s">
        <v>149</v>
      </c>
      <c r="E109" s="22" t="s">
        <v>139</v>
      </c>
      <c r="F109" s="22" t="s">
        <v>96</v>
      </c>
      <c r="G109" s="23" t="n">
        <v>43861</v>
      </c>
      <c r="H109" s="24" t="n">
        <f aca="false">IF(G109="","",ROUND((Config!$C$4-G109)/365.25,2))</f>
        <v>6.67</v>
      </c>
      <c r="I109" s="25" t="str">
        <f aca="false">IF(H109="","",IF(H109&lt;=1,"Tramo 1",IF(H109&lt;=3,"Tramo 2",IF(H109&lt;=5,"Tramo 3","Tramo 4"))))</f>
        <v>Tramo 4</v>
      </c>
      <c r="J109" s="22" t="s">
        <v>140</v>
      </c>
      <c r="K109" s="22"/>
      <c r="L109" s="22" t="s">
        <v>583</v>
      </c>
      <c r="M109" s="26" t="s">
        <v>584</v>
      </c>
      <c r="N109" s="22"/>
      <c r="O109" s="22" t="s">
        <v>63</v>
      </c>
      <c r="P109" s="25" t="str">
        <f aca="false">IF(OR(O109="",O109="Sin información"),"",IFERROR(INDEX(Listas!$B$2:$B$9,MATCH(O109,Listas!$A$2:$A$9,0)),""))</f>
        <v/>
      </c>
      <c r="Q109" s="25" t="str">
        <f aca="false">IF(OR(O109="",O109="Sin información"),"",IFERROR(INDEX(Listas!$C$2:$C$9,MATCH(O109,Listas!$A$2:$A$9,0)),""))</f>
        <v/>
      </c>
      <c r="R109" s="22"/>
      <c r="S109" s="22"/>
      <c r="T109" s="25" t="str">
        <f aca="false">IF(S109="","",IFERROR(INDEX(Empleadores!$B$2:$B$601,MATCH(S109,Empleadores!$A$2:$A$601,0)),"No encontrado"))</f>
        <v/>
      </c>
      <c r="U109" s="25" t="str">
        <f aca="false">IF(C109="","",IF(V109="","No",IF(Config!$C$4-V109&lt;=Config!$C$15,"Sí","No")))</f>
        <v>No</v>
      </c>
      <c r="V109" s="23"/>
      <c r="W109" s="22"/>
      <c r="X109" s="22"/>
      <c r="Y109" s="22"/>
      <c r="Z109" s="27"/>
      <c r="AA109" s="22"/>
      <c r="AB109" s="22"/>
    </row>
    <row r="110" customFormat="false" ht="15" hidden="false" customHeight="false" outlineLevel="0" collapsed="false">
      <c r="A110" s="22" t="n">
        <v>109</v>
      </c>
      <c r="B110" s="22" t="s">
        <v>585</v>
      </c>
      <c r="C110" s="22" t="s">
        <v>586</v>
      </c>
      <c r="D110" s="22" t="s">
        <v>149</v>
      </c>
      <c r="E110" s="22" t="s">
        <v>139</v>
      </c>
      <c r="F110" s="22" t="s">
        <v>96</v>
      </c>
      <c r="G110" s="23" t="n">
        <v>43861</v>
      </c>
      <c r="H110" s="24" t="n">
        <f aca="false">IF(G110="","",ROUND((Config!$C$4-G110)/365.25,2))</f>
        <v>6.67</v>
      </c>
      <c r="I110" s="25" t="str">
        <f aca="false">IF(H110="","",IF(H110&lt;=1,"Tramo 1",IF(H110&lt;=3,"Tramo 2",IF(H110&lt;=5,"Tramo 3","Tramo 4"))))</f>
        <v>Tramo 4</v>
      </c>
      <c r="J110" s="22" t="s">
        <v>140</v>
      </c>
      <c r="K110" s="22"/>
      <c r="L110" s="22" t="s">
        <v>587</v>
      </c>
      <c r="M110" s="26" t="s">
        <v>588</v>
      </c>
      <c r="N110" s="22"/>
      <c r="O110" s="22" t="s">
        <v>63</v>
      </c>
      <c r="P110" s="25" t="str">
        <f aca="false">IF(OR(O110="",O110="Sin información"),"",IFERROR(INDEX(Listas!$B$2:$B$9,MATCH(O110,Listas!$A$2:$A$9,0)),""))</f>
        <v/>
      </c>
      <c r="Q110" s="25" t="str">
        <f aca="false">IF(OR(O110="",O110="Sin información"),"",IFERROR(INDEX(Listas!$C$2:$C$9,MATCH(O110,Listas!$A$2:$A$9,0)),""))</f>
        <v/>
      </c>
      <c r="R110" s="22"/>
      <c r="S110" s="22"/>
      <c r="T110" s="25" t="str">
        <f aca="false">IF(S110="","",IFERROR(INDEX(Empleadores!$B$2:$B$601,MATCH(S110,Empleadores!$A$2:$A$601,0)),"No encontrado"))</f>
        <v/>
      </c>
      <c r="U110" s="25" t="str">
        <f aca="false">IF(C110="","",IF(V110="","No",IF(Config!$C$4-V110&lt;=Config!$C$15,"Sí","No")))</f>
        <v>No</v>
      </c>
      <c r="V110" s="23"/>
      <c r="W110" s="22"/>
      <c r="X110" s="22"/>
      <c r="Y110" s="22"/>
      <c r="Z110" s="27"/>
      <c r="AA110" s="22"/>
      <c r="AB110" s="22"/>
    </row>
    <row r="111" customFormat="false" ht="15" hidden="false" customHeight="false" outlineLevel="0" collapsed="false">
      <c r="A111" s="22" t="n">
        <v>110</v>
      </c>
      <c r="B111" s="22" t="s">
        <v>589</v>
      </c>
      <c r="C111" s="22" t="s">
        <v>590</v>
      </c>
      <c r="D111" s="22" t="s">
        <v>149</v>
      </c>
      <c r="E111" s="22" t="s">
        <v>139</v>
      </c>
      <c r="F111" s="22" t="s">
        <v>96</v>
      </c>
      <c r="G111" s="23" t="n">
        <v>43861</v>
      </c>
      <c r="H111" s="24" t="n">
        <f aca="false">IF(G111="","",ROUND((Config!$C$4-G111)/365.25,2))</f>
        <v>6.67</v>
      </c>
      <c r="I111" s="25" t="str">
        <f aca="false">IF(H111="","",IF(H111&lt;=1,"Tramo 1",IF(H111&lt;=3,"Tramo 2",IF(H111&lt;=5,"Tramo 3","Tramo 4"))))</f>
        <v>Tramo 4</v>
      </c>
      <c r="J111" s="22" t="s">
        <v>140</v>
      </c>
      <c r="K111" s="22"/>
      <c r="L111" s="22" t="s">
        <v>591</v>
      </c>
      <c r="M111" s="26" t="s">
        <v>592</v>
      </c>
      <c r="N111" s="22"/>
      <c r="O111" s="22" t="s">
        <v>63</v>
      </c>
      <c r="P111" s="25" t="str">
        <f aca="false">IF(OR(O111="",O111="Sin información"),"",IFERROR(INDEX(Listas!$B$2:$B$9,MATCH(O111,Listas!$A$2:$A$9,0)),""))</f>
        <v/>
      </c>
      <c r="Q111" s="25" t="str">
        <f aca="false">IF(OR(O111="",O111="Sin información"),"",IFERROR(INDEX(Listas!$C$2:$C$9,MATCH(O111,Listas!$A$2:$A$9,0)),""))</f>
        <v/>
      </c>
      <c r="R111" s="22"/>
      <c r="S111" s="22"/>
      <c r="T111" s="25" t="str">
        <f aca="false">IF(S111="","",IFERROR(INDEX(Empleadores!$B$2:$B$601,MATCH(S111,Empleadores!$A$2:$A$601,0)),"No encontrado"))</f>
        <v/>
      </c>
      <c r="U111" s="25" t="str">
        <f aca="false">IF(C111="","",IF(V111="","No",IF(Config!$C$4-V111&lt;=Config!$C$15,"Sí","No")))</f>
        <v>No</v>
      </c>
      <c r="V111" s="23"/>
      <c r="W111" s="22"/>
      <c r="X111" s="22"/>
      <c r="Y111" s="22"/>
      <c r="Z111" s="27"/>
      <c r="AA111" s="22"/>
      <c r="AB111" s="22"/>
    </row>
    <row r="112" customFormat="false" ht="15" hidden="false" customHeight="false" outlineLevel="0" collapsed="false">
      <c r="A112" s="22" t="n">
        <v>111</v>
      </c>
      <c r="B112" s="22" t="s">
        <v>593</v>
      </c>
      <c r="C112" s="22" t="s">
        <v>594</v>
      </c>
      <c r="D112" s="22" t="s">
        <v>138</v>
      </c>
      <c r="E112" s="22" t="s">
        <v>139</v>
      </c>
      <c r="F112" s="22" t="s">
        <v>96</v>
      </c>
      <c r="G112" s="23" t="n">
        <v>43861</v>
      </c>
      <c r="H112" s="24" t="n">
        <f aca="false">IF(G112="","",ROUND((Config!$C$4-G112)/365.25,2))</f>
        <v>6.67</v>
      </c>
      <c r="I112" s="25" t="str">
        <f aca="false">IF(H112="","",IF(H112&lt;=1,"Tramo 1",IF(H112&lt;=3,"Tramo 2",IF(H112&lt;=5,"Tramo 3","Tramo 4"))))</f>
        <v>Tramo 4</v>
      </c>
      <c r="J112" s="22" t="s">
        <v>140</v>
      </c>
      <c r="K112" s="22"/>
      <c r="L112" s="22" t="s">
        <v>595</v>
      </c>
      <c r="M112" s="26" t="s">
        <v>596</v>
      </c>
      <c r="N112" s="22"/>
      <c r="O112" s="22" t="s">
        <v>63</v>
      </c>
      <c r="P112" s="25" t="str">
        <f aca="false">IF(OR(O112="",O112="Sin información"),"",IFERROR(INDEX(Listas!$B$2:$B$9,MATCH(O112,Listas!$A$2:$A$9,0)),""))</f>
        <v/>
      </c>
      <c r="Q112" s="25" t="str">
        <f aca="false">IF(OR(O112="",O112="Sin información"),"",IFERROR(INDEX(Listas!$C$2:$C$9,MATCH(O112,Listas!$A$2:$A$9,0)),""))</f>
        <v/>
      </c>
      <c r="R112" s="22"/>
      <c r="S112" s="22"/>
      <c r="T112" s="25" t="str">
        <f aca="false">IF(S112="","",IFERROR(INDEX(Empleadores!$B$2:$B$601,MATCH(S112,Empleadores!$A$2:$A$601,0)),"No encontrado"))</f>
        <v/>
      </c>
      <c r="U112" s="25" t="str">
        <f aca="false">IF(C112="","",IF(V112="","No",IF(Config!$C$4-V112&lt;=Config!$C$15,"Sí","No")))</f>
        <v>No</v>
      </c>
      <c r="V112" s="23"/>
      <c r="W112" s="22"/>
      <c r="X112" s="22"/>
      <c r="Y112" s="22"/>
      <c r="Z112" s="27"/>
      <c r="AA112" s="22"/>
      <c r="AB112" s="22"/>
    </row>
    <row r="113" customFormat="false" ht="15" hidden="false" customHeight="false" outlineLevel="0" collapsed="false">
      <c r="A113" s="22" t="n">
        <v>112</v>
      </c>
      <c r="B113" s="22" t="s">
        <v>597</v>
      </c>
      <c r="C113" s="22" t="s">
        <v>598</v>
      </c>
      <c r="D113" s="22" t="s">
        <v>149</v>
      </c>
      <c r="E113" s="22" t="s">
        <v>139</v>
      </c>
      <c r="F113" s="22" t="s">
        <v>96</v>
      </c>
      <c r="G113" s="23" t="n">
        <v>43861</v>
      </c>
      <c r="H113" s="24" t="n">
        <f aca="false">IF(G113="","",ROUND((Config!$C$4-G113)/365.25,2))</f>
        <v>6.67</v>
      </c>
      <c r="I113" s="25" t="str">
        <f aca="false">IF(H113="","",IF(H113&lt;=1,"Tramo 1",IF(H113&lt;=3,"Tramo 2",IF(H113&lt;=5,"Tramo 3","Tramo 4"))))</f>
        <v>Tramo 4</v>
      </c>
      <c r="J113" s="22" t="s">
        <v>140</v>
      </c>
      <c r="K113" s="22"/>
      <c r="L113" s="22" t="s">
        <v>599</v>
      </c>
      <c r="M113" s="26" t="s">
        <v>600</v>
      </c>
      <c r="N113" s="22"/>
      <c r="O113" s="22" t="s">
        <v>85</v>
      </c>
      <c r="P113" s="25" t="str">
        <f aca="false">IF(OR(O113="",O113="Sin información"),"",IFERROR(INDEX(Listas!$B$2:$B$9,MATCH(O113,Listas!$A$2:$A$9,0)),""))</f>
        <v>Sí</v>
      </c>
      <c r="Q113" s="25" t="str">
        <f aca="false">IF(OR(O113="",O113="Sin información"),"",IFERROR(INDEX(Listas!$C$2:$C$9,MATCH(O113,Listas!$A$2:$A$9,0)),""))</f>
        <v>Sí</v>
      </c>
      <c r="R113" s="22"/>
      <c r="S113" s="22"/>
      <c r="T113" s="25" t="str">
        <f aca="false">IF(S113="","",IFERROR(INDEX(Empleadores!$B$2:$B$601,MATCH(S113,Empleadores!$A$2:$A$601,0)),"No encontrado"))</f>
        <v/>
      </c>
      <c r="U113" s="25" t="str">
        <f aca="false">IF(C113="","",IF(V113="","No",IF(Config!$C$4-V113&lt;=Config!$C$15,"Sí","No")))</f>
        <v>Sí</v>
      </c>
      <c r="V113" s="23" t="n">
        <v>45974</v>
      </c>
      <c r="W113" s="22"/>
      <c r="X113" s="22"/>
      <c r="Y113" s="22" t="s">
        <v>181</v>
      </c>
      <c r="Z113" s="27" t="s">
        <v>601</v>
      </c>
      <c r="AA113" s="22"/>
      <c r="AB113" s="22" t="s">
        <v>183</v>
      </c>
    </row>
    <row r="114" customFormat="false" ht="15" hidden="false" customHeight="false" outlineLevel="0" collapsed="false">
      <c r="A114" s="22" t="n">
        <v>113</v>
      </c>
      <c r="B114" s="22" t="s">
        <v>602</v>
      </c>
      <c r="C114" s="22" t="s">
        <v>603</v>
      </c>
      <c r="D114" s="22" t="s">
        <v>138</v>
      </c>
      <c r="E114" s="22" t="s">
        <v>139</v>
      </c>
      <c r="F114" s="22" t="s">
        <v>96</v>
      </c>
      <c r="G114" s="23" t="n">
        <v>43861</v>
      </c>
      <c r="H114" s="24" t="n">
        <f aca="false">IF(G114="","",ROUND((Config!$C$4-G114)/365.25,2))</f>
        <v>6.67</v>
      </c>
      <c r="I114" s="25" t="str">
        <f aca="false">IF(H114="","",IF(H114&lt;=1,"Tramo 1",IF(H114&lt;=3,"Tramo 2",IF(H114&lt;=5,"Tramo 3","Tramo 4"))))</f>
        <v>Tramo 4</v>
      </c>
      <c r="J114" s="22" t="s">
        <v>140</v>
      </c>
      <c r="K114" s="22"/>
      <c r="L114" s="22" t="s">
        <v>604</v>
      </c>
      <c r="M114" s="26" t="s">
        <v>605</v>
      </c>
      <c r="N114" s="22"/>
      <c r="O114" s="22" t="s">
        <v>63</v>
      </c>
      <c r="P114" s="25" t="str">
        <f aca="false">IF(OR(O114="",O114="Sin información"),"",IFERROR(INDEX(Listas!$B$2:$B$9,MATCH(O114,Listas!$A$2:$A$9,0)),""))</f>
        <v/>
      </c>
      <c r="Q114" s="25" t="str">
        <f aca="false">IF(OR(O114="",O114="Sin información"),"",IFERROR(INDEX(Listas!$C$2:$C$9,MATCH(O114,Listas!$A$2:$A$9,0)),""))</f>
        <v/>
      </c>
      <c r="R114" s="22"/>
      <c r="S114" s="22"/>
      <c r="T114" s="25" t="str">
        <f aca="false">IF(S114="","",IFERROR(INDEX(Empleadores!$B$2:$B$601,MATCH(S114,Empleadores!$A$2:$A$601,0)),"No encontrado"))</f>
        <v/>
      </c>
      <c r="U114" s="25" t="str">
        <f aca="false">IF(C114="","",IF(V114="","No",IF(Config!$C$4-V114&lt;=Config!$C$15,"Sí","No")))</f>
        <v>No</v>
      </c>
      <c r="V114" s="23"/>
      <c r="W114" s="22"/>
      <c r="X114" s="22"/>
      <c r="Y114" s="22"/>
      <c r="Z114" s="27"/>
      <c r="AA114" s="22"/>
      <c r="AB114" s="22"/>
    </row>
    <row r="115" customFormat="false" ht="15" hidden="false" customHeight="false" outlineLevel="0" collapsed="false">
      <c r="A115" s="22" t="n">
        <v>114</v>
      </c>
      <c r="B115" s="22" t="s">
        <v>606</v>
      </c>
      <c r="C115" s="22" t="s">
        <v>607</v>
      </c>
      <c r="D115" s="22" t="s">
        <v>138</v>
      </c>
      <c r="E115" s="22" t="s">
        <v>139</v>
      </c>
      <c r="F115" s="22" t="s">
        <v>96</v>
      </c>
      <c r="G115" s="23" t="n">
        <v>43861</v>
      </c>
      <c r="H115" s="24" t="n">
        <f aca="false">IF(G115="","",ROUND((Config!$C$4-G115)/365.25,2))</f>
        <v>6.67</v>
      </c>
      <c r="I115" s="25" t="str">
        <f aca="false">IF(H115="","",IF(H115&lt;=1,"Tramo 1",IF(H115&lt;=3,"Tramo 2",IF(H115&lt;=5,"Tramo 3","Tramo 4"))))</f>
        <v>Tramo 4</v>
      </c>
      <c r="J115" s="22" t="s">
        <v>140</v>
      </c>
      <c r="K115" s="22"/>
      <c r="L115" s="22" t="s">
        <v>608</v>
      </c>
      <c r="M115" s="26" t="s">
        <v>609</v>
      </c>
      <c r="N115" s="22"/>
      <c r="O115" s="22" t="s">
        <v>63</v>
      </c>
      <c r="P115" s="25" t="str">
        <f aca="false">IF(OR(O115="",O115="Sin información"),"",IFERROR(INDEX(Listas!$B$2:$B$9,MATCH(O115,Listas!$A$2:$A$9,0)),""))</f>
        <v/>
      </c>
      <c r="Q115" s="25" t="str">
        <f aca="false">IF(OR(O115="",O115="Sin información"),"",IFERROR(INDEX(Listas!$C$2:$C$9,MATCH(O115,Listas!$A$2:$A$9,0)),""))</f>
        <v/>
      </c>
      <c r="R115" s="22"/>
      <c r="S115" s="22"/>
      <c r="T115" s="25" t="str">
        <f aca="false">IF(S115="","",IFERROR(INDEX(Empleadores!$B$2:$B$601,MATCH(S115,Empleadores!$A$2:$A$601,0)),"No encontrado"))</f>
        <v/>
      </c>
      <c r="U115" s="25" t="str">
        <f aca="false">IF(C115="","",IF(V115="","No",IF(Config!$C$4-V115&lt;=Config!$C$15,"Sí","No")))</f>
        <v>No</v>
      </c>
      <c r="V115" s="23"/>
      <c r="W115" s="22"/>
      <c r="X115" s="22"/>
      <c r="Y115" s="22"/>
      <c r="Z115" s="27"/>
      <c r="AA115" s="22"/>
      <c r="AB115" s="22"/>
    </row>
    <row r="116" customFormat="false" ht="15" hidden="false" customHeight="false" outlineLevel="0" collapsed="false">
      <c r="A116" s="22" t="n">
        <v>115</v>
      </c>
      <c r="B116" s="22" t="s">
        <v>610</v>
      </c>
      <c r="C116" s="22" t="s">
        <v>611</v>
      </c>
      <c r="D116" s="22" t="s">
        <v>149</v>
      </c>
      <c r="E116" s="22" t="s">
        <v>139</v>
      </c>
      <c r="F116" s="22" t="s">
        <v>96</v>
      </c>
      <c r="G116" s="23" t="n">
        <v>43861</v>
      </c>
      <c r="H116" s="24" t="n">
        <f aca="false">IF(G116="","",ROUND((Config!$C$4-G116)/365.25,2))</f>
        <v>6.67</v>
      </c>
      <c r="I116" s="25" t="str">
        <f aca="false">IF(H116="","",IF(H116&lt;=1,"Tramo 1",IF(H116&lt;=3,"Tramo 2",IF(H116&lt;=5,"Tramo 3","Tramo 4"))))</f>
        <v>Tramo 4</v>
      </c>
      <c r="J116" s="22" t="s">
        <v>140</v>
      </c>
      <c r="K116" s="22"/>
      <c r="L116" s="22" t="s">
        <v>612</v>
      </c>
      <c r="M116" s="26" t="s">
        <v>613</v>
      </c>
      <c r="N116" s="22"/>
      <c r="O116" s="22" t="s">
        <v>63</v>
      </c>
      <c r="P116" s="25" t="str">
        <f aca="false">IF(OR(O116="",O116="Sin información"),"",IFERROR(INDEX(Listas!$B$2:$B$9,MATCH(O116,Listas!$A$2:$A$9,0)),""))</f>
        <v/>
      </c>
      <c r="Q116" s="25" t="str">
        <f aca="false">IF(OR(O116="",O116="Sin información"),"",IFERROR(INDEX(Listas!$C$2:$C$9,MATCH(O116,Listas!$A$2:$A$9,0)),""))</f>
        <v/>
      </c>
      <c r="R116" s="22"/>
      <c r="S116" s="22"/>
      <c r="T116" s="25" t="str">
        <f aca="false">IF(S116="","",IFERROR(INDEX(Empleadores!$B$2:$B$601,MATCH(S116,Empleadores!$A$2:$A$601,0)),"No encontrado"))</f>
        <v/>
      </c>
      <c r="U116" s="25" t="str">
        <f aca="false">IF(C116="","",IF(V116="","No",IF(Config!$C$4-V116&lt;=Config!$C$15,"Sí","No")))</f>
        <v>No</v>
      </c>
      <c r="V116" s="23"/>
      <c r="W116" s="22"/>
      <c r="X116" s="22"/>
      <c r="Y116" s="22"/>
      <c r="Z116" s="27"/>
      <c r="AA116" s="22"/>
      <c r="AB116" s="22"/>
    </row>
    <row r="117" customFormat="false" ht="15" hidden="false" customHeight="false" outlineLevel="0" collapsed="false">
      <c r="A117" s="22" t="n">
        <v>116</v>
      </c>
      <c r="B117" s="22" t="s">
        <v>614</v>
      </c>
      <c r="C117" s="22" t="s">
        <v>615</v>
      </c>
      <c r="D117" s="22" t="s">
        <v>138</v>
      </c>
      <c r="E117" s="22" t="s">
        <v>139</v>
      </c>
      <c r="F117" s="22" t="s">
        <v>96</v>
      </c>
      <c r="G117" s="23" t="n">
        <v>43861</v>
      </c>
      <c r="H117" s="24" t="n">
        <f aca="false">IF(G117="","",ROUND((Config!$C$4-G117)/365.25,2))</f>
        <v>6.67</v>
      </c>
      <c r="I117" s="25" t="str">
        <f aca="false">IF(H117="","",IF(H117&lt;=1,"Tramo 1",IF(H117&lt;=3,"Tramo 2",IF(H117&lt;=5,"Tramo 3","Tramo 4"))))</f>
        <v>Tramo 4</v>
      </c>
      <c r="J117" s="22" t="s">
        <v>140</v>
      </c>
      <c r="K117" s="22"/>
      <c r="L117" s="22" t="s">
        <v>616</v>
      </c>
      <c r="M117" s="26" t="s">
        <v>617</v>
      </c>
      <c r="N117" s="22"/>
      <c r="O117" s="22" t="s">
        <v>63</v>
      </c>
      <c r="P117" s="25" t="str">
        <f aca="false">IF(OR(O117="",O117="Sin información"),"",IFERROR(INDEX(Listas!$B$2:$B$9,MATCH(O117,Listas!$A$2:$A$9,0)),""))</f>
        <v/>
      </c>
      <c r="Q117" s="25" t="str">
        <f aca="false">IF(OR(O117="",O117="Sin información"),"",IFERROR(INDEX(Listas!$C$2:$C$9,MATCH(O117,Listas!$A$2:$A$9,0)),""))</f>
        <v/>
      </c>
      <c r="R117" s="22"/>
      <c r="S117" s="22"/>
      <c r="T117" s="25" t="str">
        <f aca="false">IF(S117="","",IFERROR(INDEX(Empleadores!$B$2:$B$601,MATCH(S117,Empleadores!$A$2:$A$601,0)),"No encontrado"))</f>
        <v/>
      </c>
      <c r="U117" s="25" t="str">
        <f aca="false">IF(C117="","",IF(V117="","No",IF(Config!$C$4-V117&lt;=Config!$C$15,"Sí","No")))</f>
        <v>No</v>
      </c>
      <c r="V117" s="23"/>
      <c r="W117" s="22"/>
      <c r="X117" s="22"/>
      <c r="Y117" s="22"/>
      <c r="Z117" s="27"/>
      <c r="AA117" s="22"/>
      <c r="AB117" s="22"/>
    </row>
    <row r="118" customFormat="false" ht="15" hidden="false" customHeight="false" outlineLevel="0" collapsed="false">
      <c r="A118" s="22" t="n">
        <v>117</v>
      </c>
      <c r="B118" s="22" t="s">
        <v>618</v>
      </c>
      <c r="C118" s="22" t="s">
        <v>619</v>
      </c>
      <c r="D118" s="22" t="s">
        <v>138</v>
      </c>
      <c r="E118" s="22" t="s">
        <v>139</v>
      </c>
      <c r="F118" s="22" t="s">
        <v>96</v>
      </c>
      <c r="G118" s="23" t="n">
        <v>43861</v>
      </c>
      <c r="H118" s="24" t="n">
        <f aca="false">IF(G118="","",ROUND((Config!$C$4-G118)/365.25,2))</f>
        <v>6.67</v>
      </c>
      <c r="I118" s="25" t="str">
        <f aca="false">IF(H118="","",IF(H118&lt;=1,"Tramo 1",IF(H118&lt;=3,"Tramo 2",IF(H118&lt;=5,"Tramo 3","Tramo 4"))))</f>
        <v>Tramo 4</v>
      </c>
      <c r="J118" s="22" t="s">
        <v>140</v>
      </c>
      <c r="K118" s="22"/>
      <c r="L118" s="22" t="s">
        <v>620</v>
      </c>
      <c r="M118" s="26" t="s">
        <v>621</v>
      </c>
      <c r="N118" s="22"/>
      <c r="O118" s="22" t="s">
        <v>63</v>
      </c>
      <c r="P118" s="25" t="str">
        <f aca="false">IF(OR(O118="",O118="Sin información"),"",IFERROR(INDEX(Listas!$B$2:$B$9,MATCH(O118,Listas!$A$2:$A$9,0)),""))</f>
        <v/>
      </c>
      <c r="Q118" s="25" t="str">
        <f aca="false">IF(OR(O118="",O118="Sin información"),"",IFERROR(INDEX(Listas!$C$2:$C$9,MATCH(O118,Listas!$A$2:$A$9,0)),""))</f>
        <v/>
      </c>
      <c r="R118" s="22"/>
      <c r="S118" s="22"/>
      <c r="T118" s="25" t="str">
        <f aca="false">IF(S118="","",IFERROR(INDEX(Empleadores!$B$2:$B$601,MATCH(S118,Empleadores!$A$2:$A$601,0)),"No encontrado"))</f>
        <v/>
      </c>
      <c r="U118" s="25" t="str">
        <f aca="false">IF(C118="","",IF(V118="","No",IF(Config!$C$4-V118&lt;=Config!$C$15,"Sí","No")))</f>
        <v>No</v>
      </c>
      <c r="V118" s="23"/>
      <c r="W118" s="22"/>
      <c r="X118" s="22"/>
      <c r="Y118" s="22"/>
      <c r="Z118" s="27"/>
      <c r="AA118" s="22"/>
      <c r="AB118" s="22"/>
    </row>
    <row r="119" customFormat="false" ht="15" hidden="false" customHeight="false" outlineLevel="0" collapsed="false">
      <c r="A119" s="22" t="n">
        <v>118</v>
      </c>
      <c r="B119" s="22" t="s">
        <v>622</v>
      </c>
      <c r="C119" s="22" t="s">
        <v>623</v>
      </c>
      <c r="D119" s="22" t="s">
        <v>138</v>
      </c>
      <c r="E119" s="22" t="s">
        <v>139</v>
      </c>
      <c r="F119" s="22" t="s">
        <v>96</v>
      </c>
      <c r="G119" s="23" t="n">
        <v>43861</v>
      </c>
      <c r="H119" s="24" t="n">
        <f aca="false">IF(G119="","",ROUND((Config!$C$4-G119)/365.25,2))</f>
        <v>6.67</v>
      </c>
      <c r="I119" s="25" t="str">
        <f aca="false">IF(H119="","",IF(H119&lt;=1,"Tramo 1",IF(H119&lt;=3,"Tramo 2",IF(H119&lt;=5,"Tramo 3","Tramo 4"))))</f>
        <v>Tramo 4</v>
      </c>
      <c r="J119" s="22" t="s">
        <v>140</v>
      </c>
      <c r="K119" s="22"/>
      <c r="L119" s="22" t="s">
        <v>624</v>
      </c>
      <c r="M119" s="26" t="s">
        <v>625</v>
      </c>
      <c r="N119" s="22"/>
      <c r="O119" s="22" t="s">
        <v>63</v>
      </c>
      <c r="P119" s="25" t="str">
        <f aca="false">IF(OR(O119="",O119="Sin información"),"",IFERROR(INDEX(Listas!$B$2:$B$9,MATCH(O119,Listas!$A$2:$A$9,0)),""))</f>
        <v/>
      </c>
      <c r="Q119" s="25" t="str">
        <f aca="false">IF(OR(O119="",O119="Sin información"),"",IFERROR(INDEX(Listas!$C$2:$C$9,MATCH(O119,Listas!$A$2:$A$9,0)),""))</f>
        <v/>
      </c>
      <c r="R119" s="22"/>
      <c r="S119" s="22"/>
      <c r="T119" s="25" t="str">
        <f aca="false">IF(S119="","",IFERROR(INDEX(Empleadores!$B$2:$B$601,MATCH(S119,Empleadores!$A$2:$A$601,0)),"No encontrado"))</f>
        <v/>
      </c>
      <c r="U119" s="25" t="str">
        <f aca="false">IF(C119="","",IF(V119="","No",IF(Config!$C$4-V119&lt;=Config!$C$15,"Sí","No")))</f>
        <v>No</v>
      </c>
      <c r="V119" s="23"/>
      <c r="W119" s="22"/>
      <c r="X119" s="22"/>
      <c r="Y119" s="22"/>
      <c r="Z119" s="27"/>
      <c r="AA119" s="22"/>
      <c r="AB119" s="22"/>
    </row>
    <row r="120" customFormat="false" ht="15" hidden="false" customHeight="false" outlineLevel="0" collapsed="false">
      <c r="A120" s="22" t="n">
        <v>119</v>
      </c>
      <c r="B120" s="22" t="s">
        <v>626</v>
      </c>
      <c r="C120" s="22" t="s">
        <v>627</v>
      </c>
      <c r="D120" s="22" t="s">
        <v>149</v>
      </c>
      <c r="E120" s="22" t="s">
        <v>139</v>
      </c>
      <c r="F120" s="22" t="s">
        <v>96</v>
      </c>
      <c r="G120" s="23" t="n">
        <v>43861</v>
      </c>
      <c r="H120" s="24" t="n">
        <f aca="false">IF(G120="","",ROUND((Config!$C$4-G120)/365.25,2))</f>
        <v>6.67</v>
      </c>
      <c r="I120" s="25" t="str">
        <f aca="false">IF(H120="","",IF(H120&lt;=1,"Tramo 1",IF(H120&lt;=3,"Tramo 2",IF(H120&lt;=5,"Tramo 3","Tramo 4"))))</f>
        <v>Tramo 4</v>
      </c>
      <c r="J120" s="22" t="s">
        <v>140</v>
      </c>
      <c r="K120" s="22"/>
      <c r="L120" s="22" t="s">
        <v>628</v>
      </c>
      <c r="M120" s="26" t="s">
        <v>629</v>
      </c>
      <c r="N120" s="22"/>
      <c r="O120" s="22" t="s">
        <v>63</v>
      </c>
      <c r="P120" s="25" t="str">
        <f aca="false">IF(OR(O120="",O120="Sin información"),"",IFERROR(INDEX(Listas!$B$2:$B$9,MATCH(O120,Listas!$A$2:$A$9,0)),""))</f>
        <v/>
      </c>
      <c r="Q120" s="25" t="str">
        <f aca="false">IF(OR(O120="",O120="Sin información"),"",IFERROR(INDEX(Listas!$C$2:$C$9,MATCH(O120,Listas!$A$2:$A$9,0)),""))</f>
        <v/>
      </c>
      <c r="R120" s="22"/>
      <c r="S120" s="22"/>
      <c r="T120" s="25" t="str">
        <f aca="false">IF(S120="","",IFERROR(INDEX(Empleadores!$B$2:$B$601,MATCH(S120,Empleadores!$A$2:$A$601,0)),"No encontrado"))</f>
        <v/>
      </c>
      <c r="U120" s="25" t="str">
        <f aca="false">IF(C120="","",IF(V120="","No",IF(Config!$C$4-V120&lt;=Config!$C$15,"Sí","No")))</f>
        <v>No</v>
      </c>
      <c r="V120" s="23"/>
      <c r="W120" s="22"/>
      <c r="X120" s="22"/>
      <c r="Y120" s="22"/>
      <c r="Z120" s="27"/>
      <c r="AA120" s="22"/>
      <c r="AB120" s="22"/>
    </row>
    <row r="121" customFormat="false" ht="15" hidden="false" customHeight="false" outlineLevel="0" collapsed="false">
      <c r="A121" s="22" t="n">
        <v>120</v>
      </c>
      <c r="B121" s="22" t="s">
        <v>630</v>
      </c>
      <c r="C121" s="22" t="s">
        <v>631</v>
      </c>
      <c r="D121" s="22" t="s">
        <v>138</v>
      </c>
      <c r="E121" s="22" t="s">
        <v>139</v>
      </c>
      <c r="F121" s="22" t="s">
        <v>96</v>
      </c>
      <c r="G121" s="23" t="n">
        <v>43861</v>
      </c>
      <c r="H121" s="24" t="n">
        <f aca="false">IF(G121="","",ROUND((Config!$C$4-G121)/365.25,2))</f>
        <v>6.67</v>
      </c>
      <c r="I121" s="25" t="str">
        <f aca="false">IF(H121="","",IF(H121&lt;=1,"Tramo 1",IF(H121&lt;=3,"Tramo 2",IF(H121&lt;=5,"Tramo 3","Tramo 4"))))</f>
        <v>Tramo 4</v>
      </c>
      <c r="J121" s="22" t="s">
        <v>140</v>
      </c>
      <c r="K121" s="22"/>
      <c r="L121" s="22" t="s">
        <v>632</v>
      </c>
      <c r="M121" s="26" t="s">
        <v>633</v>
      </c>
      <c r="N121" s="22"/>
      <c r="O121" s="22" t="s">
        <v>63</v>
      </c>
      <c r="P121" s="25" t="str">
        <f aca="false">IF(OR(O121="",O121="Sin información"),"",IFERROR(INDEX(Listas!$B$2:$B$9,MATCH(O121,Listas!$A$2:$A$9,0)),""))</f>
        <v/>
      </c>
      <c r="Q121" s="25" t="str">
        <f aca="false">IF(OR(O121="",O121="Sin información"),"",IFERROR(INDEX(Listas!$C$2:$C$9,MATCH(O121,Listas!$A$2:$A$9,0)),""))</f>
        <v/>
      </c>
      <c r="R121" s="22"/>
      <c r="S121" s="22"/>
      <c r="T121" s="25" t="str">
        <f aca="false">IF(S121="","",IFERROR(INDEX(Empleadores!$B$2:$B$601,MATCH(S121,Empleadores!$A$2:$A$601,0)),"No encontrado"))</f>
        <v/>
      </c>
      <c r="U121" s="25" t="str">
        <f aca="false">IF(C121="","",IF(V121="","No",IF(Config!$C$4-V121&lt;=Config!$C$15,"Sí","No")))</f>
        <v>No</v>
      </c>
      <c r="V121" s="23"/>
      <c r="W121" s="22"/>
      <c r="X121" s="22"/>
      <c r="Y121" s="22"/>
      <c r="Z121" s="27"/>
      <c r="AA121" s="22"/>
      <c r="AB121" s="22"/>
    </row>
    <row r="122" customFormat="false" ht="15" hidden="false" customHeight="false" outlineLevel="0" collapsed="false">
      <c r="A122" s="22" t="n">
        <v>121</v>
      </c>
      <c r="B122" s="22" t="s">
        <v>634</v>
      </c>
      <c r="C122" s="22" t="s">
        <v>635</v>
      </c>
      <c r="D122" s="22" t="s">
        <v>138</v>
      </c>
      <c r="E122" s="22" t="s">
        <v>139</v>
      </c>
      <c r="F122" s="22" t="s">
        <v>96</v>
      </c>
      <c r="G122" s="23" t="n">
        <v>43861</v>
      </c>
      <c r="H122" s="24" t="n">
        <f aca="false">IF(G122="","",ROUND((Config!$C$4-G122)/365.25,2))</f>
        <v>6.67</v>
      </c>
      <c r="I122" s="25" t="str">
        <f aca="false">IF(H122="","",IF(H122&lt;=1,"Tramo 1",IF(H122&lt;=3,"Tramo 2",IF(H122&lt;=5,"Tramo 3","Tramo 4"))))</f>
        <v>Tramo 4</v>
      </c>
      <c r="J122" s="22" t="s">
        <v>140</v>
      </c>
      <c r="K122" s="22"/>
      <c r="L122" s="22" t="s">
        <v>636</v>
      </c>
      <c r="M122" s="26" t="s">
        <v>637</v>
      </c>
      <c r="N122" s="22"/>
      <c r="O122" s="22" t="s">
        <v>63</v>
      </c>
      <c r="P122" s="25" t="str">
        <f aca="false">IF(OR(O122="",O122="Sin información"),"",IFERROR(INDEX(Listas!$B$2:$B$9,MATCH(O122,Listas!$A$2:$A$9,0)),""))</f>
        <v/>
      </c>
      <c r="Q122" s="25" t="str">
        <f aca="false">IF(OR(O122="",O122="Sin información"),"",IFERROR(INDEX(Listas!$C$2:$C$9,MATCH(O122,Listas!$A$2:$A$9,0)),""))</f>
        <v/>
      </c>
      <c r="R122" s="22"/>
      <c r="S122" s="22"/>
      <c r="T122" s="25" t="str">
        <f aca="false">IF(S122="","",IFERROR(INDEX(Empleadores!$B$2:$B$601,MATCH(S122,Empleadores!$A$2:$A$601,0)),"No encontrado"))</f>
        <v/>
      </c>
      <c r="U122" s="25" t="str">
        <f aca="false">IF(C122="","",IF(V122="","No",IF(Config!$C$4-V122&lt;=Config!$C$15,"Sí","No")))</f>
        <v>No</v>
      </c>
      <c r="V122" s="23"/>
      <c r="W122" s="22"/>
      <c r="X122" s="22"/>
      <c r="Y122" s="22"/>
      <c r="Z122" s="27"/>
      <c r="AA122" s="22"/>
      <c r="AB122" s="22"/>
    </row>
    <row r="123" customFormat="false" ht="15" hidden="false" customHeight="false" outlineLevel="0" collapsed="false">
      <c r="A123" s="22" t="n">
        <v>122</v>
      </c>
      <c r="B123" s="22" t="s">
        <v>638</v>
      </c>
      <c r="C123" s="22" t="s">
        <v>639</v>
      </c>
      <c r="D123" s="22" t="s">
        <v>138</v>
      </c>
      <c r="E123" s="22" t="s">
        <v>139</v>
      </c>
      <c r="F123" s="22" t="s">
        <v>96</v>
      </c>
      <c r="G123" s="23" t="n">
        <v>43861</v>
      </c>
      <c r="H123" s="24" t="n">
        <f aca="false">IF(G123="","",ROUND((Config!$C$4-G123)/365.25,2))</f>
        <v>6.67</v>
      </c>
      <c r="I123" s="25" t="str">
        <f aca="false">IF(H123="","",IF(H123&lt;=1,"Tramo 1",IF(H123&lt;=3,"Tramo 2",IF(H123&lt;=5,"Tramo 3","Tramo 4"))))</f>
        <v>Tramo 4</v>
      </c>
      <c r="J123" s="22" t="s">
        <v>140</v>
      </c>
      <c r="K123" s="22"/>
      <c r="L123" s="22" t="s">
        <v>640</v>
      </c>
      <c r="M123" s="26" t="s">
        <v>641</v>
      </c>
      <c r="N123" s="22"/>
      <c r="O123" s="22" t="s">
        <v>63</v>
      </c>
      <c r="P123" s="25" t="str">
        <f aca="false">IF(OR(O123="",O123="Sin información"),"",IFERROR(INDEX(Listas!$B$2:$B$9,MATCH(O123,Listas!$A$2:$A$9,0)),""))</f>
        <v/>
      </c>
      <c r="Q123" s="25" t="str">
        <f aca="false">IF(OR(O123="",O123="Sin información"),"",IFERROR(INDEX(Listas!$C$2:$C$9,MATCH(O123,Listas!$A$2:$A$9,0)),""))</f>
        <v/>
      </c>
      <c r="R123" s="22"/>
      <c r="S123" s="22"/>
      <c r="T123" s="25" t="str">
        <f aca="false">IF(S123="","",IFERROR(INDEX(Empleadores!$B$2:$B$601,MATCH(S123,Empleadores!$A$2:$A$601,0)),"No encontrado"))</f>
        <v/>
      </c>
      <c r="U123" s="25" t="str">
        <f aca="false">IF(C123="","",IF(V123="","No",IF(Config!$C$4-V123&lt;=Config!$C$15,"Sí","No")))</f>
        <v>No</v>
      </c>
      <c r="V123" s="23"/>
      <c r="W123" s="22"/>
      <c r="X123" s="22"/>
      <c r="Y123" s="22"/>
      <c r="Z123" s="27"/>
      <c r="AA123" s="22"/>
      <c r="AB123" s="22"/>
    </row>
    <row r="124" customFormat="false" ht="15" hidden="false" customHeight="false" outlineLevel="0" collapsed="false">
      <c r="A124" s="22" t="n">
        <v>123</v>
      </c>
      <c r="B124" s="22" t="s">
        <v>642</v>
      </c>
      <c r="C124" s="22" t="s">
        <v>643</v>
      </c>
      <c r="D124" s="22" t="s">
        <v>138</v>
      </c>
      <c r="E124" s="22" t="s">
        <v>139</v>
      </c>
      <c r="F124" s="22" t="s">
        <v>96</v>
      </c>
      <c r="G124" s="23" t="n">
        <v>43861</v>
      </c>
      <c r="H124" s="24" t="n">
        <f aca="false">IF(G124="","",ROUND((Config!$C$4-G124)/365.25,2))</f>
        <v>6.67</v>
      </c>
      <c r="I124" s="25" t="str">
        <f aca="false">IF(H124="","",IF(H124&lt;=1,"Tramo 1",IF(H124&lt;=3,"Tramo 2",IF(H124&lt;=5,"Tramo 3","Tramo 4"))))</f>
        <v>Tramo 4</v>
      </c>
      <c r="J124" s="22" t="s">
        <v>140</v>
      </c>
      <c r="K124" s="22"/>
      <c r="L124" s="22" t="s">
        <v>644</v>
      </c>
      <c r="M124" s="26" t="s">
        <v>645</v>
      </c>
      <c r="N124" s="22"/>
      <c r="O124" s="22" t="s">
        <v>63</v>
      </c>
      <c r="P124" s="25" t="str">
        <f aca="false">IF(OR(O124="",O124="Sin información"),"",IFERROR(INDEX(Listas!$B$2:$B$9,MATCH(O124,Listas!$A$2:$A$9,0)),""))</f>
        <v/>
      </c>
      <c r="Q124" s="25" t="str">
        <f aca="false">IF(OR(O124="",O124="Sin información"),"",IFERROR(INDEX(Listas!$C$2:$C$9,MATCH(O124,Listas!$A$2:$A$9,0)),""))</f>
        <v/>
      </c>
      <c r="R124" s="22"/>
      <c r="S124" s="22"/>
      <c r="T124" s="25" t="str">
        <f aca="false">IF(S124="","",IFERROR(INDEX(Empleadores!$B$2:$B$601,MATCH(S124,Empleadores!$A$2:$A$601,0)),"No encontrado"))</f>
        <v/>
      </c>
      <c r="U124" s="25" t="str">
        <f aca="false">IF(C124="","",IF(V124="","No",IF(Config!$C$4-V124&lt;=Config!$C$15,"Sí","No")))</f>
        <v>No</v>
      </c>
      <c r="V124" s="23"/>
      <c r="W124" s="22"/>
      <c r="X124" s="22"/>
      <c r="Y124" s="22"/>
      <c r="Z124" s="27"/>
      <c r="AA124" s="22"/>
      <c r="AB124" s="22"/>
    </row>
    <row r="125" customFormat="false" ht="15" hidden="false" customHeight="false" outlineLevel="0" collapsed="false">
      <c r="A125" s="22" t="n">
        <v>124</v>
      </c>
      <c r="B125" s="22" t="s">
        <v>646</v>
      </c>
      <c r="C125" s="22" t="s">
        <v>647</v>
      </c>
      <c r="D125" s="22" t="s">
        <v>138</v>
      </c>
      <c r="E125" s="22" t="s">
        <v>139</v>
      </c>
      <c r="F125" s="22" t="s">
        <v>99</v>
      </c>
      <c r="G125" s="23" t="n">
        <v>44336</v>
      </c>
      <c r="H125" s="24" t="n">
        <f aca="false">IF(G125="","",ROUND((Config!$C$4-G125)/365.25,2))</f>
        <v>5.37</v>
      </c>
      <c r="I125" s="25" t="str">
        <f aca="false">IF(H125="","",IF(H125&lt;=1,"Tramo 1",IF(H125&lt;=3,"Tramo 2",IF(H125&lt;=5,"Tramo 3","Tramo 4"))))</f>
        <v>Tramo 4</v>
      </c>
      <c r="J125" s="22" t="s">
        <v>140</v>
      </c>
      <c r="K125" s="22"/>
      <c r="L125" s="22" t="s">
        <v>648</v>
      </c>
      <c r="M125" s="26" t="s">
        <v>649</v>
      </c>
      <c r="N125" s="22"/>
      <c r="O125" s="22" t="s">
        <v>63</v>
      </c>
      <c r="P125" s="25" t="str">
        <f aca="false">IF(OR(O125="",O125="Sin información"),"",IFERROR(INDEX(Listas!$B$2:$B$9,MATCH(O125,Listas!$A$2:$A$9,0)),""))</f>
        <v/>
      </c>
      <c r="Q125" s="25" t="str">
        <f aca="false">IF(OR(O125="",O125="Sin información"),"",IFERROR(INDEX(Listas!$C$2:$C$9,MATCH(O125,Listas!$A$2:$A$9,0)),""))</f>
        <v/>
      </c>
      <c r="R125" s="22"/>
      <c r="S125" s="22"/>
      <c r="T125" s="25" t="str">
        <f aca="false">IF(S125="","",IFERROR(INDEX(Empleadores!$B$2:$B$601,MATCH(S125,Empleadores!$A$2:$A$601,0)),"No encontrado"))</f>
        <v/>
      </c>
      <c r="U125" s="25" t="str">
        <f aca="false">IF(C125="","",IF(V125="","No",IF(Config!$C$4-V125&lt;=Config!$C$15,"Sí","No")))</f>
        <v>No</v>
      </c>
      <c r="V125" s="23"/>
      <c r="W125" s="22"/>
      <c r="X125" s="22"/>
      <c r="Y125" s="22"/>
      <c r="Z125" s="27"/>
      <c r="AA125" s="22"/>
      <c r="AB125" s="22"/>
    </row>
    <row r="126" customFormat="false" ht="15" hidden="false" customHeight="false" outlineLevel="0" collapsed="false">
      <c r="A126" s="22" t="n">
        <v>125</v>
      </c>
      <c r="B126" s="22" t="s">
        <v>650</v>
      </c>
      <c r="C126" s="22" t="s">
        <v>651</v>
      </c>
      <c r="D126" s="22" t="s">
        <v>149</v>
      </c>
      <c r="E126" s="22" t="s">
        <v>139</v>
      </c>
      <c r="F126" s="22" t="s">
        <v>99</v>
      </c>
      <c r="G126" s="23" t="n">
        <v>44336</v>
      </c>
      <c r="H126" s="24" t="n">
        <f aca="false">IF(G126="","",ROUND((Config!$C$4-G126)/365.25,2))</f>
        <v>5.37</v>
      </c>
      <c r="I126" s="25" t="str">
        <f aca="false">IF(H126="","",IF(H126&lt;=1,"Tramo 1",IF(H126&lt;=3,"Tramo 2",IF(H126&lt;=5,"Tramo 3","Tramo 4"))))</f>
        <v>Tramo 4</v>
      </c>
      <c r="J126" s="22" t="s">
        <v>140</v>
      </c>
      <c r="K126" s="22"/>
      <c r="L126" s="22" t="s">
        <v>652</v>
      </c>
      <c r="M126" s="26" t="s">
        <v>653</v>
      </c>
      <c r="N126" s="22"/>
      <c r="O126" s="22" t="s">
        <v>63</v>
      </c>
      <c r="P126" s="25" t="str">
        <f aca="false">IF(OR(O126="",O126="Sin información"),"",IFERROR(INDEX(Listas!$B$2:$B$9,MATCH(O126,Listas!$A$2:$A$9,0)),""))</f>
        <v/>
      </c>
      <c r="Q126" s="25" t="str">
        <f aca="false">IF(OR(O126="",O126="Sin información"),"",IFERROR(INDEX(Listas!$C$2:$C$9,MATCH(O126,Listas!$A$2:$A$9,0)),""))</f>
        <v/>
      </c>
      <c r="R126" s="22"/>
      <c r="S126" s="22"/>
      <c r="T126" s="25" t="str">
        <f aca="false">IF(S126="","",IFERROR(INDEX(Empleadores!$B$2:$B$601,MATCH(S126,Empleadores!$A$2:$A$601,0)),"No encontrado"))</f>
        <v/>
      </c>
      <c r="U126" s="25" t="str">
        <f aca="false">IF(C126="","",IF(V126="","No",IF(Config!$C$4-V126&lt;=Config!$C$15,"Sí","No")))</f>
        <v>No</v>
      </c>
      <c r="V126" s="23"/>
      <c r="W126" s="22"/>
      <c r="X126" s="22"/>
      <c r="Y126" s="22"/>
      <c r="Z126" s="27"/>
      <c r="AA126" s="22"/>
      <c r="AB126" s="22"/>
    </row>
    <row r="127" customFormat="false" ht="15" hidden="false" customHeight="false" outlineLevel="0" collapsed="false">
      <c r="A127" s="22" t="n">
        <v>126</v>
      </c>
      <c r="B127" s="22" t="s">
        <v>654</v>
      </c>
      <c r="C127" s="22" t="s">
        <v>655</v>
      </c>
      <c r="D127" s="22" t="s">
        <v>149</v>
      </c>
      <c r="E127" s="22" t="s">
        <v>139</v>
      </c>
      <c r="F127" s="22" t="s">
        <v>99</v>
      </c>
      <c r="G127" s="23" t="n">
        <v>44336</v>
      </c>
      <c r="H127" s="24" t="n">
        <f aca="false">IF(G127="","",ROUND((Config!$C$4-G127)/365.25,2))</f>
        <v>5.37</v>
      </c>
      <c r="I127" s="25" t="str">
        <f aca="false">IF(H127="","",IF(H127&lt;=1,"Tramo 1",IF(H127&lt;=3,"Tramo 2",IF(H127&lt;=5,"Tramo 3","Tramo 4"))))</f>
        <v>Tramo 4</v>
      </c>
      <c r="J127" s="22" t="s">
        <v>140</v>
      </c>
      <c r="K127" s="22"/>
      <c r="L127" s="22" t="s">
        <v>656</v>
      </c>
      <c r="M127" s="26" t="s">
        <v>657</v>
      </c>
      <c r="N127" s="22"/>
      <c r="O127" s="22" t="s">
        <v>63</v>
      </c>
      <c r="P127" s="25" t="str">
        <f aca="false">IF(OR(O127="",O127="Sin información"),"",IFERROR(INDEX(Listas!$B$2:$B$9,MATCH(O127,Listas!$A$2:$A$9,0)),""))</f>
        <v/>
      </c>
      <c r="Q127" s="25" t="str">
        <f aca="false">IF(OR(O127="",O127="Sin información"),"",IFERROR(INDEX(Listas!$C$2:$C$9,MATCH(O127,Listas!$A$2:$A$9,0)),""))</f>
        <v/>
      </c>
      <c r="R127" s="22"/>
      <c r="S127" s="22"/>
      <c r="T127" s="25" t="str">
        <f aca="false">IF(S127="","",IFERROR(INDEX(Empleadores!$B$2:$B$601,MATCH(S127,Empleadores!$A$2:$A$601,0)),"No encontrado"))</f>
        <v/>
      </c>
      <c r="U127" s="25" t="str">
        <f aca="false">IF(C127="","",IF(V127="","No",IF(Config!$C$4-V127&lt;=Config!$C$15,"Sí","No")))</f>
        <v>No</v>
      </c>
      <c r="V127" s="23"/>
      <c r="W127" s="22"/>
      <c r="X127" s="22"/>
      <c r="Y127" s="22"/>
      <c r="Z127" s="27"/>
      <c r="AA127" s="22"/>
      <c r="AB127" s="22"/>
    </row>
    <row r="128" customFormat="false" ht="15" hidden="false" customHeight="false" outlineLevel="0" collapsed="false">
      <c r="A128" s="22" t="n">
        <v>127</v>
      </c>
      <c r="B128" s="22" t="s">
        <v>658</v>
      </c>
      <c r="C128" s="22" t="s">
        <v>659</v>
      </c>
      <c r="D128" s="22" t="s">
        <v>138</v>
      </c>
      <c r="E128" s="22" t="s">
        <v>139</v>
      </c>
      <c r="F128" s="22" t="s">
        <v>99</v>
      </c>
      <c r="G128" s="23" t="n">
        <v>44336</v>
      </c>
      <c r="H128" s="24" t="n">
        <f aca="false">IF(G128="","",ROUND((Config!$C$4-G128)/365.25,2))</f>
        <v>5.37</v>
      </c>
      <c r="I128" s="25" t="str">
        <f aca="false">IF(H128="","",IF(H128&lt;=1,"Tramo 1",IF(H128&lt;=3,"Tramo 2",IF(H128&lt;=5,"Tramo 3","Tramo 4"))))</f>
        <v>Tramo 4</v>
      </c>
      <c r="J128" s="22" t="s">
        <v>140</v>
      </c>
      <c r="K128" s="22"/>
      <c r="L128" s="22" t="s">
        <v>660</v>
      </c>
      <c r="M128" s="26" t="s">
        <v>661</v>
      </c>
      <c r="N128" s="22"/>
      <c r="O128" s="22" t="s">
        <v>63</v>
      </c>
      <c r="P128" s="25" t="str">
        <f aca="false">IF(OR(O128="",O128="Sin información"),"",IFERROR(INDEX(Listas!$B$2:$B$9,MATCH(O128,Listas!$A$2:$A$9,0)),""))</f>
        <v/>
      </c>
      <c r="Q128" s="25" t="str">
        <f aca="false">IF(OR(O128="",O128="Sin información"),"",IFERROR(INDEX(Listas!$C$2:$C$9,MATCH(O128,Listas!$A$2:$A$9,0)),""))</f>
        <v/>
      </c>
      <c r="R128" s="22"/>
      <c r="S128" s="22"/>
      <c r="T128" s="25" t="str">
        <f aca="false">IF(S128="","",IFERROR(INDEX(Empleadores!$B$2:$B$601,MATCH(S128,Empleadores!$A$2:$A$601,0)),"No encontrado"))</f>
        <v/>
      </c>
      <c r="U128" s="25" t="str">
        <f aca="false">IF(C128="","",IF(V128="","No",IF(Config!$C$4-V128&lt;=Config!$C$15,"Sí","No")))</f>
        <v>No</v>
      </c>
      <c r="V128" s="23"/>
      <c r="W128" s="22"/>
      <c r="X128" s="22"/>
      <c r="Y128" s="22"/>
      <c r="Z128" s="27"/>
      <c r="AA128" s="22"/>
      <c r="AB128" s="22"/>
    </row>
    <row r="129" customFormat="false" ht="15" hidden="false" customHeight="false" outlineLevel="0" collapsed="false">
      <c r="A129" s="22" t="n">
        <v>128</v>
      </c>
      <c r="B129" s="22" t="s">
        <v>662</v>
      </c>
      <c r="C129" s="22" t="s">
        <v>663</v>
      </c>
      <c r="D129" s="22" t="s">
        <v>149</v>
      </c>
      <c r="E129" s="22" t="s">
        <v>139</v>
      </c>
      <c r="F129" s="22" t="s">
        <v>99</v>
      </c>
      <c r="G129" s="23" t="n">
        <v>44336</v>
      </c>
      <c r="H129" s="24" t="n">
        <f aca="false">IF(G129="","",ROUND((Config!$C$4-G129)/365.25,2))</f>
        <v>5.37</v>
      </c>
      <c r="I129" s="25" t="str">
        <f aca="false">IF(H129="","",IF(H129&lt;=1,"Tramo 1",IF(H129&lt;=3,"Tramo 2",IF(H129&lt;=5,"Tramo 3","Tramo 4"))))</f>
        <v>Tramo 4</v>
      </c>
      <c r="J129" s="22" t="s">
        <v>140</v>
      </c>
      <c r="K129" s="22"/>
      <c r="L129" s="22" t="s">
        <v>664</v>
      </c>
      <c r="M129" s="26" t="s">
        <v>665</v>
      </c>
      <c r="N129" s="22"/>
      <c r="O129" s="22" t="s">
        <v>63</v>
      </c>
      <c r="P129" s="25" t="str">
        <f aca="false">IF(OR(O129="",O129="Sin información"),"",IFERROR(INDEX(Listas!$B$2:$B$9,MATCH(O129,Listas!$A$2:$A$9,0)),""))</f>
        <v/>
      </c>
      <c r="Q129" s="25" t="str">
        <f aca="false">IF(OR(O129="",O129="Sin información"),"",IFERROR(INDEX(Listas!$C$2:$C$9,MATCH(O129,Listas!$A$2:$A$9,0)),""))</f>
        <v/>
      </c>
      <c r="R129" s="22"/>
      <c r="S129" s="22"/>
      <c r="T129" s="25" t="str">
        <f aca="false">IF(S129="","",IFERROR(INDEX(Empleadores!$B$2:$B$601,MATCH(S129,Empleadores!$A$2:$A$601,0)),"No encontrado"))</f>
        <v/>
      </c>
      <c r="U129" s="25" t="str">
        <f aca="false">IF(C129="","",IF(V129="","No",IF(Config!$C$4-V129&lt;=Config!$C$15,"Sí","No")))</f>
        <v>No</v>
      </c>
      <c r="V129" s="23"/>
      <c r="W129" s="22"/>
      <c r="X129" s="22"/>
      <c r="Y129" s="22"/>
      <c r="Z129" s="27"/>
      <c r="AA129" s="22"/>
      <c r="AB129" s="22"/>
    </row>
    <row r="130" customFormat="false" ht="15" hidden="false" customHeight="false" outlineLevel="0" collapsed="false">
      <c r="A130" s="22" t="n">
        <v>129</v>
      </c>
      <c r="B130" s="22" t="s">
        <v>666</v>
      </c>
      <c r="C130" s="22" t="s">
        <v>667</v>
      </c>
      <c r="D130" s="22" t="s">
        <v>138</v>
      </c>
      <c r="E130" s="22" t="s">
        <v>139</v>
      </c>
      <c r="F130" s="22" t="s">
        <v>99</v>
      </c>
      <c r="G130" s="23" t="n">
        <v>44336</v>
      </c>
      <c r="H130" s="24" t="n">
        <f aca="false">IF(G130="","",ROUND((Config!$C$4-G130)/365.25,2))</f>
        <v>5.37</v>
      </c>
      <c r="I130" s="25" t="str">
        <f aca="false">IF(H130="","",IF(H130&lt;=1,"Tramo 1",IF(H130&lt;=3,"Tramo 2",IF(H130&lt;=5,"Tramo 3","Tramo 4"))))</f>
        <v>Tramo 4</v>
      </c>
      <c r="J130" s="22" t="s">
        <v>140</v>
      </c>
      <c r="K130" s="22"/>
      <c r="L130" s="22" t="s">
        <v>668</v>
      </c>
      <c r="M130" s="26" t="s">
        <v>669</v>
      </c>
      <c r="N130" s="22"/>
      <c r="O130" s="22" t="s">
        <v>63</v>
      </c>
      <c r="P130" s="25" t="str">
        <f aca="false">IF(OR(O130="",O130="Sin información"),"",IFERROR(INDEX(Listas!$B$2:$B$9,MATCH(O130,Listas!$A$2:$A$9,0)),""))</f>
        <v/>
      </c>
      <c r="Q130" s="25" t="str">
        <f aca="false">IF(OR(O130="",O130="Sin información"),"",IFERROR(INDEX(Listas!$C$2:$C$9,MATCH(O130,Listas!$A$2:$A$9,0)),""))</f>
        <v/>
      </c>
      <c r="R130" s="22"/>
      <c r="S130" s="22"/>
      <c r="T130" s="25" t="str">
        <f aca="false">IF(S130="","",IFERROR(INDEX(Empleadores!$B$2:$B$601,MATCH(S130,Empleadores!$A$2:$A$601,0)),"No encontrado"))</f>
        <v/>
      </c>
      <c r="U130" s="25" t="str">
        <f aca="false">IF(C130="","",IF(V130="","No",IF(Config!$C$4-V130&lt;=Config!$C$15,"Sí","No")))</f>
        <v>No</v>
      </c>
      <c r="V130" s="23"/>
      <c r="W130" s="22"/>
      <c r="X130" s="22"/>
      <c r="Y130" s="22"/>
      <c r="Z130" s="27"/>
      <c r="AA130" s="22"/>
      <c r="AB130" s="22"/>
    </row>
    <row r="131" customFormat="false" ht="15" hidden="false" customHeight="false" outlineLevel="0" collapsed="false">
      <c r="A131" s="22" t="n">
        <v>130</v>
      </c>
      <c r="B131" s="22" t="s">
        <v>670</v>
      </c>
      <c r="C131" s="22" t="s">
        <v>671</v>
      </c>
      <c r="D131" s="22" t="s">
        <v>149</v>
      </c>
      <c r="E131" s="22" t="s">
        <v>139</v>
      </c>
      <c r="F131" s="22" t="s">
        <v>99</v>
      </c>
      <c r="G131" s="23" t="n">
        <v>44336</v>
      </c>
      <c r="H131" s="24" t="n">
        <f aca="false">IF(G131="","",ROUND((Config!$C$4-G131)/365.25,2))</f>
        <v>5.37</v>
      </c>
      <c r="I131" s="25" t="str">
        <f aca="false">IF(H131="","",IF(H131&lt;=1,"Tramo 1",IF(H131&lt;=3,"Tramo 2",IF(H131&lt;=5,"Tramo 3","Tramo 4"))))</f>
        <v>Tramo 4</v>
      </c>
      <c r="J131" s="22" t="s">
        <v>140</v>
      </c>
      <c r="K131" s="22"/>
      <c r="L131" s="22" t="s">
        <v>672</v>
      </c>
      <c r="M131" s="26" t="s">
        <v>673</v>
      </c>
      <c r="N131" s="22"/>
      <c r="O131" s="22" t="s">
        <v>63</v>
      </c>
      <c r="P131" s="25" t="str">
        <f aca="false">IF(OR(O131="",O131="Sin información"),"",IFERROR(INDEX(Listas!$B$2:$B$9,MATCH(O131,Listas!$A$2:$A$9,0)),""))</f>
        <v/>
      </c>
      <c r="Q131" s="25" t="str">
        <f aca="false">IF(OR(O131="",O131="Sin información"),"",IFERROR(INDEX(Listas!$C$2:$C$9,MATCH(O131,Listas!$A$2:$A$9,0)),""))</f>
        <v/>
      </c>
      <c r="R131" s="22"/>
      <c r="S131" s="22"/>
      <c r="T131" s="25" t="str">
        <f aca="false">IF(S131="","",IFERROR(INDEX(Empleadores!$B$2:$B$601,MATCH(S131,Empleadores!$A$2:$A$601,0)),"No encontrado"))</f>
        <v/>
      </c>
      <c r="U131" s="25" t="str">
        <f aca="false">IF(C131="","",IF(V131="","No",IF(Config!$C$4-V131&lt;=Config!$C$15,"Sí","No")))</f>
        <v>Sí</v>
      </c>
      <c r="V131" s="23" t="n">
        <v>45960</v>
      </c>
      <c r="W131" s="22"/>
      <c r="X131" s="22"/>
      <c r="Y131" s="22" t="s">
        <v>181</v>
      </c>
      <c r="Z131" s="27"/>
      <c r="AA131" s="22"/>
      <c r="AB131" s="22" t="s">
        <v>183</v>
      </c>
    </row>
    <row r="132" customFormat="false" ht="15" hidden="false" customHeight="false" outlineLevel="0" collapsed="false">
      <c r="A132" s="22" t="n">
        <v>131</v>
      </c>
      <c r="B132" s="22" t="s">
        <v>674</v>
      </c>
      <c r="C132" s="22" t="s">
        <v>675</v>
      </c>
      <c r="D132" s="22" t="s">
        <v>138</v>
      </c>
      <c r="E132" s="22" t="s">
        <v>139</v>
      </c>
      <c r="F132" s="22" t="s">
        <v>99</v>
      </c>
      <c r="G132" s="23" t="n">
        <v>44336</v>
      </c>
      <c r="H132" s="24" t="n">
        <f aca="false">IF(G132="","",ROUND((Config!$C$4-G132)/365.25,2))</f>
        <v>5.37</v>
      </c>
      <c r="I132" s="25" t="str">
        <f aca="false">IF(H132="","",IF(H132&lt;=1,"Tramo 1",IF(H132&lt;=3,"Tramo 2",IF(H132&lt;=5,"Tramo 3","Tramo 4"))))</f>
        <v>Tramo 4</v>
      </c>
      <c r="J132" s="22" t="s">
        <v>140</v>
      </c>
      <c r="K132" s="22"/>
      <c r="L132" s="22" t="s">
        <v>676</v>
      </c>
      <c r="M132" s="26" t="s">
        <v>677</v>
      </c>
      <c r="N132" s="22"/>
      <c r="O132" s="22" t="s">
        <v>63</v>
      </c>
      <c r="P132" s="25" t="str">
        <f aca="false">IF(OR(O132="",O132="Sin información"),"",IFERROR(INDEX(Listas!$B$2:$B$9,MATCH(O132,Listas!$A$2:$A$9,0)),""))</f>
        <v/>
      </c>
      <c r="Q132" s="25" t="str">
        <f aca="false">IF(OR(O132="",O132="Sin información"),"",IFERROR(INDEX(Listas!$C$2:$C$9,MATCH(O132,Listas!$A$2:$A$9,0)),""))</f>
        <v/>
      </c>
      <c r="R132" s="22"/>
      <c r="S132" s="22"/>
      <c r="T132" s="25" t="str">
        <f aca="false">IF(S132="","",IFERROR(INDEX(Empleadores!$B$2:$B$601,MATCH(S132,Empleadores!$A$2:$A$601,0)),"No encontrado"))</f>
        <v/>
      </c>
      <c r="U132" s="25" t="str">
        <f aca="false">IF(C132="","",IF(V132="","No",IF(Config!$C$4-V132&lt;=Config!$C$15,"Sí","No")))</f>
        <v>No</v>
      </c>
      <c r="V132" s="23"/>
      <c r="W132" s="22"/>
      <c r="X132" s="22"/>
      <c r="Y132" s="22"/>
      <c r="Z132" s="27"/>
      <c r="AA132" s="22"/>
      <c r="AB132" s="22"/>
    </row>
    <row r="133" customFormat="false" ht="15" hidden="false" customHeight="false" outlineLevel="0" collapsed="false">
      <c r="A133" s="22" t="n">
        <v>132</v>
      </c>
      <c r="B133" s="22" t="s">
        <v>678</v>
      </c>
      <c r="C133" s="22" t="s">
        <v>679</v>
      </c>
      <c r="D133" s="22" t="s">
        <v>149</v>
      </c>
      <c r="E133" s="22" t="s">
        <v>139</v>
      </c>
      <c r="F133" s="22" t="s">
        <v>99</v>
      </c>
      <c r="G133" s="23" t="n">
        <v>44336</v>
      </c>
      <c r="H133" s="24" t="n">
        <f aca="false">IF(G133="","",ROUND((Config!$C$4-G133)/365.25,2))</f>
        <v>5.37</v>
      </c>
      <c r="I133" s="25" t="str">
        <f aca="false">IF(H133="","",IF(H133&lt;=1,"Tramo 1",IF(H133&lt;=3,"Tramo 2",IF(H133&lt;=5,"Tramo 3","Tramo 4"))))</f>
        <v>Tramo 4</v>
      </c>
      <c r="J133" s="22" t="s">
        <v>140</v>
      </c>
      <c r="K133" s="22"/>
      <c r="L133" s="22" t="s">
        <v>680</v>
      </c>
      <c r="M133" s="26" t="s">
        <v>681</v>
      </c>
      <c r="N133" s="22"/>
      <c r="O133" s="22" t="s">
        <v>63</v>
      </c>
      <c r="P133" s="25" t="str">
        <f aca="false">IF(OR(O133="",O133="Sin información"),"",IFERROR(INDEX(Listas!$B$2:$B$9,MATCH(O133,Listas!$A$2:$A$9,0)),""))</f>
        <v/>
      </c>
      <c r="Q133" s="25" t="str">
        <f aca="false">IF(OR(O133="",O133="Sin información"),"",IFERROR(INDEX(Listas!$C$2:$C$9,MATCH(O133,Listas!$A$2:$A$9,0)),""))</f>
        <v/>
      </c>
      <c r="R133" s="22"/>
      <c r="S133" s="22"/>
      <c r="T133" s="25" t="str">
        <f aca="false">IF(S133="","",IFERROR(INDEX(Empleadores!$B$2:$B$601,MATCH(S133,Empleadores!$A$2:$A$601,0)),"No encontrado"))</f>
        <v/>
      </c>
      <c r="U133" s="25" t="str">
        <f aca="false">IF(C133="","",IF(V133="","No",IF(Config!$C$4-V133&lt;=Config!$C$15,"Sí","No")))</f>
        <v>No</v>
      </c>
      <c r="V133" s="23"/>
      <c r="W133" s="22"/>
      <c r="X133" s="22"/>
      <c r="Y133" s="22"/>
      <c r="Z133" s="27"/>
      <c r="AA133" s="22"/>
      <c r="AB133" s="22"/>
    </row>
    <row r="134" customFormat="false" ht="15" hidden="false" customHeight="false" outlineLevel="0" collapsed="false">
      <c r="A134" s="22" t="n">
        <v>133</v>
      </c>
      <c r="B134" s="22" t="s">
        <v>682</v>
      </c>
      <c r="C134" s="22" t="s">
        <v>683</v>
      </c>
      <c r="D134" s="22" t="s">
        <v>138</v>
      </c>
      <c r="E134" s="22" t="s">
        <v>139</v>
      </c>
      <c r="F134" s="22" t="s">
        <v>99</v>
      </c>
      <c r="G134" s="23" t="n">
        <v>44336</v>
      </c>
      <c r="H134" s="24" t="n">
        <f aca="false">IF(G134="","",ROUND((Config!$C$4-G134)/365.25,2))</f>
        <v>5.37</v>
      </c>
      <c r="I134" s="25" t="str">
        <f aca="false">IF(H134="","",IF(H134&lt;=1,"Tramo 1",IF(H134&lt;=3,"Tramo 2",IF(H134&lt;=5,"Tramo 3","Tramo 4"))))</f>
        <v>Tramo 4</v>
      </c>
      <c r="J134" s="22" t="s">
        <v>140</v>
      </c>
      <c r="K134" s="22"/>
      <c r="L134" s="22" t="s">
        <v>684</v>
      </c>
      <c r="M134" s="26" t="s">
        <v>685</v>
      </c>
      <c r="N134" s="22"/>
      <c r="O134" s="22" t="s">
        <v>63</v>
      </c>
      <c r="P134" s="25" t="str">
        <f aca="false">IF(OR(O134="",O134="Sin información"),"",IFERROR(INDEX(Listas!$B$2:$B$9,MATCH(O134,Listas!$A$2:$A$9,0)),""))</f>
        <v/>
      </c>
      <c r="Q134" s="25" t="str">
        <f aca="false">IF(OR(O134="",O134="Sin información"),"",IFERROR(INDEX(Listas!$C$2:$C$9,MATCH(O134,Listas!$A$2:$A$9,0)),""))</f>
        <v/>
      </c>
      <c r="R134" s="22"/>
      <c r="S134" s="22"/>
      <c r="T134" s="25" t="str">
        <f aca="false">IF(S134="","",IFERROR(INDEX(Empleadores!$B$2:$B$601,MATCH(S134,Empleadores!$A$2:$A$601,0)),"No encontrado"))</f>
        <v/>
      </c>
      <c r="U134" s="25" t="str">
        <f aca="false">IF(C134="","",IF(V134="","No",IF(Config!$C$4-V134&lt;=Config!$C$15,"Sí","No")))</f>
        <v>No</v>
      </c>
      <c r="V134" s="23"/>
      <c r="W134" s="22"/>
      <c r="X134" s="22"/>
      <c r="Y134" s="22"/>
      <c r="Z134" s="27"/>
      <c r="AA134" s="22"/>
      <c r="AB134" s="22"/>
    </row>
    <row r="135" customFormat="false" ht="15" hidden="false" customHeight="false" outlineLevel="0" collapsed="false">
      <c r="A135" s="22" t="n">
        <v>134</v>
      </c>
      <c r="B135" s="22" t="s">
        <v>686</v>
      </c>
      <c r="C135" s="22" t="s">
        <v>687</v>
      </c>
      <c r="D135" s="22" t="s">
        <v>138</v>
      </c>
      <c r="E135" s="22" t="s">
        <v>139</v>
      </c>
      <c r="F135" s="22" t="s">
        <v>99</v>
      </c>
      <c r="G135" s="23" t="n">
        <v>44336</v>
      </c>
      <c r="H135" s="24" t="n">
        <f aca="false">IF(G135="","",ROUND((Config!$C$4-G135)/365.25,2))</f>
        <v>5.37</v>
      </c>
      <c r="I135" s="25" t="str">
        <f aca="false">IF(H135="","",IF(H135&lt;=1,"Tramo 1",IF(H135&lt;=3,"Tramo 2",IF(H135&lt;=5,"Tramo 3","Tramo 4"))))</f>
        <v>Tramo 4</v>
      </c>
      <c r="J135" s="22" t="s">
        <v>140</v>
      </c>
      <c r="K135" s="22"/>
      <c r="L135" s="22" t="s">
        <v>688</v>
      </c>
      <c r="M135" s="26" t="s">
        <v>689</v>
      </c>
      <c r="N135" s="22"/>
      <c r="O135" s="22" t="s">
        <v>85</v>
      </c>
      <c r="P135" s="25" t="str">
        <f aca="false">IF(OR(O135="",O135="Sin información"),"",IFERROR(INDEX(Listas!$B$2:$B$9,MATCH(O135,Listas!$A$2:$A$9,0)),""))</f>
        <v>Sí</v>
      </c>
      <c r="Q135" s="25" t="str">
        <f aca="false">IF(OR(O135="",O135="Sin información"),"",IFERROR(INDEX(Listas!$C$2:$C$9,MATCH(O135,Listas!$A$2:$A$9,0)),""))</f>
        <v>Sí</v>
      </c>
      <c r="R135" s="22"/>
      <c r="S135" s="22" t="s">
        <v>690</v>
      </c>
      <c r="T135" s="25" t="str">
        <f aca="false">IF(S135="","",IFERROR(INDEX(Empleadores!$B$2:$B$601,MATCH(S135,Empleadores!$A$2:$A$601,0)),"No encontrado"))</f>
        <v>C.S. Ollantaytambo</v>
      </c>
      <c r="U135" s="25" t="str">
        <f aca="false">IF(C135="","",IF(V135="","No",IF(Config!$C$4-V135&lt;=Config!$C$15,"Sí","No")))</f>
        <v>Sí</v>
      </c>
      <c r="V135" s="23" t="n">
        <v>45969</v>
      </c>
      <c r="W135" s="22"/>
      <c r="X135" s="22"/>
      <c r="Y135" s="22" t="s">
        <v>181</v>
      </c>
      <c r="Z135" s="27"/>
      <c r="AA135" s="22"/>
      <c r="AB135" s="22" t="s">
        <v>183</v>
      </c>
    </row>
    <row r="136" customFormat="false" ht="15" hidden="false" customHeight="false" outlineLevel="0" collapsed="false">
      <c r="A136" s="22" t="n">
        <v>135</v>
      </c>
      <c r="B136" s="22" t="s">
        <v>691</v>
      </c>
      <c r="C136" s="22" t="s">
        <v>692</v>
      </c>
      <c r="D136" s="22" t="s">
        <v>138</v>
      </c>
      <c r="E136" s="22" t="s">
        <v>139</v>
      </c>
      <c r="F136" s="22" t="s">
        <v>99</v>
      </c>
      <c r="G136" s="23" t="n">
        <v>44336</v>
      </c>
      <c r="H136" s="24" t="n">
        <f aca="false">IF(G136="","",ROUND((Config!$C$4-G136)/365.25,2))</f>
        <v>5.37</v>
      </c>
      <c r="I136" s="25" t="str">
        <f aca="false">IF(H136="","",IF(H136&lt;=1,"Tramo 1",IF(H136&lt;=3,"Tramo 2",IF(H136&lt;=5,"Tramo 3","Tramo 4"))))</f>
        <v>Tramo 4</v>
      </c>
      <c r="J136" s="22" t="s">
        <v>140</v>
      </c>
      <c r="K136" s="22"/>
      <c r="L136" s="22" t="s">
        <v>693</v>
      </c>
      <c r="M136" s="26" t="s">
        <v>694</v>
      </c>
      <c r="N136" s="22"/>
      <c r="O136" s="22" t="s">
        <v>63</v>
      </c>
      <c r="P136" s="25" t="str">
        <f aca="false">IF(OR(O136="",O136="Sin información"),"",IFERROR(INDEX(Listas!$B$2:$B$9,MATCH(O136,Listas!$A$2:$A$9,0)),""))</f>
        <v/>
      </c>
      <c r="Q136" s="25" t="str">
        <f aca="false">IF(OR(O136="",O136="Sin información"),"",IFERROR(INDEX(Listas!$C$2:$C$9,MATCH(O136,Listas!$A$2:$A$9,0)),""))</f>
        <v/>
      </c>
      <c r="R136" s="22"/>
      <c r="S136" s="22"/>
      <c r="T136" s="25" t="str">
        <f aca="false">IF(S136="","",IFERROR(INDEX(Empleadores!$B$2:$B$601,MATCH(S136,Empleadores!$A$2:$A$601,0)),"No encontrado"))</f>
        <v/>
      </c>
      <c r="U136" s="25" t="str">
        <f aca="false">IF(C136="","",IF(V136="","No",IF(Config!$C$4-V136&lt;=Config!$C$15,"Sí","No")))</f>
        <v>No</v>
      </c>
      <c r="V136" s="23"/>
      <c r="W136" s="22"/>
      <c r="X136" s="22"/>
      <c r="Y136" s="22"/>
      <c r="Z136" s="27"/>
      <c r="AA136" s="22"/>
      <c r="AB136" s="22"/>
    </row>
    <row r="137" customFormat="false" ht="15" hidden="false" customHeight="false" outlineLevel="0" collapsed="false">
      <c r="A137" s="22" t="n">
        <v>136</v>
      </c>
      <c r="B137" s="22" t="s">
        <v>695</v>
      </c>
      <c r="C137" s="22" t="s">
        <v>696</v>
      </c>
      <c r="D137" s="22" t="s">
        <v>138</v>
      </c>
      <c r="E137" s="22" t="s">
        <v>139</v>
      </c>
      <c r="F137" s="22" t="s">
        <v>99</v>
      </c>
      <c r="G137" s="23" t="n">
        <v>44336</v>
      </c>
      <c r="H137" s="24" t="n">
        <f aca="false">IF(G137="","",ROUND((Config!$C$4-G137)/365.25,2))</f>
        <v>5.37</v>
      </c>
      <c r="I137" s="25" t="str">
        <f aca="false">IF(H137="","",IF(H137&lt;=1,"Tramo 1",IF(H137&lt;=3,"Tramo 2",IF(H137&lt;=5,"Tramo 3","Tramo 4"))))</f>
        <v>Tramo 4</v>
      </c>
      <c r="J137" s="22" t="s">
        <v>140</v>
      </c>
      <c r="K137" s="22"/>
      <c r="L137" s="22" t="s">
        <v>697</v>
      </c>
      <c r="M137" s="26"/>
      <c r="N137" s="22"/>
      <c r="O137" s="22" t="s">
        <v>63</v>
      </c>
      <c r="P137" s="25" t="str">
        <f aca="false">IF(OR(O137="",O137="Sin información"),"",IFERROR(INDEX(Listas!$B$2:$B$9,MATCH(O137,Listas!$A$2:$A$9,0)),""))</f>
        <v/>
      </c>
      <c r="Q137" s="25" t="str">
        <f aca="false">IF(OR(O137="",O137="Sin información"),"",IFERROR(INDEX(Listas!$C$2:$C$9,MATCH(O137,Listas!$A$2:$A$9,0)),""))</f>
        <v/>
      </c>
      <c r="R137" s="22"/>
      <c r="S137" s="22"/>
      <c r="T137" s="25" t="str">
        <f aca="false">IF(S137="","",IFERROR(INDEX(Empleadores!$B$2:$B$601,MATCH(S137,Empleadores!$A$2:$A$601,0)),"No encontrado"))</f>
        <v/>
      </c>
      <c r="U137" s="25" t="str">
        <f aca="false">IF(C137="","",IF(V137="","No",IF(Config!$C$4-V137&lt;=Config!$C$15,"Sí","No")))</f>
        <v>No</v>
      </c>
      <c r="V137" s="23"/>
      <c r="W137" s="22"/>
      <c r="X137" s="22"/>
      <c r="Y137" s="22"/>
      <c r="Z137" s="27"/>
      <c r="AA137" s="22"/>
      <c r="AB137" s="22"/>
    </row>
    <row r="138" customFormat="false" ht="15" hidden="false" customHeight="false" outlineLevel="0" collapsed="false">
      <c r="A138" s="22" t="n">
        <v>137</v>
      </c>
      <c r="B138" s="22" t="s">
        <v>698</v>
      </c>
      <c r="C138" s="22" t="s">
        <v>699</v>
      </c>
      <c r="D138" s="22" t="s">
        <v>138</v>
      </c>
      <c r="E138" s="22" t="s">
        <v>139</v>
      </c>
      <c r="F138" s="22" t="s">
        <v>99</v>
      </c>
      <c r="G138" s="23" t="n">
        <v>44336</v>
      </c>
      <c r="H138" s="24" t="n">
        <f aca="false">IF(G138="","",ROUND((Config!$C$4-G138)/365.25,2))</f>
        <v>5.37</v>
      </c>
      <c r="I138" s="25" t="str">
        <f aca="false">IF(H138="","",IF(H138&lt;=1,"Tramo 1",IF(H138&lt;=3,"Tramo 2",IF(H138&lt;=5,"Tramo 3","Tramo 4"))))</f>
        <v>Tramo 4</v>
      </c>
      <c r="J138" s="22" t="s">
        <v>140</v>
      </c>
      <c r="K138" s="22"/>
      <c r="L138" s="22" t="s">
        <v>700</v>
      </c>
      <c r="M138" s="26" t="s">
        <v>701</v>
      </c>
      <c r="N138" s="22"/>
      <c r="O138" s="22" t="s">
        <v>63</v>
      </c>
      <c r="P138" s="25" t="str">
        <f aca="false">IF(OR(O138="",O138="Sin información"),"",IFERROR(INDEX(Listas!$B$2:$B$9,MATCH(O138,Listas!$A$2:$A$9,0)),""))</f>
        <v/>
      </c>
      <c r="Q138" s="25" t="str">
        <f aca="false">IF(OR(O138="",O138="Sin información"),"",IFERROR(INDEX(Listas!$C$2:$C$9,MATCH(O138,Listas!$A$2:$A$9,0)),""))</f>
        <v/>
      </c>
      <c r="R138" s="22"/>
      <c r="S138" s="22"/>
      <c r="T138" s="25" t="str">
        <f aca="false">IF(S138="","",IFERROR(INDEX(Empleadores!$B$2:$B$601,MATCH(S138,Empleadores!$A$2:$A$601,0)),"No encontrado"))</f>
        <v/>
      </c>
      <c r="U138" s="25" t="str">
        <f aca="false">IF(C138="","",IF(V138="","No",IF(Config!$C$4-V138&lt;=Config!$C$15,"Sí","No")))</f>
        <v>No</v>
      </c>
      <c r="V138" s="23"/>
      <c r="W138" s="22"/>
      <c r="X138" s="22"/>
      <c r="Y138" s="22"/>
      <c r="Z138" s="27"/>
      <c r="AA138" s="22"/>
      <c r="AB138" s="22"/>
    </row>
    <row r="139" customFormat="false" ht="15" hidden="false" customHeight="false" outlineLevel="0" collapsed="false">
      <c r="A139" s="22" t="n">
        <v>138</v>
      </c>
      <c r="B139" s="22" t="s">
        <v>702</v>
      </c>
      <c r="C139" s="22" t="s">
        <v>703</v>
      </c>
      <c r="D139" s="22" t="s">
        <v>138</v>
      </c>
      <c r="E139" s="22" t="s">
        <v>139</v>
      </c>
      <c r="F139" s="22" t="s">
        <v>99</v>
      </c>
      <c r="G139" s="23" t="n">
        <v>44336</v>
      </c>
      <c r="H139" s="24" t="n">
        <f aca="false">IF(G139="","",ROUND((Config!$C$4-G139)/365.25,2))</f>
        <v>5.37</v>
      </c>
      <c r="I139" s="25" t="str">
        <f aca="false">IF(H139="","",IF(H139&lt;=1,"Tramo 1",IF(H139&lt;=3,"Tramo 2",IF(H139&lt;=5,"Tramo 3","Tramo 4"))))</f>
        <v>Tramo 4</v>
      </c>
      <c r="J139" s="22" t="s">
        <v>140</v>
      </c>
      <c r="K139" s="22"/>
      <c r="L139" s="22" t="s">
        <v>704</v>
      </c>
      <c r="M139" s="26" t="s">
        <v>705</v>
      </c>
      <c r="N139" s="22"/>
      <c r="O139" s="22" t="s">
        <v>63</v>
      </c>
      <c r="P139" s="25" t="str">
        <f aca="false">IF(OR(O139="",O139="Sin información"),"",IFERROR(INDEX(Listas!$B$2:$B$9,MATCH(O139,Listas!$A$2:$A$9,0)),""))</f>
        <v/>
      </c>
      <c r="Q139" s="25" t="str">
        <f aca="false">IF(OR(O139="",O139="Sin información"),"",IFERROR(INDEX(Listas!$C$2:$C$9,MATCH(O139,Listas!$A$2:$A$9,0)),""))</f>
        <v/>
      </c>
      <c r="R139" s="22"/>
      <c r="S139" s="22"/>
      <c r="T139" s="25" t="str">
        <f aca="false">IF(S139="","",IFERROR(INDEX(Empleadores!$B$2:$B$601,MATCH(S139,Empleadores!$A$2:$A$601,0)),"No encontrado"))</f>
        <v/>
      </c>
      <c r="U139" s="25" t="str">
        <f aca="false">IF(C139="","",IF(V139="","No",IF(Config!$C$4-V139&lt;=Config!$C$15,"Sí","No")))</f>
        <v>No</v>
      </c>
      <c r="V139" s="23"/>
      <c r="W139" s="22"/>
      <c r="X139" s="22"/>
      <c r="Y139" s="22"/>
      <c r="Z139" s="27"/>
      <c r="AA139" s="22"/>
      <c r="AB139" s="22"/>
    </row>
    <row r="140" customFormat="false" ht="15" hidden="false" customHeight="false" outlineLevel="0" collapsed="false">
      <c r="A140" s="22" t="n">
        <v>139</v>
      </c>
      <c r="B140" s="22" t="s">
        <v>706</v>
      </c>
      <c r="C140" s="22" t="s">
        <v>707</v>
      </c>
      <c r="D140" s="22" t="s">
        <v>149</v>
      </c>
      <c r="E140" s="22" t="s">
        <v>139</v>
      </c>
      <c r="F140" s="22" t="s">
        <v>99</v>
      </c>
      <c r="G140" s="23" t="n">
        <v>44336</v>
      </c>
      <c r="H140" s="24" t="n">
        <f aca="false">IF(G140="","",ROUND((Config!$C$4-G140)/365.25,2))</f>
        <v>5.37</v>
      </c>
      <c r="I140" s="25" t="str">
        <f aca="false">IF(H140="","",IF(H140&lt;=1,"Tramo 1",IF(H140&lt;=3,"Tramo 2",IF(H140&lt;=5,"Tramo 3","Tramo 4"))))</f>
        <v>Tramo 4</v>
      </c>
      <c r="J140" s="22" t="s">
        <v>140</v>
      </c>
      <c r="K140" s="22"/>
      <c r="L140" s="22" t="s">
        <v>708</v>
      </c>
      <c r="M140" s="26" t="s">
        <v>709</v>
      </c>
      <c r="N140" s="22"/>
      <c r="O140" s="22" t="s">
        <v>63</v>
      </c>
      <c r="P140" s="25" t="str">
        <f aca="false">IF(OR(O140="",O140="Sin información"),"",IFERROR(INDEX(Listas!$B$2:$B$9,MATCH(O140,Listas!$A$2:$A$9,0)),""))</f>
        <v/>
      </c>
      <c r="Q140" s="25" t="str">
        <f aca="false">IF(OR(O140="",O140="Sin información"),"",IFERROR(INDEX(Listas!$C$2:$C$9,MATCH(O140,Listas!$A$2:$A$9,0)),""))</f>
        <v/>
      </c>
      <c r="R140" s="22"/>
      <c r="S140" s="22"/>
      <c r="T140" s="25" t="str">
        <f aca="false">IF(S140="","",IFERROR(INDEX(Empleadores!$B$2:$B$601,MATCH(S140,Empleadores!$A$2:$A$601,0)),"No encontrado"))</f>
        <v/>
      </c>
      <c r="U140" s="25" t="str">
        <f aca="false">IF(C140="","",IF(V140="","No",IF(Config!$C$4-V140&lt;=Config!$C$15,"Sí","No")))</f>
        <v>No</v>
      </c>
      <c r="V140" s="23"/>
      <c r="W140" s="22"/>
      <c r="X140" s="22"/>
      <c r="Y140" s="22"/>
      <c r="Z140" s="27"/>
      <c r="AA140" s="22"/>
      <c r="AB140" s="22"/>
    </row>
    <row r="141" customFormat="false" ht="15" hidden="false" customHeight="false" outlineLevel="0" collapsed="false">
      <c r="A141" s="22" t="n">
        <v>140</v>
      </c>
      <c r="B141" s="22" t="s">
        <v>710</v>
      </c>
      <c r="C141" s="22" t="s">
        <v>711</v>
      </c>
      <c r="D141" s="22" t="s">
        <v>149</v>
      </c>
      <c r="E141" s="22" t="s">
        <v>139</v>
      </c>
      <c r="F141" s="22" t="s">
        <v>99</v>
      </c>
      <c r="G141" s="23" t="n">
        <v>44336</v>
      </c>
      <c r="H141" s="24" t="n">
        <f aca="false">IF(G141="","",ROUND((Config!$C$4-G141)/365.25,2))</f>
        <v>5.37</v>
      </c>
      <c r="I141" s="25" t="str">
        <f aca="false">IF(H141="","",IF(H141&lt;=1,"Tramo 1",IF(H141&lt;=3,"Tramo 2",IF(H141&lt;=5,"Tramo 3","Tramo 4"))))</f>
        <v>Tramo 4</v>
      </c>
      <c r="J141" s="22" t="s">
        <v>140</v>
      </c>
      <c r="K141" s="22"/>
      <c r="L141" s="22" t="s">
        <v>712</v>
      </c>
      <c r="M141" s="26" t="s">
        <v>713</v>
      </c>
      <c r="N141" s="22"/>
      <c r="O141" s="22" t="s">
        <v>85</v>
      </c>
      <c r="P141" s="25" t="str">
        <f aca="false">IF(OR(O141="",O141="Sin información"),"",IFERROR(INDEX(Listas!$B$2:$B$9,MATCH(O141,Listas!$A$2:$A$9,0)),""))</f>
        <v>Sí</v>
      </c>
      <c r="Q141" s="25" t="str">
        <f aca="false">IF(OR(O141="",O141="Sin información"),"",IFERROR(INDEX(Listas!$C$2:$C$9,MATCH(O141,Listas!$A$2:$A$9,0)),""))</f>
        <v>Sí</v>
      </c>
      <c r="R141" s="22"/>
      <c r="S141" s="22" t="s">
        <v>714</v>
      </c>
      <c r="T141" s="25" t="str">
        <f aca="false">IF(S141="","",IFERROR(INDEX(Empleadores!$B$2:$B$601,MATCH(S141,Empleadores!$A$2:$A$601,0)),"No encontrado"))</f>
        <v>SAMU Cusco</v>
      </c>
      <c r="U141" s="25" t="str">
        <f aca="false">IF(C141="","",IF(V141="","No",IF(Config!$C$4-V141&lt;=Config!$C$15,"Sí","No")))</f>
        <v>Sí</v>
      </c>
      <c r="V141" s="23" t="n">
        <v>45967</v>
      </c>
      <c r="W141" s="22"/>
      <c r="X141" s="22"/>
      <c r="Y141" s="22" t="s">
        <v>181</v>
      </c>
      <c r="Z141" s="27"/>
      <c r="AA141" s="22"/>
      <c r="AB141" s="22" t="s">
        <v>183</v>
      </c>
    </row>
    <row r="142" customFormat="false" ht="15" hidden="false" customHeight="false" outlineLevel="0" collapsed="false">
      <c r="A142" s="22" t="n">
        <v>141</v>
      </c>
      <c r="B142" s="22" t="s">
        <v>715</v>
      </c>
      <c r="C142" s="22" t="s">
        <v>716</v>
      </c>
      <c r="D142" s="22" t="s">
        <v>149</v>
      </c>
      <c r="E142" s="22" t="s">
        <v>139</v>
      </c>
      <c r="F142" s="22" t="s">
        <v>99</v>
      </c>
      <c r="G142" s="23" t="n">
        <v>44336</v>
      </c>
      <c r="H142" s="24" t="n">
        <f aca="false">IF(G142="","",ROUND((Config!$C$4-G142)/365.25,2))</f>
        <v>5.37</v>
      </c>
      <c r="I142" s="25" t="str">
        <f aca="false">IF(H142="","",IF(H142&lt;=1,"Tramo 1",IF(H142&lt;=3,"Tramo 2",IF(H142&lt;=5,"Tramo 3","Tramo 4"))))</f>
        <v>Tramo 4</v>
      </c>
      <c r="J142" s="22" t="s">
        <v>140</v>
      </c>
      <c r="K142" s="22"/>
      <c r="L142" s="22" t="s">
        <v>717</v>
      </c>
      <c r="M142" s="26" t="s">
        <v>718</v>
      </c>
      <c r="N142" s="22"/>
      <c r="O142" s="22" t="s">
        <v>63</v>
      </c>
      <c r="P142" s="25" t="str">
        <f aca="false">IF(OR(O142="",O142="Sin información"),"",IFERROR(INDEX(Listas!$B$2:$B$9,MATCH(O142,Listas!$A$2:$A$9,0)),""))</f>
        <v/>
      </c>
      <c r="Q142" s="25" t="str">
        <f aca="false">IF(OR(O142="",O142="Sin información"),"",IFERROR(INDEX(Listas!$C$2:$C$9,MATCH(O142,Listas!$A$2:$A$9,0)),""))</f>
        <v/>
      </c>
      <c r="R142" s="22"/>
      <c r="S142" s="22"/>
      <c r="T142" s="25" t="str">
        <f aca="false">IF(S142="","",IFERROR(INDEX(Empleadores!$B$2:$B$601,MATCH(S142,Empleadores!$A$2:$A$601,0)),"No encontrado"))</f>
        <v/>
      </c>
      <c r="U142" s="25" t="str">
        <f aca="false">IF(C142="","",IF(V142="","No",IF(Config!$C$4-V142&lt;=Config!$C$15,"Sí","No")))</f>
        <v>No</v>
      </c>
      <c r="V142" s="23"/>
      <c r="W142" s="22"/>
      <c r="X142" s="22"/>
      <c r="Y142" s="22"/>
      <c r="Z142" s="27"/>
      <c r="AA142" s="22"/>
      <c r="AB142" s="22"/>
    </row>
    <row r="143" customFormat="false" ht="15" hidden="false" customHeight="false" outlineLevel="0" collapsed="false">
      <c r="A143" s="22" t="n">
        <v>142</v>
      </c>
      <c r="B143" s="22" t="s">
        <v>719</v>
      </c>
      <c r="C143" s="22" t="s">
        <v>720</v>
      </c>
      <c r="D143" s="22" t="s">
        <v>138</v>
      </c>
      <c r="E143" s="22" t="s">
        <v>139</v>
      </c>
      <c r="F143" s="22" t="s">
        <v>99</v>
      </c>
      <c r="G143" s="23" t="n">
        <v>44336</v>
      </c>
      <c r="H143" s="24" t="n">
        <f aca="false">IF(G143="","",ROUND((Config!$C$4-G143)/365.25,2))</f>
        <v>5.37</v>
      </c>
      <c r="I143" s="25" t="str">
        <f aca="false">IF(H143="","",IF(H143&lt;=1,"Tramo 1",IF(H143&lt;=3,"Tramo 2",IF(H143&lt;=5,"Tramo 3","Tramo 4"))))</f>
        <v>Tramo 4</v>
      </c>
      <c r="J143" s="22" t="s">
        <v>140</v>
      </c>
      <c r="K143" s="22"/>
      <c r="L143" s="22" t="s">
        <v>721</v>
      </c>
      <c r="M143" s="26" t="s">
        <v>722</v>
      </c>
      <c r="N143" s="22"/>
      <c r="O143" s="22" t="s">
        <v>63</v>
      </c>
      <c r="P143" s="25" t="str">
        <f aca="false">IF(OR(O143="",O143="Sin información"),"",IFERROR(INDEX(Listas!$B$2:$B$9,MATCH(O143,Listas!$A$2:$A$9,0)),""))</f>
        <v/>
      </c>
      <c r="Q143" s="25" t="str">
        <f aca="false">IF(OR(O143="",O143="Sin información"),"",IFERROR(INDEX(Listas!$C$2:$C$9,MATCH(O143,Listas!$A$2:$A$9,0)),""))</f>
        <v/>
      </c>
      <c r="R143" s="22"/>
      <c r="S143" s="22"/>
      <c r="T143" s="25" t="str">
        <f aca="false">IF(S143="","",IFERROR(INDEX(Empleadores!$B$2:$B$601,MATCH(S143,Empleadores!$A$2:$A$601,0)),"No encontrado"))</f>
        <v/>
      </c>
      <c r="U143" s="25" t="str">
        <f aca="false">IF(C143="","",IF(V143="","No",IF(Config!$C$4-V143&lt;=Config!$C$15,"Sí","No")))</f>
        <v>No</v>
      </c>
      <c r="V143" s="23"/>
      <c r="W143" s="22"/>
      <c r="X143" s="22"/>
      <c r="Y143" s="22"/>
      <c r="Z143" s="27"/>
      <c r="AA143" s="22"/>
      <c r="AB143" s="22"/>
    </row>
    <row r="144" customFormat="false" ht="15" hidden="false" customHeight="false" outlineLevel="0" collapsed="false">
      <c r="A144" s="22" t="n">
        <v>143</v>
      </c>
      <c r="B144" s="22" t="s">
        <v>723</v>
      </c>
      <c r="C144" s="22" t="s">
        <v>724</v>
      </c>
      <c r="D144" s="22" t="s">
        <v>149</v>
      </c>
      <c r="E144" s="22" t="s">
        <v>139</v>
      </c>
      <c r="F144" s="22" t="s">
        <v>99</v>
      </c>
      <c r="G144" s="23" t="n">
        <v>44336</v>
      </c>
      <c r="H144" s="24" t="n">
        <f aca="false">IF(G144="","",ROUND((Config!$C$4-G144)/365.25,2))</f>
        <v>5.37</v>
      </c>
      <c r="I144" s="25" t="str">
        <f aca="false">IF(H144="","",IF(H144&lt;=1,"Tramo 1",IF(H144&lt;=3,"Tramo 2",IF(H144&lt;=5,"Tramo 3","Tramo 4"))))</f>
        <v>Tramo 4</v>
      </c>
      <c r="J144" s="22" t="s">
        <v>140</v>
      </c>
      <c r="K144" s="22"/>
      <c r="L144" s="22" t="s">
        <v>725</v>
      </c>
      <c r="M144" s="26" t="s">
        <v>726</v>
      </c>
      <c r="N144" s="22"/>
      <c r="O144" s="22" t="s">
        <v>63</v>
      </c>
      <c r="P144" s="25" t="str">
        <f aca="false">IF(OR(O144="",O144="Sin información"),"",IFERROR(INDEX(Listas!$B$2:$B$9,MATCH(O144,Listas!$A$2:$A$9,0)),""))</f>
        <v/>
      </c>
      <c r="Q144" s="25" t="str">
        <f aca="false">IF(OR(O144="",O144="Sin información"),"",IFERROR(INDEX(Listas!$C$2:$C$9,MATCH(O144,Listas!$A$2:$A$9,0)),""))</f>
        <v/>
      </c>
      <c r="R144" s="22"/>
      <c r="S144" s="22"/>
      <c r="T144" s="25" t="str">
        <f aca="false">IF(S144="","",IFERROR(INDEX(Empleadores!$B$2:$B$601,MATCH(S144,Empleadores!$A$2:$A$601,0)),"No encontrado"))</f>
        <v/>
      </c>
      <c r="U144" s="25" t="str">
        <f aca="false">IF(C144="","",IF(V144="","No",IF(Config!$C$4-V144&lt;=Config!$C$15,"Sí","No")))</f>
        <v>No</v>
      </c>
      <c r="V144" s="23"/>
      <c r="W144" s="22"/>
      <c r="X144" s="22"/>
      <c r="Y144" s="22"/>
      <c r="Z144" s="27"/>
      <c r="AA144" s="22"/>
      <c r="AB144" s="22"/>
    </row>
    <row r="145" customFormat="false" ht="15" hidden="false" customHeight="false" outlineLevel="0" collapsed="false">
      <c r="A145" s="22" t="n">
        <v>144</v>
      </c>
      <c r="B145" s="22" t="s">
        <v>727</v>
      </c>
      <c r="C145" s="22" t="s">
        <v>728</v>
      </c>
      <c r="D145" s="22" t="s">
        <v>149</v>
      </c>
      <c r="E145" s="22" t="s">
        <v>139</v>
      </c>
      <c r="F145" s="22" t="s">
        <v>99</v>
      </c>
      <c r="G145" s="23" t="n">
        <v>44336</v>
      </c>
      <c r="H145" s="24" t="n">
        <f aca="false">IF(G145="","",ROUND((Config!$C$4-G145)/365.25,2))</f>
        <v>5.37</v>
      </c>
      <c r="I145" s="25" t="str">
        <f aca="false">IF(H145="","",IF(H145&lt;=1,"Tramo 1",IF(H145&lt;=3,"Tramo 2",IF(H145&lt;=5,"Tramo 3","Tramo 4"))))</f>
        <v>Tramo 4</v>
      </c>
      <c r="J145" s="22" t="s">
        <v>140</v>
      </c>
      <c r="K145" s="22"/>
      <c r="L145" s="22" t="s">
        <v>729</v>
      </c>
      <c r="M145" s="26"/>
      <c r="N145" s="22"/>
      <c r="O145" s="22" t="s">
        <v>63</v>
      </c>
      <c r="P145" s="25" t="str">
        <f aca="false">IF(OR(O145="",O145="Sin información"),"",IFERROR(INDEX(Listas!$B$2:$B$9,MATCH(O145,Listas!$A$2:$A$9,0)),""))</f>
        <v/>
      </c>
      <c r="Q145" s="25" t="str">
        <f aca="false">IF(OR(O145="",O145="Sin información"),"",IFERROR(INDEX(Listas!$C$2:$C$9,MATCH(O145,Listas!$A$2:$A$9,0)),""))</f>
        <v/>
      </c>
      <c r="R145" s="22"/>
      <c r="S145" s="22"/>
      <c r="T145" s="25" t="str">
        <f aca="false">IF(S145="","",IFERROR(INDEX(Empleadores!$B$2:$B$601,MATCH(S145,Empleadores!$A$2:$A$601,0)),"No encontrado"))</f>
        <v/>
      </c>
      <c r="U145" s="25" t="str">
        <f aca="false">IF(C145="","",IF(V145="","No",IF(Config!$C$4-V145&lt;=Config!$C$15,"Sí","No")))</f>
        <v>No</v>
      </c>
      <c r="V145" s="23"/>
      <c r="W145" s="22"/>
      <c r="X145" s="22"/>
      <c r="Y145" s="22"/>
      <c r="Z145" s="27"/>
      <c r="AA145" s="22"/>
      <c r="AB145" s="22"/>
    </row>
    <row r="146" customFormat="false" ht="15" hidden="false" customHeight="false" outlineLevel="0" collapsed="false">
      <c r="A146" s="22" t="n">
        <v>145</v>
      </c>
      <c r="B146" s="22" t="s">
        <v>730</v>
      </c>
      <c r="C146" s="22" t="s">
        <v>731</v>
      </c>
      <c r="D146" s="22" t="s">
        <v>138</v>
      </c>
      <c r="E146" s="22" t="s">
        <v>139</v>
      </c>
      <c r="F146" s="22" t="s">
        <v>99</v>
      </c>
      <c r="G146" s="23" t="n">
        <v>44336</v>
      </c>
      <c r="H146" s="24" t="n">
        <f aca="false">IF(G146="","",ROUND((Config!$C$4-G146)/365.25,2))</f>
        <v>5.37</v>
      </c>
      <c r="I146" s="25" t="str">
        <f aca="false">IF(H146="","",IF(H146&lt;=1,"Tramo 1",IF(H146&lt;=3,"Tramo 2",IF(H146&lt;=5,"Tramo 3","Tramo 4"))))</f>
        <v>Tramo 4</v>
      </c>
      <c r="J146" s="22" t="s">
        <v>140</v>
      </c>
      <c r="K146" s="22"/>
      <c r="L146" s="22" t="s">
        <v>732</v>
      </c>
      <c r="M146" s="26" t="s">
        <v>733</v>
      </c>
      <c r="N146" s="22"/>
      <c r="O146" s="22" t="s">
        <v>63</v>
      </c>
      <c r="P146" s="25" t="str">
        <f aca="false">IF(OR(O146="",O146="Sin información"),"",IFERROR(INDEX(Listas!$B$2:$B$9,MATCH(O146,Listas!$A$2:$A$9,0)),""))</f>
        <v/>
      </c>
      <c r="Q146" s="25" t="str">
        <f aca="false">IF(OR(O146="",O146="Sin información"),"",IFERROR(INDEX(Listas!$C$2:$C$9,MATCH(O146,Listas!$A$2:$A$9,0)),""))</f>
        <v/>
      </c>
      <c r="R146" s="22"/>
      <c r="S146" s="22"/>
      <c r="T146" s="25" t="str">
        <f aca="false">IF(S146="","",IFERROR(INDEX(Empleadores!$B$2:$B$601,MATCH(S146,Empleadores!$A$2:$A$601,0)),"No encontrado"))</f>
        <v/>
      </c>
      <c r="U146" s="25" t="str">
        <f aca="false">IF(C146="","",IF(V146="","No",IF(Config!$C$4-V146&lt;=Config!$C$15,"Sí","No")))</f>
        <v>No</v>
      </c>
      <c r="V146" s="23"/>
      <c r="W146" s="22"/>
      <c r="X146" s="22"/>
      <c r="Y146" s="22"/>
      <c r="Z146" s="27"/>
      <c r="AA146" s="22"/>
      <c r="AB146" s="22"/>
    </row>
    <row r="147" customFormat="false" ht="15" hidden="false" customHeight="false" outlineLevel="0" collapsed="false">
      <c r="A147" s="22" t="n">
        <v>146</v>
      </c>
      <c r="B147" s="22" t="s">
        <v>734</v>
      </c>
      <c r="C147" s="22" t="s">
        <v>735</v>
      </c>
      <c r="D147" s="22" t="s">
        <v>138</v>
      </c>
      <c r="E147" s="22" t="s">
        <v>139</v>
      </c>
      <c r="F147" s="22" t="s">
        <v>99</v>
      </c>
      <c r="G147" s="23" t="n">
        <v>44336</v>
      </c>
      <c r="H147" s="24" t="n">
        <f aca="false">IF(G147="","",ROUND((Config!$C$4-G147)/365.25,2))</f>
        <v>5.37</v>
      </c>
      <c r="I147" s="25" t="str">
        <f aca="false">IF(H147="","",IF(H147&lt;=1,"Tramo 1",IF(H147&lt;=3,"Tramo 2",IF(H147&lt;=5,"Tramo 3","Tramo 4"))))</f>
        <v>Tramo 4</v>
      </c>
      <c r="J147" s="22" t="s">
        <v>140</v>
      </c>
      <c r="K147" s="22"/>
      <c r="L147" s="22" t="s">
        <v>736</v>
      </c>
      <c r="M147" s="26" t="s">
        <v>737</v>
      </c>
      <c r="N147" s="22"/>
      <c r="O147" s="22" t="s">
        <v>63</v>
      </c>
      <c r="P147" s="25" t="str">
        <f aca="false">IF(OR(O147="",O147="Sin información"),"",IFERROR(INDEX(Listas!$B$2:$B$9,MATCH(O147,Listas!$A$2:$A$9,0)),""))</f>
        <v/>
      </c>
      <c r="Q147" s="25" t="str">
        <f aca="false">IF(OR(O147="",O147="Sin información"),"",IFERROR(INDEX(Listas!$C$2:$C$9,MATCH(O147,Listas!$A$2:$A$9,0)),""))</f>
        <v/>
      </c>
      <c r="R147" s="22"/>
      <c r="S147" s="22"/>
      <c r="T147" s="25" t="str">
        <f aca="false">IF(S147="","",IFERROR(INDEX(Empleadores!$B$2:$B$601,MATCH(S147,Empleadores!$A$2:$A$601,0)),"No encontrado"))</f>
        <v/>
      </c>
      <c r="U147" s="25" t="str">
        <f aca="false">IF(C147="","",IF(V147="","No",IF(Config!$C$4-V147&lt;=Config!$C$15,"Sí","No")))</f>
        <v>No</v>
      </c>
      <c r="V147" s="23"/>
      <c r="W147" s="22"/>
      <c r="X147" s="22"/>
      <c r="Y147" s="22"/>
      <c r="Z147" s="27"/>
      <c r="AA147" s="22"/>
      <c r="AB147" s="22"/>
    </row>
    <row r="148" customFormat="false" ht="15" hidden="false" customHeight="false" outlineLevel="0" collapsed="false">
      <c r="A148" s="22" t="n">
        <v>147</v>
      </c>
      <c r="B148" s="22" t="s">
        <v>738</v>
      </c>
      <c r="C148" s="22" t="s">
        <v>739</v>
      </c>
      <c r="D148" s="22" t="s">
        <v>138</v>
      </c>
      <c r="E148" s="22" t="s">
        <v>139</v>
      </c>
      <c r="F148" s="22" t="s">
        <v>99</v>
      </c>
      <c r="G148" s="23" t="n">
        <v>44336</v>
      </c>
      <c r="H148" s="24" t="n">
        <f aca="false">IF(G148="","",ROUND((Config!$C$4-G148)/365.25,2))</f>
        <v>5.37</v>
      </c>
      <c r="I148" s="25" t="str">
        <f aca="false">IF(H148="","",IF(H148&lt;=1,"Tramo 1",IF(H148&lt;=3,"Tramo 2",IF(H148&lt;=5,"Tramo 3","Tramo 4"))))</f>
        <v>Tramo 4</v>
      </c>
      <c r="J148" s="22" t="s">
        <v>140</v>
      </c>
      <c r="K148" s="22"/>
      <c r="L148" s="22" t="s">
        <v>740</v>
      </c>
      <c r="M148" s="26" t="s">
        <v>741</v>
      </c>
      <c r="N148" s="22"/>
      <c r="O148" s="22" t="s">
        <v>63</v>
      </c>
      <c r="P148" s="25" t="str">
        <f aca="false">IF(OR(O148="",O148="Sin información"),"",IFERROR(INDEX(Listas!$B$2:$B$9,MATCH(O148,Listas!$A$2:$A$9,0)),""))</f>
        <v/>
      </c>
      <c r="Q148" s="25" t="str">
        <f aca="false">IF(OR(O148="",O148="Sin información"),"",IFERROR(INDEX(Listas!$C$2:$C$9,MATCH(O148,Listas!$A$2:$A$9,0)),""))</f>
        <v/>
      </c>
      <c r="R148" s="22"/>
      <c r="S148" s="22"/>
      <c r="T148" s="25" t="str">
        <f aca="false">IF(S148="","",IFERROR(INDEX(Empleadores!$B$2:$B$601,MATCH(S148,Empleadores!$A$2:$A$601,0)),"No encontrado"))</f>
        <v/>
      </c>
      <c r="U148" s="25" t="str">
        <f aca="false">IF(C148="","",IF(V148="","No",IF(Config!$C$4-V148&lt;=Config!$C$15,"Sí","No")))</f>
        <v>No</v>
      </c>
      <c r="V148" s="23"/>
      <c r="W148" s="22"/>
      <c r="X148" s="22"/>
      <c r="Y148" s="22"/>
      <c r="Z148" s="27"/>
      <c r="AA148" s="22"/>
      <c r="AB148" s="22"/>
    </row>
    <row r="149" customFormat="false" ht="15" hidden="false" customHeight="false" outlineLevel="0" collapsed="false">
      <c r="A149" s="22" t="n">
        <v>148</v>
      </c>
      <c r="B149" s="22" t="s">
        <v>742</v>
      </c>
      <c r="C149" s="22" t="s">
        <v>743</v>
      </c>
      <c r="D149" s="22" t="s">
        <v>149</v>
      </c>
      <c r="E149" s="22" t="s">
        <v>139</v>
      </c>
      <c r="F149" s="22" t="s">
        <v>99</v>
      </c>
      <c r="G149" s="23" t="n">
        <v>44336</v>
      </c>
      <c r="H149" s="24" t="n">
        <f aca="false">IF(G149="","",ROUND((Config!$C$4-G149)/365.25,2))</f>
        <v>5.37</v>
      </c>
      <c r="I149" s="25" t="str">
        <f aca="false">IF(H149="","",IF(H149&lt;=1,"Tramo 1",IF(H149&lt;=3,"Tramo 2",IF(H149&lt;=5,"Tramo 3","Tramo 4"))))</f>
        <v>Tramo 4</v>
      </c>
      <c r="J149" s="22" t="s">
        <v>140</v>
      </c>
      <c r="K149" s="22"/>
      <c r="L149" s="22" t="s">
        <v>744</v>
      </c>
      <c r="M149" s="26" t="s">
        <v>745</v>
      </c>
      <c r="N149" s="22"/>
      <c r="O149" s="22" t="s">
        <v>63</v>
      </c>
      <c r="P149" s="25" t="str">
        <f aca="false">IF(OR(O149="",O149="Sin información"),"",IFERROR(INDEX(Listas!$B$2:$B$9,MATCH(O149,Listas!$A$2:$A$9,0)),""))</f>
        <v/>
      </c>
      <c r="Q149" s="25" t="str">
        <f aca="false">IF(OR(O149="",O149="Sin información"),"",IFERROR(INDEX(Listas!$C$2:$C$9,MATCH(O149,Listas!$A$2:$A$9,0)),""))</f>
        <v/>
      </c>
      <c r="R149" s="22"/>
      <c r="S149" s="22"/>
      <c r="T149" s="25" t="str">
        <f aca="false">IF(S149="","",IFERROR(INDEX(Empleadores!$B$2:$B$601,MATCH(S149,Empleadores!$A$2:$A$601,0)),"No encontrado"))</f>
        <v/>
      </c>
      <c r="U149" s="25" t="str">
        <f aca="false">IF(C149="","",IF(V149="","No",IF(Config!$C$4-V149&lt;=Config!$C$15,"Sí","No")))</f>
        <v>No</v>
      </c>
      <c r="V149" s="23"/>
      <c r="W149" s="22"/>
      <c r="X149" s="22"/>
      <c r="Y149" s="22"/>
      <c r="Z149" s="27"/>
      <c r="AA149" s="22"/>
      <c r="AB149" s="22"/>
    </row>
    <row r="150" customFormat="false" ht="15" hidden="false" customHeight="false" outlineLevel="0" collapsed="false">
      <c r="A150" s="22" t="n">
        <v>149</v>
      </c>
      <c r="B150" s="22" t="s">
        <v>746</v>
      </c>
      <c r="C150" s="22" t="s">
        <v>747</v>
      </c>
      <c r="D150" s="22" t="s">
        <v>149</v>
      </c>
      <c r="E150" s="22" t="s">
        <v>139</v>
      </c>
      <c r="F150" s="22" t="s">
        <v>99</v>
      </c>
      <c r="G150" s="23" t="n">
        <v>44336</v>
      </c>
      <c r="H150" s="24" t="n">
        <f aca="false">IF(G150="","",ROUND((Config!$C$4-G150)/365.25,2))</f>
        <v>5.37</v>
      </c>
      <c r="I150" s="25" t="str">
        <f aca="false">IF(H150="","",IF(H150&lt;=1,"Tramo 1",IF(H150&lt;=3,"Tramo 2",IF(H150&lt;=5,"Tramo 3","Tramo 4"))))</f>
        <v>Tramo 4</v>
      </c>
      <c r="J150" s="22" t="s">
        <v>140</v>
      </c>
      <c r="K150" s="22"/>
      <c r="L150" s="22" t="s">
        <v>748</v>
      </c>
      <c r="M150" s="26" t="s">
        <v>749</v>
      </c>
      <c r="N150" s="22"/>
      <c r="O150" s="22" t="s">
        <v>63</v>
      </c>
      <c r="P150" s="25" t="str">
        <f aca="false">IF(OR(O150="",O150="Sin información"),"",IFERROR(INDEX(Listas!$B$2:$B$9,MATCH(O150,Listas!$A$2:$A$9,0)),""))</f>
        <v/>
      </c>
      <c r="Q150" s="25" t="str">
        <f aca="false">IF(OR(O150="",O150="Sin información"),"",IFERROR(INDEX(Listas!$C$2:$C$9,MATCH(O150,Listas!$A$2:$A$9,0)),""))</f>
        <v/>
      </c>
      <c r="R150" s="22"/>
      <c r="S150" s="22"/>
      <c r="T150" s="25" t="str">
        <f aca="false">IF(S150="","",IFERROR(INDEX(Empleadores!$B$2:$B$601,MATCH(S150,Empleadores!$A$2:$A$601,0)),"No encontrado"))</f>
        <v/>
      </c>
      <c r="U150" s="25" t="str">
        <f aca="false">IF(C150="","",IF(V150="","No",IF(Config!$C$4-V150&lt;=Config!$C$15,"Sí","No")))</f>
        <v>No</v>
      </c>
      <c r="V150" s="23"/>
      <c r="W150" s="22"/>
      <c r="X150" s="22"/>
      <c r="Y150" s="22"/>
      <c r="Z150" s="27"/>
      <c r="AA150" s="22"/>
      <c r="AB150" s="22"/>
    </row>
    <row r="151" customFormat="false" ht="15" hidden="false" customHeight="false" outlineLevel="0" collapsed="false">
      <c r="A151" s="22" t="n">
        <v>150</v>
      </c>
      <c r="B151" s="22" t="s">
        <v>750</v>
      </c>
      <c r="C151" s="22" t="s">
        <v>751</v>
      </c>
      <c r="D151" s="22" t="s">
        <v>138</v>
      </c>
      <c r="E151" s="22" t="s">
        <v>139</v>
      </c>
      <c r="F151" s="22" t="s">
        <v>99</v>
      </c>
      <c r="G151" s="23" t="n">
        <v>44336</v>
      </c>
      <c r="H151" s="24" t="n">
        <f aca="false">IF(G151="","",ROUND((Config!$C$4-G151)/365.25,2))</f>
        <v>5.37</v>
      </c>
      <c r="I151" s="25" t="str">
        <f aca="false">IF(H151="","",IF(H151&lt;=1,"Tramo 1",IF(H151&lt;=3,"Tramo 2",IF(H151&lt;=5,"Tramo 3","Tramo 4"))))</f>
        <v>Tramo 4</v>
      </c>
      <c r="J151" s="22" t="s">
        <v>140</v>
      </c>
      <c r="K151" s="22"/>
      <c r="L151" s="22" t="s">
        <v>752</v>
      </c>
      <c r="M151" s="26" t="s">
        <v>753</v>
      </c>
      <c r="N151" s="22"/>
      <c r="O151" s="22" t="s">
        <v>63</v>
      </c>
      <c r="P151" s="25" t="str">
        <f aca="false">IF(OR(O151="",O151="Sin información"),"",IFERROR(INDEX(Listas!$B$2:$B$9,MATCH(O151,Listas!$A$2:$A$9,0)),""))</f>
        <v/>
      </c>
      <c r="Q151" s="25" t="str">
        <f aca="false">IF(OR(O151="",O151="Sin información"),"",IFERROR(INDEX(Listas!$C$2:$C$9,MATCH(O151,Listas!$A$2:$A$9,0)),""))</f>
        <v/>
      </c>
      <c r="R151" s="22"/>
      <c r="S151" s="22"/>
      <c r="T151" s="25" t="str">
        <f aca="false">IF(S151="","",IFERROR(INDEX(Empleadores!$B$2:$B$601,MATCH(S151,Empleadores!$A$2:$A$601,0)),"No encontrado"))</f>
        <v/>
      </c>
      <c r="U151" s="25" t="str">
        <f aca="false">IF(C151="","",IF(V151="","No",IF(Config!$C$4-V151&lt;=Config!$C$15,"Sí","No")))</f>
        <v>No</v>
      </c>
      <c r="V151" s="23"/>
      <c r="W151" s="22"/>
      <c r="X151" s="22"/>
      <c r="Y151" s="22"/>
      <c r="Z151" s="27"/>
      <c r="AA151" s="22"/>
      <c r="AB151" s="22"/>
    </row>
    <row r="152" customFormat="false" ht="15" hidden="false" customHeight="false" outlineLevel="0" collapsed="false">
      <c r="A152" s="22" t="n">
        <v>151</v>
      </c>
      <c r="B152" s="22" t="s">
        <v>754</v>
      </c>
      <c r="C152" s="22" t="s">
        <v>755</v>
      </c>
      <c r="D152" s="22" t="s">
        <v>149</v>
      </c>
      <c r="E152" s="22" t="s">
        <v>139</v>
      </c>
      <c r="F152" s="22" t="s">
        <v>99</v>
      </c>
      <c r="G152" s="23" t="n">
        <v>44336</v>
      </c>
      <c r="H152" s="24" t="n">
        <f aca="false">IF(G152="","",ROUND((Config!$C$4-G152)/365.25,2))</f>
        <v>5.37</v>
      </c>
      <c r="I152" s="25" t="str">
        <f aca="false">IF(H152="","",IF(H152&lt;=1,"Tramo 1",IF(H152&lt;=3,"Tramo 2",IF(H152&lt;=5,"Tramo 3","Tramo 4"))))</f>
        <v>Tramo 4</v>
      </c>
      <c r="J152" s="22" t="s">
        <v>140</v>
      </c>
      <c r="K152" s="22"/>
      <c r="L152" s="22" t="s">
        <v>756</v>
      </c>
      <c r="M152" s="26" t="s">
        <v>757</v>
      </c>
      <c r="N152" s="22"/>
      <c r="O152" s="22" t="s">
        <v>63</v>
      </c>
      <c r="P152" s="25" t="str">
        <f aca="false">IF(OR(O152="",O152="Sin información"),"",IFERROR(INDEX(Listas!$B$2:$B$9,MATCH(O152,Listas!$A$2:$A$9,0)),""))</f>
        <v/>
      </c>
      <c r="Q152" s="25" t="str">
        <f aca="false">IF(OR(O152="",O152="Sin información"),"",IFERROR(INDEX(Listas!$C$2:$C$9,MATCH(O152,Listas!$A$2:$A$9,0)),""))</f>
        <v/>
      </c>
      <c r="R152" s="22"/>
      <c r="S152" s="22"/>
      <c r="T152" s="25" t="str">
        <f aca="false">IF(S152="","",IFERROR(INDEX(Empleadores!$B$2:$B$601,MATCH(S152,Empleadores!$A$2:$A$601,0)),"No encontrado"))</f>
        <v/>
      </c>
      <c r="U152" s="25" t="str">
        <f aca="false">IF(C152="","",IF(V152="","No",IF(Config!$C$4-V152&lt;=Config!$C$15,"Sí","No")))</f>
        <v>No</v>
      </c>
      <c r="V152" s="23"/>
      <c r="W152" s="22"/>
      <c r="X152" s="22"/>
      <c r="Y152" s="22"/>
      <c r="Z152" s="27"/>
      <c r="AA152" s="22"/>
      <c r="AB152" s="22"/>
    </row>
    <row r="153" customFormat="false" ht="15" hidden="false" customHeight="false" outlineLevel="0" collapsed="false">
      <c r="A153" s="22" t="n">
        <v>152</v>
      </c>
      <c r="B153" s="22" t="s">
        <v>758</v>
      </c>
      <c r="C153" s="22" t="s">
        <v>759</v>
      </c>
      <c r="D153" s="22" t="s">
        <v>138</v>
      </c>
      <c r="E153" s="22" t="s">
        <v>139</v>
      </c>
      <c r="F153" s="22" t="s">
        <v>99</v>
      </c>
      <c r="G153" s="23" t="n">
        <v>44336</v>
      </c>
      <c r="H153" s="24" t="n">
        <f aca="false">IF(G153="","",ROUND((Config!$C$4-G153)/365.25,2))</f>
        <v>5.37</v>
      </c>
      <c r="I153" s="25" t="str">
        <f aca="false">IF(H153="","",IF(H153&lt;=1,"Tramo 1",IF(H153&lt;=3,"Tramo 2",IF(H153&lt;=5,"Tramo 3","Tramo 4"))))</f>
        <v>Tramo 4</v>
      </c>
      <c r="J153" s="22" t="s">
        <v>140</v>
      </c>
      <c r="K153" s="22"/>
      <c r="L153" s="22" t="s">
        <v>760</v>
      </c>
      <c r="M153" s="26" t="s">
        <v>761</v>
      </c>
      <c r="N153" s="22"/>
      <c r="O153" s="22" t="s">
        <v>63</v>
      </c>
      <c r="P153" s="25" t="str">
        <f aca="false">IF(OR(O153="",O153="Sin información"),"",IFERROR(INDEX(Listas!$B$2:$B$9,MATCH(O153,Listas!$A$2:$A$9,0)),""))</f>
        <v/>
      </c>
      <c r="Q153" s="25" t="str">
        <f aca="false">IF(OR(O153="",O153="Sin información"),"",IFERROR(INDEX(Listas!$C$2:$C$9,MATCH(O153,Listas!$A$2:$A$9,0)),""))</f>
        <v/>
      </c>
      <c r="R153" s="22"/>
      <c r="S153" s="22"/>
      <c r="T153" s="25" t="str">
        <f aca="false">IF(S153="","",IFERROR(INDEX(Empleadores!$B$2:$B$601,MATCH(S153,Empleadores!$A$2:$A$601,0)),"No encontrado"))</f>
        <v/>
      </c>
      <c r="U153" s="25" t="str">
        <f aca="false">IF(C153="","",IF(V153="","No",IF(Config!$C$4-V153&lt;=Config!$C$15,"Sí","No")))</f>
        <v>No</v>
      </c>
      <c r="V153" s="23"/>
      <c r="W153" s="22"/>
      <c r="X153" s="22"/>
      <c r="Y153" s="22"/>
      <c r="Z153" s="27"/>
      <c r="AA153" s="22"/>
      <c r="AB153" s="22"/>
    </row>
    <row r="154" customFormat="false" ht="15" hidden="false" customHeight="false" outlineLevel="0" collapsed="false">
      <c r="A154" s="22" t="n">
        <v>153</v>
      </c>
      <c r="B154" s="22" t="s">
        <v>762</v>
      </c>
      <c r="C154" s="22" t="s">
        <v>763</v>
      </c>
      <c r="D154" s="22" t="s">
        <v>138</v>
      </c>
      <c r="E154" s="22" t="s">
        <v>139</v>
      </c>
      <c r="F154" s="22" t="s">
        <v>99</v>
      </c>
      <c r="G154" s="23" t="n">
        <v>44336</v>
      </c>
      <c r="H154" s="24" t="n">
        <f aca="false">IF(G154="","",ROUND((Config!$C$4-G154)/365.25,2))</f>
        <v>5.37</v>
      </c>
      <c r="I154" s="25" t="str">
        <f aca="false">IF(H154="","",IF(H154&lt;=1,"Tramo 1",IF(H154&lt;=3,"Tramo 2",IF(H154&lt;=5,"Tramo 3","Tramo 4"))))</f>
        <v>Tramo 4</v>
      </c>
      <c r="J154" s="22" t="s">
        <v>140</v>
      </c>
      <c r="K154" s="22"/>
      <c r="L154" s="22" t="s">
        <v>764</v>
      </c>
      <c r="M154" s="26" t="s">
        <v>765</v>
      </c>
      <c r="N154" s="22"/>
      <c r="O154" s="22" t="s">
        <v>63</v>
      </c>
      <c r="P154" s="25" t="str">
        <f aca="false">IF(OR(O154="",O154="Sin información"),"",IFERROR(INDEX(Listas!$B$2:$B$9,MATCH(O154,Listas!$A$2:$A$9,0)),""))</f>
        <v/>
      </c>
      <c r="Q154" s="25" t="str">
        <f aca="false">IF(OR(O154="",O154="Sin información"),"",IFERROR(INDEX(Listas!$C$2:$C$9,MATCH(O154,Listas!$A$2:$A$9,0)),""))</f>
        <v/>
      </c>
      <c r="R154" s="22"/>
      <c r="S154" s="22"/>
      <c r="T154" s="25" t="str">
        <f aca="false">IF(S154="","",IFERROR(INDEX(Empleadores!$B$2:$B$601,MATCH(S154,Empleadores!$A$2:$A$601,0)),"No encontrado"))</f>
        <v/>
      </c>
      <c r="U154" s="25" t="str">
        <f aca="false">IF(C154="","",IF(V154="","No",IF(Config!$C$4-V154&lt;=Config!$C$15,"Sí","No")))</f>
        <v>No</v>
      </c>
      <c r="V154" s="23"/>
      <c r="W154" s="22"/>
      <c r="X154" s="22"/>
      <c r="Y154" s="22"/>
      <c r="Z154" s="27"/>
      <c r="AA154" s="22"/>
      <c r="AB154" s="22"/>
    </row>
    <row r="155" customFormat="false" ht="15" hidden="false" customHeight="false" outlineLevel="0" collapsed="false">
      <c r="A155" s="22" t="n">
        <v>154</v>
      </c>
      <c r="B155" s="22" t="s">
        <v>766</v>
      </c>
      <c r="C155" s="22" t="s">
        <v>767</v>
      </c>
      <c r="D155" s="22" t="s">
        <v>149</v>
      </c>
      <c r="E155" s="22" t="s">
        <v>139</v>
      </c>
      <c r="F155" s="22" t="s">
        <v>99</v>
      </c>
      <c r="G155" s="23" t="n">
        <v>44336</v>
      </c>
      <c r="H155" s="24" t="n">
        <f aca="false">IF(G155="","",ROUND((Config!$C$4-G155)/365.25,2))</f>
        <v>5.37</v>
      </c>
      <c r="I155" s="25" t="str">
        <f aca="false">IF(H155="","",IF(H155&lt;=1,"Tramo 1",IF(H155&lt;=3,"Tramo 2",IF(H155&lt;=5,"Tramo 3","Tramo 4"))))</f>
        <v>Tramo 4</v>
      </c>
      <c r="J155" s="22" t="s">
        <v>140</v>
      </c>
      <c r="K155" s="22"/>
      <c r="L155" s="22" t="s">
        <v>768</v>
      </c>
      <c r="M155" s="26" t="s">
        <v>769</v>
      </c>
      <c r="N155" s="22"/>
      <c r="O155" s="22" t="s">
        <v>63</v>
      </c>
      <c r="P155" s="25" t="str">
        <f aca="false">IF(OR(O155="",O155="Sin información"),"",IFERROR(INDEX(Listas!$B$2:$B$9,MATCH(O155,Listas!$A$2:$A$9,0)),""))</f>
        <v/>
      </c>
      <c r="Q155" s="25" t="str">
        <f aca="false">IF(OR(O155="",O155="Sin información"),"",IFERROR(INDEX(Listas!$C$2:$C$9,MATCH(O155,Listas!$A$2:$A$9,0)),""))</f>
        <v/>
      </c>
      <c r="R155" s="22"/>
      <c r="S155" s="22"/>
      <c r="T155" s="25" t="str">
        <f aca="false">IF(S155="","",IFERROR(INDEX(Empleadores!$B$2:$B$601,MATCH(S155,Empleadores!$A$2:$A$601,0)),"No encontrado"))</f>
        <v/>
      </c>
      <c r="U155" s="25" t="str">
        <f aca="false">IF(C155="","",IF(V155="","No",IF(Config!$C$4-V155&lt;=Config!$C$15,"Sí","No")))</f>
        <v>No</v>
      </c>
      <c r="V155" s="23"/>
      <c r="W155" s="22"/>
      <c r="X155" s="22"/>
      <c r="Y155" s="22"/>
      <c r="Z155" s="27"/>
      <c r="AA155" s="22"/>
      <c r="AB155" s="22"/>
    </row>
    <row r="156" customFormat="false" ht="15" hidden="false" customHeight="false" outlineLevel="0" collapsed="false">
      <c r="A156" s="22" t="n">
        <v>155</v>
      </c>
      <c r="B156" s="22" t="s">
        <v>770</v>
      </c>
      <c r="C156" s="22" t="s">
        <v>771</v>
      </c>
      <c r="D156" s="22" t="s">
        <v>149</v>
      </c>
      <c r="E156" s="22" t="s">
        <v>139</v>
      </c>
      <c r="F156" s="22" t="s">
        <v>99</v>
      </c>
      <c r="G156" s="23" t="n">
        <v>44336</v>
      </c>
      <c r="H156" s="24" t="n">
        <f aca="false">IF(G156="","",ROUND((Config!$C$4-G156)/365.25,2))</f>
        <v>5.37</v>
      </c>
      <c r="I156" s="25" t="str">
        <f aca="false">IF(H156="","",IF(H156&lt;=1,"Tramo 1",IF(H156&lt;=3,"Tramo 2",IF(H156&lt;=5,"Tramo 3","Tramo 4"))))</f>
        <v>Tramo 4</v>
      </c>
      <c r="J156" s="22" t="s">
        <v>140</v>
      </c>
      <c r="K156" s="22"/>
      <c r="L156" s="22" t="s">
        <v>772</v>
      </c>
      <c r="M156" s="26" t="s">
        <v>773</v>
      </c>
      <c r="N156" s="22"/>
      <c r="O156" s="22" t="s">
        <v>63</v>
      </c>
      <c r="P156" s="25" t="str">
        <f aca="false">IF(OR(O156="",O156="Sin información"),"",IFERROR(INDEX(Listas!$B$2:$B$9,MATCH(O156,Listas!$A$2:$A$9,0)),""))</f>
        <v/>
      </c>
      <c r="Q156" s="25" t="str">
        <f aca="false">IF(OR(O156="",O156="Sin información"),"",IFERROR(INDEX(Listas!$C$2:$C$9,MATCH(O156,Listas!$A$2:$A$9,0)),""))</f>
        <v/>
      </c>
      <c r="R156" s="22"/>
      <c r="S156" s="22"/>
      <c r="T156" s="25" t="str">
        <f aca="false">IF(S156="","",IFERROR(INDEX(Empleadores!$B$2:$B$601,MATCH(S156,Empleadores!$A$2:$A$601,0)),"No encontrado"))</f>
        <v/>
      </c>
      <c r="U156" s="25" t="str">
        <f aca="false">IF(C156="","",IF(V156="","No",IF(Config!$C$4-V156&lt;=Config!$C$15,"Sí","No")))</f>
        <v>No</v>
      </c>
      <c r="V156" s="23"/>
      <c r="W156" s="22"/>
      <c r="X156" s="22"/>
      <c r="Y156" s="22"/>
      <c r="Z156" s="27"/>
      <c r="AA156" s="22"/>
      <c r="AB156" s="22"/>
    </row>
    <row r="157" customFormat="false" ht="15" hidden="false" customHeight="false" outlineLevel="0" collapsed="false">
      <c r="A157" s="22" t="n">
        <v>156</v>
      </c>
      <c r="B157" s="22" t="s">
        <v>774</v>
      </c>
      <c r="C157" s="22" t="s">
        <v>775</v>
      </c>
      <c r="D157" s="22" t="s">
        <v>138</v>
      </c>
      <c r="E157" s="22" t="s">
        <v>139</v>
      </c>
      <c r="F157" s="22" t="s">
        <v>99</v>
      </c>
      <c r="G157" s="23" t="n">
        <v>44336</v>
      </c>
      <c r="H157" s="24" t="n">
        <f aca="false">IF(G157="","",ROUND((Config!$C$4-G157)/365.25,2))</f>
        <v>5.37</v>
      </c>
      <c r="I157" s="25" t="str">
        <f aca="false">IF(H157="","",IF(H157&lt;=1,"Tramo 1",IF(H157&lt;=3,"Tramo 2",IF(H157&lt;=5,"Tramo 3","Tramo 4"))))</f>
        <v>Tramo 4</v>
      </c>
      <c r="J157" s="22" t="s">
        <v>140</v>
      </c>
      <c r="K157" s="22"/>
      <c r="L157" s="22" t="s">
        <v>776</v>
      </c>
      <c r="M157" s="26" t="s">
        <v>777</v>
      </c>
      <c r="N157" s="22"/>
      <c r="O157" s="22" t="s">
        <v>63</v>
      </c>
      <c r="P157" s="25" t="str">
        <f aca="false">IF(OR(O157="",O157="Sin información"),"",IFERROR(INDEX(Listas!$B$2:$B$9,MATCH(O157,Listas!$A$2:$A$9,0)),""))</f>
        <v/>
      </c>
      <c r="Q157" s="25" t="str">
        <f aca="false">IF(OR(O157="",O157="Sin información"),"",IFERROR(INDEX(Listas!$C$2:$C$9,MATCH(O157,Listas!$A$2:$A$9,0)),""))</f>
        <v/>
      </c>
      <c r="R157" s="22"/>
      <c r="S157" s="22"/>
      <c r="T157" s="25" t="str">
        <f aca="false">IF(S157="","",IFERROR(INDEX(Empleadores!$B$2:$B$601,MATCH(S157,Empleadores!$A$2:$A$601,0)),"No encontrado"))</f>
        <v/>
      </c>
      <c r="U157" s="25" t="str">
        <f aca="false">IF(C157="","",IF(V157="","No",IF(Config!$C$4-V157&lt;=Config!$C$15,"Sí","No")))</f>
        <v>No</v>
      </c>
      <c r="V157" s="23"/>
      <c r="W157" s="22"/>
      <c r="X157" s="22"/>
      <c r="Y157" s="22"/>
      <c r="Z157" s="27"/>
      <c r="AA157" s="22"/>
      <c r="AB157" s="22"/>
    </row>
    <row r="158" customFormat="false" ht="15" hidden="false" customHeight="false" outlineLevel="0" collapsed="false">
      <c r="A158" s="22" t="n">
        <v>157</v>
      </c>
      <c r="B158" s="22" t="s">
        <v>778</v>
      </c>
      <c r="C158" s="22" t="s">
        <v>779</v>
      </c>
      <c r="D158" s="22" t="s">
        <v>149</v>
      </c>
      <c r="E158" s="22" t="s">
        <v>139</v>
      </c>
      <c r="F158" s="22" t="s">
        <v>99</v>
      </c>
      <c r="G158" s="23" t="n">
        <v>44336</v>
      </c>
      <c r="H158" s="24" t="n">
        <f aca="false">IF(G158="","",ROUND((Config!$C$4-G158)/365.25,2))</f>
        <v>5.37</v>
      </c>
      <c r="I158" s="25" t="str">
        <f aca="false">IF(H158="","",IF(H158&lt;=1,"Tramo 1",IF(H158&lt;=3,"Tramo 2",IF(H158&lt;=5,"Tramo 3","Tramo 4"))))</f>
        <v>Tramo 4</v>
      </c>
      <c r="J158" s="22" t="s">
        <v>140</v>
      </c>
      <c r="K158" s="22"/>
      <c r="L158" s="22" t="s">
        <v>780</v>
      </c>
      <c r="M158" s="26" t="s">
        <v>781</v>
      </c>
      <c r="N158" s="22"/>
      <c r="O158" s="22" t="s">
        <v>63</v>
      </c>
      <c r="P158" s="25" t="str">
        <f aca="false">IF(OR(O158="",O158="Sin información"),"",IFERROR(INDEX(Listas!$B$2:$B$9,MATCH(O158,Listas!$A$2:$A$9,0)),""))</f>
        <v/>
      </c>
      <c r="Q158" s="25" t="str">
        <f aca="false">IF(OR(O158="",O158="Sin información"),"",IFERROR(INDEX(Listas!$C$2:$C$9,MATCH(O158,Listas!$A$2:$A$9,0)),""))</f>
        <v/>
      </c>
      <c r="R158" s="22"/>
      <c r="S158" s="22"/>
      <c r="T158" s="25" t="str">
        <f aca="false">IF(S158="","",IFERROR(INDEX(Empleadores!$B$2:$B$601,MATCH(S158,Empleadores!$A$2:$A$601,0)),"No encontrado"))</f>
        <v/>
      </c>
      <c r="U158" s="25" t="str">
        <f aca="false">IF(C158="","",IF(V158="","No",IF(Config!$C$4-V158&lt;=Config!$C$15,"Sí","No")))</f>
        <v>Sí</v>
      </c>
      <c r="V158" s="23" t="n">
        <v>45967</v>
      </c>
      <c r="W158" s="22"/>
      <c r="X158" s="22"/>
      <c r="Y158" s="22" t="s">
        <v>181</v>
      </c>
      <c r="Z158" s="27"/>
      <c r="AA158" s="22"/>
      <c r="AB158" s="22" t="s">
        <v>183</v>
      </c>
    </row>
    <row r="159" customFormat="false" ht="15" hidden="false" customHeight="false" outlineLevel="0" collapsed="false">
      <c r="A159" s="22" t="n">
        <v>158</v>
      </c>
      <c r="B159" s="22" t="s">
        <v>782</v>
      </c>
      <c r="C159" s="22" t="s">
        <v>783</v>
      </c>
      <c r="D159" s="22" t="s">
        <v>149</v>
      </c>
      <c r="E159" s="22" t="s">
        <v>139</v>
      </c>
      <c r="F159" s="22" t="s">
        <v>99</v>
      </c>
      <c r="G159" s="23" t="n">
        <v>44336</v>
      </c>
      <c r="H159" s="24" t="n">
        <f aca="false">IF(G159="","",ROUND((Config!$C$4-G159)/365.25,2))</f>
        <v>5.37</v>
      </c>
      <c r="I159" s="25" t="str">
        <f aca="false">IF(H159="","",IF(H159&lt;=1,"Tramo 1",IF(H159&lt;=3,"Tramo 2",IF(H159&lt;=5,"Tramo 3","Tramo 4"))))</f>
        <v>Tramo 4</v>
      </c>
      <c r="J159" s="22" t="s">
        <v>140</v>
      </c>
      <c r="K159" s="22"/>
      <c r="L159" s="22" t="s">
        <v>784</v>
      </c>
      <c r="M159" s="26" t="s">
        <v>785</v>
      </c>
      <c r="N159" s="22"/>
      <c r="O159" s="22" t="s">
        <v>63</v>
      </c>
      <c r="P159" s="25" t="str">
        <f aca="false">IF(OR(O159="",O159="Sin información"),"",IFERROR(INDEX(Listas!$B$2:$B$9,MATCH(O159,Listas!$A$2:$A$9,0)),""))</f>
        <v/>
      </c>
      <c r="Q159" s="25" t="str">
        <f aca="false">IF(OR(O159="",O159="Sin información"),"",IFERROR(INDEX(Listas!$C$2:$C$9,MATCH(O159,Listas!$A$2:$A$9,0)),""))</f>
        <v/>
      </c>
      <c r="R159" s="22"/>
      <c r="S159" s="22"/>
      <c r="T159" s="25" t="str">
        <f aca="false">IF(S159="","",IFERROR(INDEX(Empleadores!$B$2:$B$601,MATCH(S159,Empleadores!$A$2:$A$601,0)),"No encontrado"))</f>
        <v/>
      </c>
      <c r="U159" s="25" t="str">
        <f aca="false">IF(C159="","",IF(V159="","No",IF(Config!$C$4-V159&lt;=Config!$C$15,"Sí","No")))</f>
        <v>No</v>
      </c>
      <c r="V159" s="23"/>
      <c r="W159" s="22"/>
      <c r="X159" s="22"/>
      <c r="Y159" s="22"/>
      <c r="Z159" s="27"/>
      <c r="AA159" s="22"/>
      <c r="AB159" s="22"/>
    </row>
    <row r="160" customFormat="false" ht="15" hidden="false" customHeight="false" outlineLevel="0" collapsed="false">
      <c r="A160" s="22" t="n">
        <v>159</v>
      </c>
      <c r="B160" s="22" t="s">
        <v>786</v>
      </c>
      <c r="C160" s="22" t="s">
        <v>787</v>
      </c>
      <c r="D160" s="22" t="s">
        <v>149</v>
      </c>
      <c r="E160" s="22" t="s">
        <v>139</v>
      </c>
      <c r="F160" s="22" t="s">
        <v>99</v>
      </c>
      <c r="G160" s="23" t="n">
        <v>44336</v>
      </c>
      <c r="H160" s="24" t="n">
        <f aca="false">IF(G160="","",ROUND((Config!$C$4-G160)/365.25,2))</f>
        <v>5.37</v>
      </c>
      <c r="I160" s="25" t="str">
        <f aca="false">IF(H160="","",IF(H160&lt;=1,"Tramo 1",IF(H160&lt;=3,"Tramo 2",IF(H160&lt;=5,"Tramo 3","Tramo 4"))))</f>
        <v>Tramo 4</v>
      </c>
      <c r="J160" s="22" t="s">
        <v>140</v>
      </c>
      <c r="K160" s="22"/>
      <c r="L160" s="22" t="s">
        <v>788</v>
      </c>
      <c r="M160" s="26" t="s">
        <v>789</v>
      </c>
      <c r="N160" s="22"/>
      <c r="O160" s="22" t="s">
        <v>63</v>
      </c>
      <c r="P160" s="25" t="str">
        <f aca="false">IF(OR(O160="",O160="Sin información"),"",IFERROR(INDEX(Listas!$B$2:$B$9,MATCH(O160,Listas!$A$2:$A$9,0)),""))</f>
        <v/>
      </c>
      <c r="Q160" s="25" t="str">
        <f aca="false">IF(OR(O160="",O160="Sin información"),"",IFERROR(INDEX(Listas!$C$2:$C$9,MATCH(O160,Listas!$A$2:$A$9,0)),""))</f>
        <v/>
      </c>
      <c r="R160" s="22"/>
      <c r="S160" s="22"/>
      <c r="T160" s="25" t="str">
        <f aca="false">IF(S160="","",IFERROR(INDEX(Empleadores!$B$2:$B$601,MATCH(S160,Empleadores!$A$2:$A$601,0)),"No encontrado"))</f>
        <v/>
      </c>
      <c r="U160" s="25" t="str">
        <f aca="false">IF(C160="","",IF(V160="","No",IF(Config!$C$4-V160&lt;=Config!$C$15,"Sí","No")))</f>
        <v>No</v>
      </c>
      <c r="V160" s="23"/>
      <c r="W160" s="22"/>
      <c r="X160" s="22"/>
      <c r="Y160" s="22"/>
      <c r="Z160" s="27"/>
      <c r="AA160" s="22"/>
      <c r="AB160" s="22"/>
    </row>
    <row r="161" customFormat="false" ht="15" hidden="false" customHeight="false" outlineLevel="0" collapsed="false">
      <c r="A161" s="22" t="n">
        <v>160</v>
      </c>
      <c r="B161" s="22" t="s">
        <v>790</v>
      </c>
      <c r="C161" s="22" t="s">
        <v>791</v>
      </c>
      <c r="D161" s="22" t="s">
        <v>138</v>
      </c>
      <c r="E161" s="22" t="s">
        <v>139</v>
      </c>
      <c r="F161" s="22" t="s">
        <v>99</v>
      </c>
      <c r="G161" s="23" t="n">
        <v>44336</v>
      </c>
      <c r="H161" s="24" t="n">
        <f aca="false">IF(G161="","",ROUND((Config!$C$4-G161)/365.25,2))</f>
        <v>5.37</v>
      </c>
      <c r="I161" s="25" t="str">
        <f aca="false">IF(H161="","",IF(H161&lt;=1,"Tramo 1",IF(H161&lt;=3,"Tramo 2",IF(H161&lt;=5,"Tramo 3","Tramo 4"))))</f>
        <v>Tramo 4</v>
      </c>
      <c r="J161" s="22" t="s">
        <v>140</v>
      </c>
      <c r="K161" s="22"/>
      <c r="L161" s="22" t="s">
        <v>792</v>
      </c>
      <c r="M161" s="26" t="s">
        <v>793</v>
      </c>
      <c r="N161" s="22"/>
      <c r="O161" s="22" t="s">
        <v>63</v>
      </c>
      <c r="P161" s="25" t="str">
        <f aca="false">IF(OR(O161="",O161="Sin información"),"",IFERROR(INDEX(Listas!$B$2:$B$9,MATCH(O161,Listas!$A$2:$A$9,0)),""))</f>
        <v/>
      </c>
      <c r="Q161" s="25" t="str">
        <f aca="false">IF(OR(O161="",O161="Sin información"),"",IFERROR(INDEX(Listas!$C$2:$C$9,MATCH(O161,Listas!$A$2:$A$9,0)),""))</f>
        <v/>
      </c>
      <c r="R161" s="22"/>
      <c r="S161" s="22"/>
      <c r="T161" s="25" t="str">
        <f aca="false">IF(S161="","",IFERROR(INDEX(Empleadores!$B$2:$B$601,MATCH(S161,Empleadores!$A$2:$A$601,0)),"No encontrado"))</f>
        <v/>
      </c>
      <c r="U161" s="25" t="str">
        <f aca="false">IF(C161="","",IF(V161="","No",IF(Config!$C$4-V161&lt;=Config!$C$15,"Sí","No")))</f>
        <v>No</v>
      </c>
      <c r="V161" s="23"/>
      <c r="W161" s="22"/>
      <c r="X161" s="22"/>
      <c r="Y161" s="22"/>
      <c r="Z161" s="27"/>
      <c r="AA161" s="22"/>
      <c r="AB161" s="22"/>
    </row>
    <row r="162" customFormat="false" ht="15" hidden="false" customHeight="false" outlineLevel="0" collapsed="false">
      <c r="A162" s="22" t="n">
        <v>161</v>
      </c>
      <c r="B162" s="22" t="s">
        <v>794</v>
      </c>
      <c r="C162" s="22" t="s">
        <v>795</v>
      </c>
      <c r="D162" s="22" t="s">
        <v>138</v>
      </c>
      <c r="E162" s="22" t="s">
        <v>139</v>
      </c>
      <c r="F162" s="22" t="s">
        <v>99</v>
      </c>
      <c r="G162" s="23" t="n">
        <v>44336</v>
      </c>
      <c r="H162" s="24" t="n">
        <f aca="false">IF(G162="","",ROUND((Config!$C$4-G162)/365.25,2))</f>
        <v>5.37</v>
      </c>
      <c r="I162" s="25" t="str">
        <f aca="false">IF(H162="","",IF(H162&lt;=1,"Tramo 1",IF(H162&lt;=3,"Tramo 2",IF(H162&lt;=5,"Tramo 3","Tramo 4"))))</f>
        <v>Tramo 4</v>
      </c>
      <c r="J162" s="22" t="s">
        <v>140</v>
      </c>
      <c r="K162" s="22"/>
      <c r="L162" s="22" t="s">
        <v>796</v>
      </c>
      <c r="M162" s="26" t="s">
        <v>797</v>
      </c>
      <c r="N162" s="22"/>
      <c r="O162" s="22" t="s">
        <v>63</v>
      </c>
      <c r="P162" s="25" t="str">
        <f aca="false">IF(OR(O162="",O162="Sin información"),"",IFERROR(INDEX(Listas!$B$2:$B$9,MATCH(O162,Listas!$A$2:$A$9,0)),""))</f>
        <v/>
      </c>
      <c r="Q162" s="25" t="str">
        <f aca="false">IF(OR(O162="",O162="Sin información"),"",IFERROR(INDEX(Listas!$C$2:$C$9,MATCH(O162,Listas!$A$2:$A$9,0)),""))</f>
        <v/>
      </c>
      <c r="R162" s="22"/>
      <c r="S162" s="22"/>
      <c r="T162" s="25" t="str">
        <f aca="false">IF(S162="","",IFERROR(INDEX(Empleadores!$B$2:$B$601,MATCH(S162,Empleadores!$A$2:$A$601,0)),"No encontrado"))</f>
        <v/>
      </c>
      <c r="U162" s="25" t="str">
        <f aca="false">IF(C162="","",IF(V162="","No",IF(Config!$C$4-V162&lt;=Config!$C$15,"Sí","No")))</f>
        <v>No</v>
      </c>
      <c r="V162" s="23"/>
      <c r="W162" s="22"/>
      <c r="X162" s="22"/>
      <c r="Y162" s="22"/>
      <c r="Z162" s="27"/>
      <c r="AA162" s="22"/>
      <c r="AB162" s="22"/>
    </row>
    <row r="163" customFormat="false" ht="15" hidden="false" customHeight="false" outlineLevel="0" collapsed="false">
      <c r="A163" s="22" t="n">
        <v>162</v>
      </c>
      <c r="B163" s="22" t="s">
        <v>798</v>
      </c>
      <c r="C163" s="22" t="s">
        <v>799</v>
      </c>
      <c r="D163" s="22" t="s">
        <v>149</v>
      </c>
      <c r="E163" s="22" t="s">
        <v>139</v>
      </c>
      <c r="F163" s="22" t="s">
        <v>99</v>
      </c>
      <c r="G163" s="23" t="n">
        <v>44336</v>
      </c>
      <c r="H163" s="24" t="n">
        <f aca="false">IF(G163="","",ROUND((Config!$C$4-G163)/365.25,2))</f>
        <v>5.37</v>
      </c>
      <c r="I163" s="25" t="str">
        <f aca="false">IF(H163="","",IF(H163&lt;=1,"Tramo 1",IF(H163&lt;=3,"Tramo 2",IF(H163&lt;=5,"Tramo 3","Tramo 4"))))</f>
        <v>Tramo 4</v>
      </c>
      <c r="J163" s="22" t="s">
        <v>140</v>
      </c>
      <c r="K163" s="22"/>
      <c r="L163" s="22" t="s">
        <v>800</v>
      </c>
      <c r="M163" s="26" t="s">
        <v>801</v>
      </c>
      <c r="N163" s="22"/>
      <c r="O163" s="22" t="s">
        <v>63</v>
      </c>
      <c r="P163" s="25" t="str">
        <f aca="false">IF(OR(O163="",O163="Sin información"),"",IFERROR(INDEX(Listas!$B$2:$B$9,MATCH(O163,Listas!$A$2:$A$9,0)),""))</f>
        <v/>
      </c>
      <c r="Q163" s="25" t="str">
        <f aca="false">IF(OR(O163="",O163="Sin información"),"",IFERROR(INDEX(Listas!$C$2:$C$9,MATCH(O163,Listas!$A$2:$A$9,0)),""))</f>
        <v/>
      </c>
      <c r="R163" s="22"/>
      <c r="S163" s="22"/>
      <c r="T163" s="25" t="str">
        <f aca="false">IF(S163="","",IFERROR(INDEX(Empleadores!$B$2:$B$601,MATCH(S163,Empleadores!$A$2:$A$601,0)),"No encontrado"))</f>
        <v/>
      </c>
      <c r="U163" s="25" t="str">
        <f aca="false">IF(C163="","",IF(V163="","No",IF(Config!$C$4-V163&lt;=Config!$C$15,"Sí","No")))</f>
        <v>No</v>
      </c>
      <c r="V163" s="23"/>
      <c r="W163" s="22"/>
      <c r="X163" s="22"/>
      <c r="Y163" s="22"/>
      <c r="Z163" s="27"/>
      <c r="AA163" s="22"/>
      <c r="AB163" s="22"/>
    </row>
    <row r="164" customFormat="false" ht="15" hidden="false" customHeight="false" outlineLevel="0" collapsed="false">
      <c r="A164" s="22" t="n">
        <v>163</v>
      </c>
      <c r="B164" s="22" t="s">
        <v>802</v>
      </c>
      <c r="C164" s="22" t="s">
        <v>803</v>
      </c>
      <c r="D164" s="22" t="s">
        <v>149</v>
      </c>
      <c r="E164" s="22" t="s">
        <v>139</v>
      </c>
      <c r="F164" s="22" t="s">
        <v>99</v>
      </c>
      <c r="G164" s="23" t="n">
        <v>44336</v>
      </c>
      <c r="H164" s="24" t="n">
        <f aca="false">IF(G164="","",ROUND((Config!$C$4-G164)/365.25,2))</f>
        <v>5.37</v>
      </c>
      <c r="I164" s="25" t="str">
        <f aca="false">IF(H164="","",IF(H164&lt;=1,"Tramo 1",IF(H164&lt;=3,"Tramo 2",IF(H164&lt;=5,"Tramo 3","Tramo 4"))))</f>
        <v>Tramo 4</v>
      </c>
      <c r="J164" s="22" t="s">
        <v>140</v>
      </c>
      <c r="K164" s="22"/>
      <c r="L164" s="22" t="s">
        <v>804</v>
      </c>
      <c r="M164" s="26" t="s">
        <v>805</v>
      </c>
      <c r="N164" s="22"/>
      <c r="O164" s="22" t="s">
        <v>63</v>
      </c>
      <c r="P164" s="25" t="str">
        <f aca="false">IF(OR(O164="",O164="Sin información"),"",IFERROR(INDEX(Listas!$B$2:$B$9,MATCH(O164,Listas!$A$2:$A$9,0)),""))</f>
        <v/>
      </c>
      <c r="Q164" s="25" t="str">
        <f aca="false">IF(OR(O164="",O164="Sin información"),"",IFERROR(INDEX(Listas!$C$2:$C$9,MATCH(O164,Listas!$A$2:$A$9,0)),""))</f>
        <v/>
      </c>
      <c r="R164" s="22"/>
      <c r="S164" s="22"/>
      <c r="T164" s="25" t="str">
        <f aca="false">IF(S164="","",IFERROR(INDEX(Empleadores!$B$2:$B$601,MATCH(S164,Empleadores!$A$2:$A$601,0)),"No encontrado"))</f>
        <v/>
      </c>
      <c r="U164" s="25" t="str">
        <f aca="false">IF(C164="","",IF(V164="","No",IF(Config!$C$4-V164&lt;=Config!$C$15,"Sí","No")))</f>
        <v>No</v>
      </c>
      <c r="V164" s="23"/>
      <c r="W164" s="22"/>
      <c r="X164" s="22"/>
      <c r="Y164" s="22"/>
      <c r="Z164" s="27"/>
      <c r="AA164" s="22"/>
      <c r="AB164" s="22"/>
    </row>
    <row r="165" customFormat="false" ht="15" hidden="false" customHeight="false" outlineLevel="0" collapsed="false">
      <c r="A165" s="22" t="n">
        <v>164</v>
      </c>
      <c r="B165" s="22" t="s">
        <v>806</v>
      </c>
      <c r="C165" s="22" t="s">
        <v>807</v>
      </c>
      <c r="D165" s="22" t="s">
        <v>138</v>
      </c>
      <c r="E165" s="22" t="s">
        <v>139</v>
      </c>
      <c r="F165" s="22" t="s">
        <v>99</v>
      </c>
      <c r="G165" s="23" t="n">
        <v>44336</v>
      </c>
      <c r="H165" s="24" t="n">
        <f aca="false">IF(G165="","",ROUND((Config!$C$4-G165)/365.25,2))</f>
        <v>5.37</v>
      </c>
      <c r="I165" s="25" t="str">
        <f aca="false">IF(H165="","",IF(H165&lt;=1,"Tramo 1",IF(H165&lt;=3,"Tramo 2",IF(H165&lt;=5,"Tramo 3","Tramo 4"))))</f>
        <v>Tramo 4</v>
      </c>
      <c r="J165" s="22" t="s">
        <v>140</v>
      </c>
      <c r="K165" s="22"/>
      <c r="L165" s="22" t="s">
        <v>808</v>
      </c>
      <c r="M165" s="26" t="s">
        <v>809</v>
      </c>
      <c r="N165" s="22"/>
      <c r="O165" s="22" t="s">
        <v>63</v>
      </c>
      <c r="P165" s="25" t="str">
        <f aca="false">IF(OR(O165="",O165="Sin información"),"",IFERROR(INDEX(Listas!$B$2:$B$9,MATCH(O165,Listas!$A$2:$A$9,0)),""))</f>
        <v/>
      </c>
      <c r="Q165" s="25" t="str">
        <f aca="false">IF(OR(O165="",O165="Sin información"),"",IFERROR(INDEX(Listas!$C$2:$C$9,MATCH(O165,Listas!$A$2:$A$9,0)),""))</f>
        <v/>
      </c>
      <c r="R165" s="22"/>
      <c r="S165" s="22"/>
      <c r="T165" s="25" t="str">
        <f aca="false">IF(S165="","",IFERROR(INDEX(Empleadores!$B$2:$B$601,MATCH(S165,Empleadores!$A$2:$A$601,0)),"No encontrado"))</f>
        <v/>
      </c>
      <c r="U165" s="25" t="str">
        <f aca="false">IF(C165="","",IF(V165="","No",IF(Config!$C$4-V165&lt;=Config!$C$15,"Sí","No")))</f>
        <v>No</v>
      </c>
      <c r="V165" s="23"/>
      <c r="W165" s="22"/>
      <c r="X165" s="22"/>
      <c r="Y165" s="22"/>
      <c r="Z165" s="27"/>
      <c r="AA165" s="22"/>
      <c r="AB165" s="22"/>
    </row>
    <row r="166" customFormat="false" ht="15" hidden="false" customHeight="false" outlineLevel="0" collapsed="false">
      <c r="A166" s="22" t="n">
        <v>165</v>
      </c>
      <c r="B166" s="22" t="s">
        <v>810</v>
      </c>
      <c r="C166" s="22" t="s">
        <v>811</v>
      </c>
      <c r="D166" s="22" t="s">
        <v>138</v>
      </c>
      <c r="E166" s="22" t="s">
        <v>139</v>
      </c>
      <c r="F166" s="22" t="s">
        <v>101</v>
      </c>
      <c r="G166" s="23" t="n">
        <v>44698</v>
      </c>
      <c r="H166" s="24" t="n">
        <f aca="false">IF(G166="","",ROUND((Config!$C$4-G166)/365.25,2))</f>
        <v>4.38</v>
      </c>
      <c r="I166" s="25" t="str">
        <f aca="false">IF(H166="","",IF(H166&lt;=1,"Tramo 1",IF(H166&lt;=3,"Tramo 2",IF(H166&lt;=5,"Tramo 3","Tramo 4"))))</f>
        <v>Tramo 3</v>
      </c>
      <c r="J166" s="22" t="s">
        <v>140</v>
      </c>
      <c r="K166" s="22"/>
      <c r="L166" s="22" t="s">
        <v>812</v>
      </c>
      <c r="M166" s="26" t="s">
        <v>813</v>
      </c>
      <c r="N166" s="22"/>
      <c r="O166" s="22" t="s">
        <v>85</v>
      </c>
      <c r="P166" s="25" t="str">
        <f aca="false">IF(OR(O166="",O166="Sin información"),"",IFERROR(INDEX(Listas!$B$2:$B$9,MATCH(O166,Listas!$A$2:$A$9,0)),""))</f>
        <v>Sí</v>
      </c>
      <c r="Q166" s="25" t="str">
        <f aca="false">IF(OR(O166="",O166="Sin información"),"",IFERROR(INDEX(Listas!$C$2:$C$9,MATCH(O166,Listas!$A$2:$A$9,0)),""))</f>
        <v>Sí</v>
      </c>
      <c r="R166" s="22"/>
      <c r="S166" s="22"/>
      <c r="T166" s="25" t="str">
        <f aca="false">IF(S166="","",IFERROR(INDEX(Empleadores!$B$2:$B$601,MATCH(S166,Empleadores!$A$2:$A$601,0)),"No encontrado"))</f>
        <v/>
      </c>
      <c r="U166" s="25" t="str">
        <f aca="false">IF(C166="","",IF(V166="","No",IF(Config!$C$4-V166&lt;=Config!$C$15,"Sí","No")))</f>
        <v>Sí</v>
      </c>
      <c r="V166" s="23" t="n">
        <v>45972</v>
      </c>
      <c r="W166" s="22"/>
      <c r="X166" s="22"/>
      <c r="Y166" s="22" t="s">
        <v>181</v>
      </c>
      <c r="Z166" s="27" t="s">
        <v>814</v>
      </c>
      <c r="AA166" s="22" t="s">
        <v>815</v>
      </c>
      <c r="AB166" s="22" t="s">
        <v>816</v>
      </c>
    </row>
    <row r="167" customFormat="false" ht="15" hidden="false" customHeight="false" outlineLevel="0" collapsed="false">
      <c r="A167" s="22" t="n">
        <v>166</v>
      </c>
      <c r="B167" s="22" t="s">
        <v>817</v>
      </c>
      <c r="C167" s="22" t="s">
        <v>818</v>
      </c>
      <c r="D167" s="22" t="s">
        <v>138</v>
      </c>
      <c r="E167" s="22" t="s">
        <v>139</v>
      </c>
      <c r="F167" s="22" t="s">
        <v>101</v>
      </c>
      <c r="G167" s="23" t="n">
        <v>44698</v>
      </c>
      <c r="H167" s="24" t="n">
        <f aca="false">IF(G167="","",ROUND((Config!$C$4-G167)/365.25,2))</f>
        <v>4.38</v>
      </c>
      <c r="I167" s="25" t="str">
        <f aca="false">IF(H167="","",IF(H167&lt;=1,"Tramo 1",IF(H167&lt;=3,"Tramo 2",IF(H167&lt;=5,"Tramo 3","Tramo 4"))))</f>
        <v>Tramo 3</v>
      </c>
      <c r="J167" s="22" t="s">
        <v>140</v>
      </c>
      <c r="K167" s="22"/>
      <c r="L167" s="22" t="s">
        <v>819</v>
      </c>
      <c r="M167" s="26" t="s">
        <v>820</v>
      </c>
      <c r="N167" s="22"/>
      <c r="O167" s="22" t="s">
        <v>63</v>
      </c>
      <c r="P167" s="25" t="str">
        <f aca="false">IF(OR(O167="",O167="Sin información"),"",IFERROR(INDEX(Listas!$B$2:$B$9,MATCH(O167,Listas!$A$2:$A$9,0)),""))</f>
        <v/>
      </c>
      <c r="Q167" s="25" t="str">
        <f aca="false">IF(OR(O167="",O167="Sin información"),"",IFERROR(INDEX(Listas!$C$2:$C$9,MATCH(O167,Listas!$A$2:$A$9,0)),""))</f>
        <v/>
      </c>
      <c r="R167" s="22"/>
      <c r="S167" s="22"/>
      <c r="T167" s="25" t="str">
        <f aca="false">IF(S167="","",IFERROR(INDEX(Empleadores!$B$2:$B$601,MATCH(S167,Empleadores!$A$2:$A$601,0)),"No encontrado"))</f>
        <v/>
      </c>
      <c r="U167" s="25" t="str">
        <f aca="false">IF(C167="","",IF(V167="","No",IF(Config!$C$4-V167&lt;=Config!$C$15,"Sí","No")))</f>
        <v>No</v>
      </c>
      <c r="V167" s="23"/>
      <c r="W167" s="22"/>
      <c r="X167" s="22"/>
      <c r="Y167" s="22"/>
      <c r="Z167" s="27" t="s">
        <v>821</v>
      </c>
      <c r="AA167" s="22"/>
      <c r="AB167" s="22"/>
    </row>
    <row r="168" customFormat="false" ht="15" hidden="false" customHeight="false" outlineLevel="0" collapsed="false">
      <c r="A168" s="22" t="n">
        <v>167</v>
      </c>
      <c r="B168" s="22" t="s">
        <v>822</v>
      </c>
      <c r="C168" s="22" t="s">
        <v>823</v>
      </c>
      <c r="D168" s="22" t="s">
        <v>149</v>
      </c>
      <c r="E168" s="22" t="s">
        <v>139</v>
      </c>
      <c r="F168" s="22" t="s">
        <v>101</v>
      </c>
      <c r="G168" s="23" t="n">
        <v>44698</v>
      </c>
      <c r="H168" s="24" t="n">
        <f aca="false">IF(G168="","",ROUND((Config!$C$4-G168)/365.25,2))</f>
        <v>4.38</v>
      </c>
      <c r="I168" s="25" t="str">
        <f aca="false">IF(H168="","",IF(H168&lt;=1,"Tramo 1",IF(H168&lt;=3,"Tramo 2",IF(H168&lt;=5,"Tramo 3","Tramo 4"))))</f>
        <v>Tramo 3</v>
      </c>
      <c r="J168" s="22" t="s">
        <v>140</v>
      </c>
      <c r="K168" s="22"/>
      <c r="L168" s="22" t="s">
        <v>824</v>
      </c>
      <c r="M168" s="26" t="s">
        <v>825</v>
      </c>
      <c r="N168" s="22"/>
      <c r="O168" s="22" t="s">
        <v>85</v>
      </c>
      <c r="P168" s="25" t="str">
        <f aca="false">IF(OR(O168="",O168="Sin información"),"",IFERROR(INDEX(Listas!$B$2:$B$9,MATCH(O168,Listas!$A$2:$A$9,0)),""))</f>
        <v>Sí</v>
      </c>
      <c r="Q168" s="25" t="str">
        <f aca="false">IF(OR(O168="",O168="Sin información"),"",IFERROR(INDEX(Listas!$C$2:$C$9,MATCH(O168,Listas!$A$2:$A$9,0)),""))</f>
        <v>Sí</v>
      </c>
      <c r="R168" s="22" t="s">
        <v>826</v>
      </c>
      <c r="S168" s="22" t="s">
        <v>827</v>
      </c>
      <c r="T168" s="25" t="str">
        <f aca="false">IF(S168="","",IFERROR(INDEX(Empleadores!$B$2:$B$601,MATCH(S168,Empleadores!$A$2:$A$601,0)),"No encontrado"))</f>
        <v>Pluspetrol Perú Corporation</v>
      </c>
      <c r="U168" s="25" t="str">
        <f aca="false">IF(C168="","",IF(V168="","No",IF(Config!$C$4-V168&lt;=Config!$C$15,"Sí","No")))</f>
        <v>Sí</v>
      </c>
      <c r="V168" s="23" t="n">
        <v>45966</v>
      </c>
      <c r="W168" s="22"/>
      <c r="X168" s="22"/>
      <c r="Y168" s="22" t="s">
        <v>181</v>
      </c>
      <c r="Z168" s="27" t="s">
        <v>828</v>
      </c>
      <c r="AA168" s="22" t="s">
        <v>829</v>
      </c>
      <c r="AB168" s="22" t="s">
        <v>816</v>
      </c>
    </row>
    <row r="169" customFormat="false" ht="15" hidden="false" customHeight="false" outlineLevel="0" collapsed="false">
      <c r="A169" s="22" t="n">
        <v>168</v>
      </c>
      <c r="B169" s="22" t="s">
        <v>830</v>
      </c>
      <c r="C169" s="22" t="s">
        <v>831</v>
      </c>
      <c r="D169" s="22" t="s">
        <v>138</v>
      </c>
      <c r="E169" s="22" t="s">
        <v>139</v>
      </c>
      <c r="F169" s="22" t="s">
        <v>101</v>
      </c>
      <c r="G169" s="23" t="n">
        <v>44698</v>
      </c>
      <c r="H169" s="24" t="n">
        <f aca="false">IF(G169="","",ROUND((Config!$C$4-G169)/365.25,2))</f>
        <v>4.38</v>
      </c>
      <c r="I169" s="25" t="str">
        <f aca="false">IF(H169="","",IF(H169&lt;=1,"Tramo 1",IF(H169&lt;=3,"Tramo 2",IF(H169&lt;=5,"Tramo 3","Tramo 4"))))</f>
        <v>Tramo 3</v>
      </c>
      <c r="J169" s="22" t="s">
        <v>140</v>
      </c>
      <c r="K169" s="22"/>
      <c r="L169" s="22" t="s">
        <v>832</v>
      </c>
      <c r="M169" s="26" t="s">
        <v>833</v>
      </c>
      <c r="N169" s="22"/>
      <c r="O169" s="22" t="s">
        <v>63</v>
      </c>
      <c r="P169" s="25" t="str">
        <f aca="false">IF(OR(O169="",O169="Sin información"),"",IFERROR(INDEX(Listas!$B$2:$B$9,MATCH(O169,Listas!$A$2:$A$9,0)),""))</f>
        <v/>
      </c>
      <c r="Q169" s="25" t="str">
        <f aca="false">IF(OR(O169="",O169="Sin información"),"",IFERROR(INDEX(Listas!$C$2:$C$9,MATCH(O169,Listas!$A$2:$A$9,0)),""))</f>
        <v/>
      </c>
      <c r="R169" s="22"/>
      <c r="S169" s="22"/>
      <c r="T169" s="25" t="str">
        <f aca="false">IF(S169="","",IFERROR(INDEX(Empleadores!$B$2:$B$601,MATCH(S169,Empleadores!$A$2:$A$601,0)),"No encontrado"))</f>
        <v/>
      </c>
      <c r="U169" s="25" t="str">
        <f aca="false">IF(C169="","",IF(V169="","No",IF(Config!$C$4-V169&lt;=Config!$C$15,"Sí","No")))</f>
        <v>No</v>
      </c>
      <c r="V169" s="23"/>
      <c r="W169" s="22"/>
      <c r="X169" s="22"/>
      <c r="Y169" s="22"/>
      <c r="Z169" s="27" t="s">
        <v>834</v>
      </c>
      <c r="AA169" s="22"/>
      <c r="AB169" s="22"/>
    </row>
    <row r="170" customFormat="false" ht="15" hidden="false" customHeight="false" outlineLevel="0" collapsed="false">
      <c r="A170" s="22" t="n">
        <v>169</v>
      </c>
      <c r="B170" s="22" t="s">
        <v>835</v>
      </c>
      <c r="C170" s="22" t="s">
        <v>836</v>
      </c>
      <c r="D170" s="22" t="s">
        <v>149</v>
      </c>
      <c r="E170" s="22" t="s">
        <v>139</v>
      </c>
      <c r="F170" s="22" t="s">
        <v>101</v>
      </c>
      <c r="G170" s="23" t="n">
        <v>44698</v>
      </c>
      <c r="H170" s="24" t="n">
        <f aca="false">IF(G170="","",ROUND((Config!$C$4-G170)/365.25,2))</f>
        <v>4.38</v>
      </c>
      <c r="I170" s="25" t="str">
        <f aca="false">IF(H170="","",IF(H170&lt;=1,"Tramo 1",IF(H170&lt;=3,"Tramo 2",IF(H170&lt;=5,"Tramo 3","Tramo 4"))))</f>
        <v>Tramo 3</v>
      </c>
      <c r="J170" s="22" t="s">
        <v>140</v>
      </c>
      <c r="K170" s="22"/>
      <c r="L170" s="22" t="s">
        <v>837</v>
      </c>
      <c r="M170" s="26" t="s">
        <v>838</v>
      </c>
      <c r="N170" s="22"/>
      <c r="O170" s="22" t="s">
        <v>85</v>
      </c>
      <c r="P170" s="25" t="str">
        <f aca="false">IF(OR(O170="",O170="Sin información"),"",IFERROR(INDEX(Listas!$B$2:$B$9,MATCH(O170,Listas!$A$2:$A$9,0)),""))</f>
        <v>Sí</v>
      </c>
      <c r="Q170" s="25" t="str">
        <f aca="false">IF(OR(O170="",O170="Sin información"),"",IFERROR(INDEX(Listas!$C$2:$C$9,MATCH(O170,Listas!$A$2:$A$9,0)),""))</f>
        <v>Sí</v>
      </c>
      <c r="R170" s="22" t="s">
        <v>839</v>
      </c>
      <c r="S170" s="22" t="s">
        <v>840</v>
      </c>
      <c r="T170" s="25" t="str">
        <f aca="false">IF(S170="","",IFERROR(INDEX(Empleadores!$B$2:$B$601,MATCH(S170,Empleadores!$A$2:$A$601,0)),"No encontrado"))</f>
        <v>C.S. La Quebrada – Yanatile</v>
      </c>
      <c r="U170" s="25" t="str">
        <f aca="false">IF(C170="","",IF(V170="","No",IF(Config!$C$4-V170&lt;=Config!$C$15,"Sí","No")))</f>
        <v>No</v>
      </c>
      <c r="V170" s="23" t="n">
        <v>45800</v>
      </c>
      <c r="W170" s="22"/>
      <c r="X170" s="22"/>
      <c r="Y170" s="22"/>
      <c r="Z170" s="27" t="s">
        <v>841</v>
      </c>
      <c r="AA170" s="22" t="s">
        <v>842</v>
      </c>
      <c r="AB170" s="22" t="s">
        <v>843</v>
      </c>
    </row>
    <row r="171" customFormat="false" ht="15" hidden="false" customHeight="false" outlineLevel="0" collapsed="false">
      <c r="A171" s="22" t="n">
        <v>170</v>
      </c>
      <c r="B171" s="22" t="s">
        <v>844</v>
      </c>
      <c r="C171" s="22" t="s">
        <v>845</v>
      </c>
      <c r="D171" s="22" t="s">
        <v>149</v>
      </c>
      <c r="E171" s="22" t="s">
        <v>139</v>
      </c>
      <c r="F171" s="22" t="s">
        <v>101</v>
      </c>
      <c r="G171" s="23" t="n">
        <v>44698</v>
      </c>
      <c r="H171" s="24" t="n">
        <f aca="false">IF(G171="","",ROUND((Config!$C$4-G171)/365.25,2))</f>
        <v>4.38</v>
      </c>
      <c r="I171" s="25" t="str">
        <f aca="false">IF(H171="","",IF(H171&lt;=1,"Tramo 1",IF(H171&lt;=3,"Tramo 2",IF(H171&lt;=5,"Tramo 3","Tramo 4"))))</f>
        <v>Tramo 3</v>
      </c>
      <c r="J171" s="22" t="s">
        <v>140</v>
      </c>
      <c r="K171" s="22"/>
      <c r="L171" s="22" t="s">
        <v>846</v>
      </c>
      <c r="M171" s="26" t="s">
        <v>847</v>
      </c>
      <c r="N171" s="22"/>
      <c r="O171" s="22" t="s">
        <v>86</v>
      </c>
      <c r="P171" s="25" t="str">
        <f aca="false">IF(OR(O171="",O171="Sin información"),"",IFERROR(INDEX(Listas!$B$2:$B$9,MATCH(O171,Listas!$A$2:$A$9,0)),""))</f>
        <v>Sí</v>
      </c>
      <c r="Q171" s="25" t="str">
        <f aca="false">IF(OR(O171="",O171="Sin información"),"",IFERROR(INDEX(Listas!$C$2:$C$9,MATCH(O171,Listas!$A$2:$A$9,0)),""))</f>
        <v>Sí</v>
      </c>
      <c r="R171" s="22" t="s">
        <v>848</v>
      </c>
      <c r="S171" s="22" t="s">
        <v>849</v>
      </c>
      <c r="T171" s="25" t="str">
        <f aca="false">IF(S171="","",IFERROR(INDEX(Empleadores!$B$2:$B$601,MATCH(S171,Empleadores!$A$2:$A$601,0)),"No encontrado"))</f>
        <v>Hospital Nacional Hipólito Unanue</v>
      </c>
      <c r="U171" s="25" t="str">
        <f aca="false">IF(C171="","",IF(V171="","No",IF(Config!$C$4-V171&lt;=Config!$C$15,"Sí","No")))</f>
        <v>No</v>
      </c>
      <c r="V171" s="23" t="n">
        <v>45824</v>
      </c>
      <c r="W171" s="22"/>
      <c r="X171" s="22"/>
      <c r="Y171" s="22"/>
      <c r="Z171" s="27"/>
      <c r="AA171" s="22" t="s">
        <v>850</v>
      </c>
      <c r="AB171" s="22" t="s">
        <v>843</v>
      </c>
    </row>
    <row r="172" customFormat="false" ht="15" hidden="false" customHeight="false" outlineLevel="0" collapsed="false">
      <c r="A172" s="22" t="n">
        <v>171</v>
      </c>
      <c r="B172" s="22" t="s">
        <v>851</v>
      </c>
      <c r="C172" s="22" t="s">
        <v>852</v>
      </c>
      <c r="D172" s="22" t="s">
        <v>138</v>
      </c>
      <c r="E172" s="22" t="s">
        <v>139</v>
      </c>
      <c r="F172" s="22" t="s">
        <v>101</v>
      </c>
      <c r="G172" s="23" t="n">
        <v>44698</v>
      </c>
      <c r="H172" s="24" t="n">
        <f aca="false">IF(G172="","",ROUND((Config!$C$4-G172)/365.25,2))</f>
        <v>4.38</v>
      </c>
      <c r="I172" s="25" t="str">
        <f aca="false">IF(H172="","",IF(H172&lt;=1,"Tramo 1",IF(H172&lt;=3,"Tramo 2",IF(H172&lt;=5,"Tramo 3","Tramo 4"))))</f>
        <v>Tramo 3</v>
      </c>
      <c r="J172" s="22" t="s">
        <v>140</v>
      </c>
      <c r="K172" s="22"/>
      <c r="L172" s="22" t="s">
        <v>853</v>
      </c>
      <c r="M172" s="26" t="s">
        <v>854</v>
      </c>
      <c r="N172" s="22"/>
      <c r="O172" s="22" t="s">
        <v>85</v>
      </c>
      <c r="P172" s="25" t="str">
        <f aca="false">IF(OR(O172="",O172="Sin información"),"",IFERROR(INDEX(Listas!$B$2:$B$9,MATCH(O172,Listas!$A$2:$A$9,0)),""))</f>
        <v>Sí</v>
      </c>
      <c r="Q172" s="25" t="str">
        <f aca="false">IF(OR(O172="",O172="Sin información"),"",IFERROR(INDEX(Listas!$C$2:$C$9,MATCH(O172,Listas!$A$2:$A$9,0)),""))</f>
        <v>Sí</v>
      </c>
      <c r="R172" s="22" t="s">
        <v>855</v>
      </c>
      <c r="S172" s="22" t="s">
        <v>856</v>
      </c>
      <c r="T172" s="25" t="str">
        <f aca="false">IF(S172="","",IFERROR(INDEX(Empleadores!$B$2:$B$601,MATCH(S172,Empleadores!$A$2:$A$601,0)),"No encontrado"))</f>
        <v>Centro Médico Señor de Exaltación</v>
      </c>
      <c r="U172" s="25" t="str">
        <f aca="false">IF(C172="","",IF(V172="","No",IF(Config!$C$4-V172&lt;=Config!$C$15,"Sí","No")))</f>
        <v>No</v>
      </c>
      <c r="V172" s="23" t="n">
        <v>45800</v>
      </c>
      <c r="W172" s="22"/>
      <c r="X172" s="22"/>
      <c r="Y172" s="22"/>
      <c r="Z172" s="27" t="s">
        <v>841</v>
      </c>
      <c r="AA172" s="22" t="s">
        <v>857</v>
      </c>
      <c r="AB172" s="22" t="s">
        <v>843</v>
      </c>
    </row>
    <row r="173" customFormat="false" ht="15" hidden="false" customHeight="false" outlineLevel="0" collapsed="false">
      <c r="A173" s="22" t="n">
        <v>172</v>
      </c>
      <c r="B173" s="22" t="s">
        <v>858</v>
      </c>
      <c r="C173" s="22" t="s">
        <v>859</v>
      </c>
      <c r="D173" s="22" t="s">
        <v>138</v>
      </c>
      <c r="E173" s="22" t="s">
        <v>139</v>
      </c>
      <c r="F173" s="22" t="s">
        <v>101</v>
      </c>
      <c r="G173" s="23" t="n">
        <v>44698</v>
      </c>
      <c r="H173" s="24" t="n">
        <f aca="false">IF(G173="","",ROUND((Config!$C$4-G173)/365.25,2))</f>
        <v>4.38</v>
      </c>
      <c r="I173" s="25" t="str">
        <f aca="false">IF(H173="","",IF(H173&lt;=1,"Tramo 1",IF(H173&lt;=3,"Tramo 2",IF(H173&lt;=5,"Tramo 3","Tramo 4"))))</f>
        <v>Tramo 3</v>
      </c>
      <c r="J173" s="22" t="s">
        <v>140</v>
      </c>
      <c r="K173" s="22"/>
      <c r="L173" s="22" t="s">
        <v>860</v>
      </c>
      <c r="M173" s="26" t="s">
        <v>861</v>
      </c>
      <c r="N173" s="22"/>
      <c r="O173" s="22" t="s">
        <v>63</v>
      </c>
      <c r="P173" s="25" t="str">
        <f aca="false">IF(OR(O173="",O173="Sin información"),"",IFERROR(INDEX(Listas!$B$2:$B$9,MATCH(O173,Listas!$A$2:$A$9,0)),""))</f>
        <v/>
      </c>
      <c r="Q173" s="25" t="str">
        <f aca="false">IF(OR(O173="",O173="Sin información"),"",IFERROR(INDEX(Listas!$C$2:$C$9,MATCH(O173,Listas!$A$2:$A$9,0)),""))</f>
        <v/>
      </c>
      <c r="R173" s="22"/>
      <c r="S173" s="22"/>
      <c r="T173" s="25" t="str">
        <f aca="false">IF(S173="","",IFERROR(INDEX(Empleadores!$B$2:$B$601,MATCH(S173,Empleadores!$A$2:$A$601,0)),"No encontrado"))</f>
        <v/>
      </c>
      <c r="U173" s="25" t="str">
        <f aca="false">IF(C173="","",IF(V173="","No",IF(Config!$C$4-V173&lt;=Config!$C$15,"Sí","No")))</f>
        <v>No</v>
      </c>
      <c r="V173" s="23"/>
      <c r="W173" s="22"/>
      <c r="X173" s="22"/>
      <c r="Y173" s="22"/>
      <c r="Z173" s="27" t="s">
        <v>862</v>
      </c>
      <c r="AA173" s="22"/>
      <c r="AB173" s="22"/>
    </row>
    <row r="174" customFormat="false" ht="15" hidden="false" customHeight="false" outlineLevel="0" collapsed="false">
      <c r="A174" s="22" t="n">
        <v>173</v>
      </c>
      <c r="B174" s="22" t="s">
        <v>863</v>
      </c>
      <c r="C174" s="22" t="s">
        <v>864</v>
      </c>
      <c r="D174" s="22" t="s">
        <v>138</v>
      </c>
      <c r="E174" s="22" t="s">
        <v>139</v>
      </c>
      <c r="F174" s="22" t="s">
        <v>101</v>
      </c>
      <c r="G174" s="23" t="n">
        <v>44698</v>
      </c>
      <c r="H174" s="24" t="n">
        <f aca="false">IF(G174="","",ROUND((Config!$C$4-G174)/365.25,2))</f>
        <v>4.38</v>
      </c>
      <c r="I174" s="25" t="str">
        <f aca="false">IF(H174="","",IF(H174&lt;=1,"Tramo 1",IF(H174&lt;=3,"Tramo 2",IF(H174&lt;=5,"Tramo 3","Tramo 4"))))</f>
        <v>Tramo 3</v>
      </c>
      <c r="J174" s="22" t="s">
        <v>140</v>
      </c>
      <c r="K174" s="22"/>
      <c r="L174" s="22" t="s">
        <v>865</v>
      </c>
      <c r="M174" s="26" t="s">
        <v>866</v>
      </c>
      <c r="N174" s="22"/>
      <c r="O174" s="22" t="s">
        <v>63</v>
      </c>
      <c r="P174" s="25" t="str">
        <f aca="false">IF(OR(O174="",O174="Sin información"),"",IFERROR(INDEX(Listas!$B$2:$B$9,MATCH(O174,Listas!$A$2:$A$9,0)),""))</f>
        <v/>
      </c>
      <c r="Q174" s="25" t="str">
        <f aca="false">IF(OR(O174="",O174="Sin información"),"",IFERROR(INDEX(Listas!$C$2:$C$9,MATCH(O174,Listas!$A$2:$A$9,0)),""))</f>
        <v/>
      </c>
      <c r="R174" s="22"/>
      <c r="S174" s="22"/>
      <c r="T174" s="25" t="str">
        <f aca="false">IF(S174="","",IFERROR(INDEX(Empleadores!$B$2:$B$601,MATCH(S174,Empleadores!$A$2:$A$601,0)),"No encontrado"))</f>
        <v/>
      </c>
      <c r="U174" s="25" t="str">
        <f aca="false">IF(C174="","",IF(V174="","No",IF(Config!$C$4-V174&lt;=Config!$C$15,"Sí","No")))</f>
        <v>No</v>
      </c>
      <c r="V174" s="23"/>
      <c r="W174" s="22"/>
      <c r="X174" s="22"/>
      <c r="Y174" s="22"/>
      <c r="Z174" s="27" t="s">
        <v>867</v>
      </c>
      <c r="AA174" s="22"/>
      <c r="AB174" s="22"/>
    </row>
    <row r="175" customFormat="false" ht="15" hidden="false" customHeight="false" outlineLevel="0" collapsed="false">
      <c r="A175" s="22" t="n">
        <v>174</v>
      </c>
      <c r="B175" s="22" t="s">
        <v>868</v>
      </c>
      <c r="C175" s="22" t="s">
        <v>869</v>
      </c>
      <c r="D175" s="22" t="s">
        <v>138</v>
      </c>
      <c r="E175" s="22" t="s">
        <v>139</v>
      </c>
      <c r="F175" s="22" t="s">
        <v>101</v>
      </c>
      <c r="G175" s="23" t="n">
        <v>44698</v>
      </c>
      <c r="H175" s="24" t="n">
        <f aca="false">IF(G175="","",ROUND((Config!$C$4-G175)/365.25,2))</f>
        <v>4.38</v>
      </c>
      <c r="I175" s="25" t="str">
        <f aca="false">IF(H175="","",IF(H175&lt;=1,"Tramo 1",IF(H175&lt;=3,"Tramo 2",IF(H175&lt;=5,"Tramo 3","Tramo 4"))))</f>
        <v>Tramo 3</v>
      </c>
      <c r="J175" s="22" t="s">
        <v>140</v>
      </c>
      <c r="K175" s="22"/>
      <c r="L175" s="22" t="s">
        <v>870</v>
      </c>
      <c r="M175" s="26" t="s">
        <v>871</v>
      </c>
      <c r="N175" s="22"/>
      <c r="O175" s="22" t="s">
        <v>85</v>
      </c>
      <c r="P175" s="25" t="str">
        <f aca="false">IF(OR(O175="",O175="Sin información"),"",IFERROR(INDEX(Listas!$B$2:$B$9,MATCH(O175,Listas!$A$2:$A$9,0)),""))</f>
        <v>Sí</v>
      </c>
      <c r="Q175" s="25" t="str">
        <f aca="false">IF(OR(O175="",O175="Sin información"),"",IFERROR(INDEX(Listas!$C$2:$C$9,MATCH(O175,Listas!$A$2:$A$9,0)),""))</f>
        <v>Sí</v>
      </c>
      <c r="R175" s="22" t="s">
        <v>839</v>
      </c>
      <c r="S175" s="22" t="s">
        <v>872</v>
      </c>
      <c r="T175" s="25" t="str">
        <f aca="false">IF(S175="","",IFERROR(INDEX(Empleadores!$B$2:$B$601,MATCH(S175,Empleadores!$A$2:$A$601,0)),"No encontrado"))</f>
        <v>Clínica Peruano Suiza</v>
      </c>
      <c r="U175" s="25" t="str">
        <f aca="false">IF(C175="","",IF(V175="","No",IF(Config!$C$4-V175&lt;=Config!$C$15,"Sí","No")))</f>
        <v>No</v>
      </c>
      <c r="V175" s="23" t="n">
        <v>45800</v>
      </c>
      <c r="W175" s="22"/>
      <c r="X175" s="22"/>
      <c r="Y175" s="22"/>
      <c r="Z175" s="27" t="s">
        <v>873</v>
      </c>
      <c r="AA175" s="22" t="s">
        <v>874</v>
      </c>
      <c r="AB175" s="22" t="s">
        <v>843</v>
      </c>
    </row>
    <row r="176" customFormat="false" ht="15" hidden="false" customHeight="false" outlineLevel="0" collapsed="false">
      <c r="A176" s="22" t="n">
        <v>175</v>
      </c>
      <c r="B176" s="22" t="s">
        <v>875</v>
      </c>
      <c r="C176" s="22" t="s">
        <v>876</v>
      </c>
      <c r="D176" s="22" t="s">
        <v>138</v>
      </c>
      <c r="E176" s="22" t="s">
        <v>139</v>
      </c>
      <c r="F176" s="22" t="s">
        <v>101</v>
      </c>
      <c r="G176" s="23" t="n">
        <v>44698</v>
      </c>
      <c r="H176" s="24" t="n">
        <f aca="false">IF(G176="","",ROUND((Config!$C$4-G176)/365.25,2))</f>
        <v>4.38</v>
      </c>
      <c r="I176" s="25" t="str">
        <f aca="false">IF(H176="","",IF(H176&lt;=1,"Tramo 1",IF(H176&lt;=3,"Tramo 2",IF(H176&lt;=5,"Tramo 3","Tramo 4"))))</f>
        <v>Tramo 3</v>
      </c>
      <c r="J176" s="22" t="s">
        <v>140</v>
      </c>
      <c r="K176" s="22"/>
      <c r="L176" s="22" t="s">
        <v>877</v>
      </c>
      <c r="M176" s="26" t="s">
        <v>878</v>
      </c>
      <c r="N176" s="22"/>
      <c r="O176" s="22" t="s">
        <v>85</v>
      </c>
      <c r="P176" s="25" t="str">
        <f aca="false">IF(OR(O176="",O176="Sin información"),"",IFERROR(INDEX(Listas!$B$2:$B$9,MATCH(O176,Listas!$A$2:$A$9,0)),""))</f>
        <v>Sí</v>
      </c>
      <c r="Q176" s="25" t="str">
        <f aca="false">IF(OR(O176="",O176="Sin información"),"",IFERROR(INDEX(Listas!$C$2:$C$9,MATCH(O176,Listas!$A$2:$A$9,0)),""))</f>
        <v>Sí</v>
      </c>
      <c r="R176" s="22"/>
      <c r="S176" s="22" t="s">
        <v>879</v>
      </c>
      <c r="T176" s="25" t="str">
        <f aca="false">IF(S176="","",IFERROR(INDEX(Empleadores!$B$2:$B$601,MATCH(S176,Empleadores!$A$2:$A$601,0)),"No encontrado"))</f>
        <v>Centro Médico CIMA</v>
      </c>
      <c r="U176" s="25" t="str">
        <f aca="false">IF(C176="","",IF(V176="","No",IF(Config!$C$4-V176&lt;=Config!$C$15,"Sí","No")))</f>
        <v>Sí</v>
      </c>
      <c r="V176" s="23" t="n">
        <v>45974</v>
      </c>
      <c r="W176" s="22"/>
      <c r="X176" s="22"/>
      <c r="Y176" s="22" t="s">
        <v>181</v>
      </c>
      <c r="Z176" s="27"/>
      <c r="AA176" s="22" t="s">
        <v>880</v>
      </c>
      <c r="AB176" s="22" t="s">
        <v>816</v>
      </c>
    </row>
    <row r="177" customFormat="false" ht="15" hidden="false" customHeight="false" outlineLevel="0" collapsed="false">
      <c r="A177" s="22" t="n">
        <v>176</v>
      </c>
      <c r="B177" s="22" t="s">
        <v>881</v>
      </c>
      <c r="C177" s="22" t="s">
        <v>882</v>
      </c>
      <c r="D177" s="22" t="s">
        <v>138</v>
      </c>
      <c r="E177" s="22" t="s">
        <v>139</v>
      </c>
      <c r="F177" s="22" t="s">
        <v>101</v>
      </c>
      <c r="G177" s="23" t="n">
        <v>44698</v>
      </c>
      <c r="H177" s="24" t="n">
        <f aca="false">IF(G177="","",ROUND((Config!$C$4-G177)/365.25,2))</f>
        <v>4.38</v>
      </c>
      <c r="I177" s="25" t="str">
        <f aca="false">IF(H177="","",IF(H177&lt;=1,"Tramo 1",IF(H177&lt;=3,"Tramo 2",IF(H177&lt;=5,"Tramo 3","Tramo 4"))))</f>
        <v>Tramo 3</v>
      </c>
      <c r="J177" s="22" t="s">
        <v>140</v>
      </c>
      <c r="K177" s="22"/>
      <c r="L177" s="22" t="s">
        <v>883</v>
      </c>
      <c r="M177" s="26" t="s">
        <v>884</v>
      </c>
      <c r="N177" s="22"/>
      <c r="O177" s="22" t="s">
        <v>63</v>
      </c>
      <c r="P177" s="25" t="str">
        <f aca="false">IF(OR(O177="",O177="Sin información"),"",IFERROR(INDEX(Listas!$B$2:$B$9,MATCH(O177,Listas!$A$2:$A$9,0)),""))</f>
        <v/>
      </c>
      <c r="Q177" s="25" t="str">
        <f aca="false">IF(OR(O177="",O177="Sin información"),"",IFERROR(INDEX(Listas!$C$2:$C$9,MATCH(O177,Listas!$A$2:$A$9,0)),""))</f>
        <v/>
      </c>
      <c r="R177" s="22"/>
      <c r="S177" s="22"/>
      <c r="T177" s="25" t="str">
        <f aca="false">IF(S177="","",IFERROR(INDEX(Empleadores!$B$2:$B$601,MATCH(S177,Empleadores!$A$2:$A$601,0)),"No encontrado"))</f>
        <v/>
      </c>
      <c r="U177" s="25" t="str">
        <f aca="false">IF(C177="","",IF(V177="","No",IF(Config!$C$4-V177&lt;=Config!$C$15,"Sí","No")))</f>
        <v>No</v>
      </c>
      <c r="V177" s="23"/>
      <c r="W177" s="22"/>
      <c r="X177" s="22"/>
      <c r="Y177" s="22"/>
      <c r="Z177" s="27" t="s">
        <v>885</v>
      </c>
      <c r="AA177" s="22"/>
      <c r="AB177" s="22"/>
    </row>
    <row r="178" customFormat="false" ht="15" hidden="false" customHeight="false" outlineLevel="0" collapsed="false">
      <c r="A178" s="22" t="n">
        <v>177</v>
      </c>
      <c r="B178" s="22" t="s">
        <v>886</v>
      </c>
      <c r="C178" s="22" t="s">
        <v>887</v>
      </c>
      <c r="D178" s="22" t="s">
        <v>138</v>
      </c>
      <c r="E178" s="22" t="s">
        <v>139</v>
      </c>
      <c r="F178" s="22" t="s">
        <v>101</v>
      </c>
      <c r="G178" s="23" t="n">
        <v>44698</v>
      </c>
      <c r="H178" s="24" t="n">
        <f aca="false">IF(G178="","",ROUND((Config!$C$4-G178)/365.25,2))</f>
        <v>4.38</v>
      </c>
      <c r="I178" s="25" t="str">
        <f aca="false">IF(H178="","",IF(H178&lt;=1,"Tramo 1",IF(H178&lt;=3,"Tramo 2",IF(H178&lt;=5,"Tramo 3","Tramo 4"))))</f>
        <v>Tramo 3</v>
      </c>
      <c r="J178" s="22" t="s">
        <v>140</v>
      </c>
      <c r="K178" s="22"/>
      <c r="L178" s="22" t="s">
        <v>888</v>
      </c>
      <c r="M178" s="26" t="s">
        <v>889</v>
      </c>
      <c r="N178" s="22"/>
      <c r="O178" s="22" t="s">
        <v>63</v>
      </c>
      <c r="P178" s="25" t="str">
        <f aca="false">IF(OR(O178="",O178="Sin información"),"",IFERROR(INDEX(Listas!$B$2:$B$9,MATCH(O178,Listas!$A$2:$A$9,0)),""))</f>
        <v/>
      </c>
      <c r="Q178" s="25" t="str">
        <f aca="false">IF(OR(O178="",O178="Sin información"),"",IFERROR(INDEX(Listas!$C$2:$C$9,MATCH(O178,Listas!$A$2:$A$9,0)),""))</f>
        <v/>
      </c>
      <c r="R178" s="22"/>
      <c r="S178" s="22"/>
      <c r="T178" s="25" t="str">
        <f aca="false">IF(S178="","",IFERROR(INDEX(Empleadores!$B$2:$B$601,MATCH(S178,Empleadores!$A$2:$A$601,0)),"No encontrado"))</f>
        <v/>
      </c>
      <c r="U178" s="25" t="str">
        <f aca="false">IF(C178="","",IF(V178="","No",IF(Config!$C$4-V178&lt;=Config!$C$15,"Sí","No")))</f>
        <v>No</v>
      </c>
      <c r="V178" s="23"/>
      <c r="W178" s="22"/>
      <c r="X178" s="22"/>
      <c r="Y178" s="22"/>
      <c r="Z178" s="27" t="s">
        <v>890</v>
      </c>
      <c r="AA178" s="22"/>
      <c r="AB178" s="22"/>
    </row>
    <row r="179" customFormat="false" ht="15" hidden="false" customHeight="false" outlineLevel="0" collapsed="false">
      <c r="A179" s="22" t="n">
        <v>178</v>
      </c>
      <c r="B179" s="22" t="s">
        <v>891</v>
      </c>
      <c r="C179" s="22" t="s">
        <v>892</v>
      </c>
      <c r="D179" s="22" t="s">
        <v>149</v>
      </c>
      <c r="E179" s="22" t="s">
        <v>139</v>
      </c>
      <c r="F179" s="22" t="s">
        <v>101</v>
      </c>
      <c r="G179" s="23" t="n">
        <v>44698</v>
      </c>
      <c r="H179" s="24" t="n">
        <f aca="false">IF(G179="","",ROUND((Config!$C$4-G179)/365.25,2))</f>
        <v>4.38</v>
      </c>
      <c r="I179" s="25" t="str">
        <f aca="false">IF(H179="","",IF(H179&lt;=1,"Tramo 1",IF(H179&lt;=3,"Tramo 2",IF(H179&lt;=5,"Tramo 3","Tramo 4"))))</f>
        <v>Tramo 3</v>
      </c>
      <c r="J179" s="22" t="s">
        <v>140</v>
      </c>
      <c r="K179" s="22"/>
      <c r="L179" s="22" t="s">
        <v>893</v>
      </c>
      <c r="M179" s="26" t="s">
        <v>894</v>
      </c>
      <c r="N179" s="22"/>
      <c r="O179" s="22" t="s">
        <v>87</v>
      </c>
      <c r="P179" s="25" t="str">
        <f aca="false">IF(OR(O179="",O179="Sin información"),"",IFERROR(INDEX(Listas!$B$2:$B$9,MATCH(O179,Listas!$A$2:$A$9,0)),""))</f>
        <v>Sí</v>
      </c>
      <c r="Q179" s="25" t="str">
        <f aca="false">IF(OR(O179="",O179="Sin información"),"",IFERROR(INDEX(Listas!$C$2:$C$9,MATCH(O179,Listas!$A$2:$A$9,0)),""))</f>
        <v>Sí</v>
      </c>
      <c r="R179" s="22" t="s">
        <v>895</v>
      </c>
      <c r="S179" s="22" t="s">
        <v>533</v>
      </c>
      <c r="T179" s="25" t="str">
        <f aca="false">IF(S179="","",IFERROR(INDEX(Empleadores!$B$2:$B$601,MATCH(S179,Empleadores!$A$2:$A$601,0)),"No encontrado"))</f>
        <v>Hospital de la Solidaridad – Cusco</v>
      </c>
      <c r="U179" s="25" t="str">
        <f aca="false">IF(C179="","",IF(V179="","No",IF(Config!$C$4-V179&lt;=Config!$C$15,"Sí","No")))</f>
        <v>Sí</v>
      </c>
      <c r="V179" s="23" t="n">
        <v>45965</v>
      </c>
      <c r="W179" s="22"/>
      <c r="X179" s="22"/>
      <c r="Y179" s="22" t="s">
        <v>181</v>
      </c>
      <c r="Z179" s="27"/>
      <c r="AA179" s="22" t="s">
        <v>896</v>
      </c>
      <c r="AB179" s="22" t="s">
        <v>816</v>
      </c>
    </row>
    <row r="180" customFormat="false" ht="15" hidden="false" customHeight="false" outlineLevel="0" collapsed="false">
      <c r="A180" s="22" t="n">
        <v>179</v>
      </c>
      <c r="B180" s="22" t="s">
        <v>897</v>
      </c>
      <c r="C180" s="22" t="s">
        <v>898</v>
      </c>
      <c r="D180" s="22" t="s">
        <v>138</v>
      </c>
      <c r="E180" s="22" t="s">
        <v>139</v>
      </c>
      <c r="F180" s="22" t="s">
        <v>101</v>
      </c>
      <c r="G180" s="23" t="n">
        <v>44698</v>
      </c>
      <c r="H180" s="24" t="n">
        <f aca="false">IF(G180="","",ROUND((Config!$C$4-G180)/365.25,2))</f>
        <v>4.38</v>
      </c>
      <c r="I180" s="25" t="str">
        <f aca="false">IF(H180="","",IF(H180&lt;=1,"Tramo 1",IF(H180&lt;=3,"Tramo 2",IF(H180&lt;=5,"Tramo 3","Tramo 4"))))</f>
        <v>Tramo 3</v>
      </c>
      <c r="J180" s="22" t="s">
        <v>140</v>
      </c>
      <c r="K180" s="22"/>
      <c r="L180" s="22" t="s">
        <v>899</v>
      </c>
      <c r="M180" s="26" t="s">
        <v>900</v>
      </c>
      <c r="N180" s="22"/>
      <c r="O180" s="22" t="s">
        <v>85</v>
      </c>
      <c r="P180" s="25" t="str">
        <f aca="false">IF(OR(O180="",O180="Sin información"),"",IFERROR(INDEX(Listas!$B$2:$B$9,MATCH(O180,Listas!$A$2:$A$9,0)),""))</f>
        <v>Sí</v>
      </c>
      <c r="Q180" s="25" t="str">
        <f aca="false">IF(OR(O180="",O180="Sin información"),"",IFERROR(INDEX(Listas!$C$2:$C$9,MATCH(O180,Listas!$A$2:$A$9,0)),""))</f>
        <v>Sí</v>
      </c>
      <c r="R180" s="22" t="s">
        <v>826</v>
      </c>
      <c r="S180" s="22" t="s">
        <v>901</v>
      </c>
      <c r="T180" s="25" t="str">
        <f aca="false">IF(S180="","",IFERROR(INDEX(Empleadores!$B$2:$B$601,MATCH(S180,Empleadores!$A$2:$A$601,0)),"No encontrado"))</f>
        <v>Centro Médico Prana</v>
      </c>
      <c r="U180" s="25" t="str">
        <f aca="false">IF(C180="","",IF(V180="","No",IF(Config!$C$4-V180&lt;=Config!$C$15,"Sí","No")))</f>
        <v>No</v>
      </c>
      <c r="V180" s="23" t="n">
        <v>45824</v>
      </c>
      <c r="W180" s="22"/>
      <c r="X180" s="22"/>
      <c r="Y180" s="22"/>
      <c r="Z180" s="27"/>
      <c r="AA180" s="22" t="s">
        <v>902</v>
      </c>
      <c r="AB180" s="22" t="s">
        <v>843</v>
      </c>
    </row>
    <row r="181" customFormat="false" ht="15" hidden="false" customHeight="false" outlineLevel="0" collapsed="false">
      <c r="A181" s="22" t="n">
        <v>180</v>
      </c>
      <c r="B181" s="22" t="s">
        <v>903</v>
      </c>
      <c r="C181" s="22" t="s">
        <v>904</v>
      </c>
      <c r="D181" s="22" t="s">
        <v>149</v>
      </c>
      <c r="E181" s="22" t="s">
        <v>139</v>
      </c>
      <c r="F181" s="22" t="s">
        <v>101</v>
      </c>
      <c r="G181" s="23" t="n">
        <v>44698</v>
      </c>
      <c r="H181" s="24" t="n">
        <f aca="false">IF(G181="","",ROUND((Config!$C$4-G181)/365.25,2))</f>
        <v>4.38</v>
      </c>
      <c r="I181" s="25" t="str">
        <f aca="false">IF(H181="","",IF(H181&lt;=1,"Tramo 1",IF(H181&lt;=3,"Tramo 2",IF(H181&lt;=5,"Tramo 3","Tramo 4"))))</f>
        <v>Tramo 3</v>
      </c>
      <c r="J181" s="22" t="s">
        <v>140</v>
      </c>
      <c r="K181" s="22"/>
      <c r="L181" s="22" t="s">
        <v>905</v>
      </c>
      <c r="M181" s="26" t="s">
        <v>906</v>
      </c>
      <c r="N181" s="22"/>
      <c r="O181" s="22" t="s">
        <v>63</v>
      </c>
      <c r="P181" s="25" t="str">
        <f aca="false">IF(OR(O181="",O181="Sin información"),"",IFERROR(INDEX(Listas!$B$2:$B$9,MATCH(O181,Listas!$A$2:$A$9,0)),""))</f>
        <v/>
      </c>
      <c r="Q181" s="25" t="str">
        <f aca="false">IF(OR(O181="",O181="Sin información"),"",IFERROR(INDEX(Listas!$C$2:$C$9,MATCH(O181,Listas!$A$2:$A$9,0)),""))</f>
        <v/>
      </c>
      <c r="R181" s="22"/>
      <c r="S181" s="22"/>
      <c r="T181" s="25" t="str">
        <f aca="false">IF(S181="","",IFERROR(INDEX(Empleadores!$B$2:$B$601,MATCH(S181,Empleadores!$A$2:$A$601,0)),"No encontrado"))</f>
        <v/>
      </c>
      <c r="U181" s="25" t="str">
        <f aca="false">IF(C181="","",IF(V181="","No",IF(Config!$C$4-V181&lt;=Config!$C$15,"Sí","No")))</f>
        <v>No</v>
      </c>
      <c r="V181" s="23"/>
      <c r="W181" s="22"/>
      <c r="X181" s="22"/>
      <c r="Y181" s="22"/>
      <c r="Z181" s="27" t="s">
        <v>907</v>
      </c>
      <c r="AA181" s="22"/>
      <c r="AB181" s="22"/>
    </row>
    <row r="182" customFormat="false" ht="15" hidden="false" customHeight="false" outlineLevel="0" collapsed="false">
      <c r="A182" s="22" t="n">
        <v>181</v>
      </c>
      <c r="B182" s="22" t="s">
        <v>908</v>
      </c>
      <c r="C182" s="22" t="s">
        <v>909</v>
      </c>
      <c r="D182" s="22" t="s">
        <v>149</v>
      </c>
      <c r="E182" s="22" t="s">
        <v>139</v>
      </c>
      <c r="F182" s="22" t="s">
        <v>101</v>
      </c>
      <c r="G182" s="23" t="n">
        <v>44698</v>
      </c>
      <c r="H182" s="24" t="n">
        <f aca="false">IF(G182="","",ROUND((Config!$C$4-G182)/365.25,2))</f>
        <v>4.38</v>
      </c>
      <c r="I182" s="25" t="str">
        <f aca="false">IF(H182="","",IF(H182&lt;=1,"Tramo 1",IF(H182&lt;=3,"Tramo 2",IF(H182&lt;=5,"Tramo 3","Tramo 4"))))</f>
        <v>Tramo 3</v>
      </c>
      <c r="J182" s="22" t="s">
        <v>140</v>
      </c>
      <c r="K182" s="22"/>
      <c r="L182" s="22" t="s">
        <v>910</v>
      </c>
      <c r="M182" s="26" t="s">
        <v>911</v>
      </c>
      <c r="N182" s="22"/>
      <c r="O182" s="22" t="s">
        <v>90</v>
      </c>
      <c r="P182" s="25" t="str">
        <f aca="false">IF(OR(O182="",O182="Sin información"),"",IFERROR(INDEX(Listas!$B$2:$B$9,MATCH(O182,Listas!$A$2:$A$9,0)),""))</f>
        <v>No</v>
      </c>
      <c r="Q182" s="25" t="str">
        <f aca="false">IF(OR(O182="",O182="Sin información"),"",IFERROR(INDEX(Listas!$C$2:$C$9,MATCH(O182,Listas!$A$2:$A$9,0)),""))</f>
        <v>No</v>
      </c>
      <c r="R182" s="22"/>
      <c r="S182" s="22"/>
      <c r="T182" s="25" t="str">
        <f aca="false">IF(S182="","",IFERROR(INDEX(Empleadores!$B$2:$B$601,MATCH(S182,Empleadores!$A$2:$A$601,0)),"No encontrado"))</f>
        <v/>
      </c>
      <c r="U182" s="25" t="str">
        <f aca="false">IF(C182="","",IF(V182="","No",IF(Config!$C$4-V182&lt;=Config!$C$15,"Sí","No")))</f>
        <v>No</v>
      </c>
      <c r="V182" s="23" t="n">
        <v>45824</v>
      </c>
      <c r="W182" s="22"/>
      <c r="X182" s="22"/>
      <c r="Y182" s="22"/>
      <c r="Z182" s="27" t="s">
        <v>873</v>
      </c>
      <c r="AA182" s="22" t="s">
        <v>912</v>
      </c>
      <c r="AB182" s="22" t="s">
        <v>843</v>
      </c>
    </row>
    <row r="183" customFormat="false" ht="15" hidden="false" customHeight="false" outlineLevel="0" collapsed="false">
      <c r="A183" s="22" t="n">
        <v>182</v>
      </c>
      <c r="B183" s="22" t="s">
        <v>913</v>
      </c>
      <c r="C183" s="22" t="s">
        <v>914</v>
      </c>
      <c r="D183" s="22" t="s">
        <v>138</v>
      </c>
      <c r="E183" s="22" t="s">
        <v>139</v>
      </c>
      <c r="F183" s="22" t="s">
        <v>101</v>
      </c>
      <c r="G183" s="23" t="n">
        <v>44698</v>
      </c>
      <c r="H183" s="24" t="n">
        <f aca="false">IF(G183="","",ROUND((Config!$C$4-G183)/365.25,2))</f>
        <v>4.38</v>
      </c>
      <c r="I183" s="25" t="str">
        <f aca="false">IF(H183="","",IF(H183&lt;=1,"Tramo 1",IF(H183&lt;=3,"Tramo 2",IF(H183&lt;=5,"Tramo 3","Tramo 4"))))</f>
        <v>Tramo 3</v>
      </c>
      <c r="J183" s="22" t="s">
        <v>140</v>
      </c>
      <c r="K183" s="22"/>
      <c r="L183" s="22" t="s">
        <v>915</v>
      </c>
      <c r="M183" s="26" t="s">
        <v>916</v>
      </c>
      <c r="N183" s="22"/>
      <c r="O183" s="22" t="s">
        <v>85</v>
      </c>
      <c r="P183" s="25" t="str">
        <f aca="false">IF(OR(O183="",O183="Sin información"),"",IFERROR(INDEX(Listas!$B$2:$B$9,MATCH(O183,Listas!$A$2:$A$9,0)),""))</f>
        <v>Sí</v>
      </c>
      <c r="Q183" s="25" t="str">
        <f aca="false">IF(OR(O183="",O183="Sin información"),"",IFERROR(INDEX(Listas!$C$2:$C$9,MATCH(O183,Listas!$A$2:$A$9,0)),""))</f>
        <v>Sí</v>
      </c>
      <c r="R183" s="22" t="s">
        <v>917</v>
      </c>
      <c r="S183" s="22" t="s">
        <v>918</v>
      </c>
      <c r="T183" s="25" t="str">
        <f aca="false">IF(S183="","",IFERROR(INDEX(Empleadores!$B$2:$B$601,MATCH(S183,Empleadores!$A$2:$A$601,0)),"No encontrado"))</f>
        <v>C.S. Combapata</v>
      </c>
      <c r="U183" s="25" t="str">
        <f aca="false">IF(C183="","",IF(V183="","No",IF(Config!$C$4-V183&lt;=Config!$C$15,"Sí","No")))</f>
        <v>No</v>
      </c>
      <c r="V183" s="23" t="n">
        <v>45824</v>
      </c>
      <c r="W183" s="22"/>
      <c r="X183" s="22"/>
      <c r="Y183" s="22"/>
      <c r="Z183" s="27"/>
      <c r="AA183" s="22" t="s">
        <v>919</v>
      </c>
      <c r="AB183" s="22" t="s">
        <v>843</v>
      </c>
    </row>
    <row r="184" customFormat="false" ht="15" hidden="false" customHeight="false" outlineLevel="0" collapsed="false">
      <c r="A184" s="22" t="n">
        <v>183</v>
      </c>
      <c r="B184" s="22" t="s">
        <v>920</v>
      </c>
      <c r="C184" s="22" t="s">
        <v>921</v>
      </c>
      <c r="D184" s="22" t="s">
        <v>149</v>
      </c>
      <c r="E184" s="22" t="s">
        <v>139</v>
      </c>
      <c r="F184" s="22" t="s">
        <v>101</v>
      </c>
      <c r="G184" s="23" t="n">
        <v>44698</v>
      </c>
      <c r="H184" s="24" t="n">
        <f aca="false">IF(G184="","",ROUND((Config!$C$4-G184)/365.25,2))</f>
        <v>4.38</v>
      </c>
      <c r="I184" s="25" t="str">
        <f aca="false">IF(H184="","",IF(H184&lt;=1,"Tramo 1",IF(H184&lt;=3,"Tramo 2",IF(H184&lt;=5,"Tramo 3","Tramo 4"))))</f>
        <v>Tramo 3</v>
      </c>
      <c r="J184" s="22" t="s">
        <v>140</v>
      </c>
      <c r="K184" s="22"/>
      <c r="L184" s="22" t="s">
        <v>922</v>
      </c>
      <c r="M184" s="26" t="s">
        <v>923</v>
      </c>
      <c r="N184" s="22"/>
      <c r="O184" s="22" t="s">
        <v>63</v>
      </c>
      <c r="P184" s="25" t="str">
        <f aca="false">IF(OR(O184="",O184="Sin información"),"",IFERROR(INDEX(Listas!$B$2:$B$9,MATCH(O184,Listas!$A$2:$A$9,0)),""))</f>
        <v/>
      </c>
      <c r="Q184" s="25" t="str">
        <f aca="false">IF(OR(O184="",O184="Sin información"),"",IFERROR(INDEX(Listas!$C$2:$C$9,MATCH(O184,Listas!$A$2:$A$9,0)),""))</f>
        <v/>
      </c>
      <c r="R184" s="22"/>
      <c r="S184" s="22"/>
      <c r="T184" s="25" t="str">
        <f aca="false">IF(S184="","",IFERROR(INDEX(Empleadores!$B$2:$B$601,MATCH(S184,Empleadores!$A$2:$A$601,0)),"No encontrado"))</f>
        <v/>
      </c>
      <c r="U184" s="25" t="str">
        <f aca="false">IF(C184="","",IF(V184="","No",IF(Config!$C$4-V184&lt;=Config!$C$15,"Sí","No")))</f>
        <v>No</v>
      </c>
      <c r="V184" s="23"/>
      <c r="W184" s="22"/>
      <c r="X184" s="22"/>
      <c r="Y184" s="22"/>
      <c r="Z184" s="27" t="s">
        <v>924</v>
      </c>
      <c r="AA184" s="22"/>
      <c r="AB184" s="22"/>
    </row>
    <row r="185" customFormat="false" ht="15" hidden="false" customHeight="false" outlineLevel="0" collapsed="false">
      <c r="A185" s="22" t="n">
        <v>184</v>
      </c>
      <c r="B185" s="22" t="s">
        <v>925</v>
      </c>
      <c r="C185" s="22" t="s">
        <v>926</v>
      </c>
      <c r="D185" s="22" t="s">
        <v>138</v>
      </c>
      <c r="E185" s="22" t="s">
        <v>139</v>
      </c>
      <c r="F185" s="22" t="s">
        <v>101</v>
      </c>
      <c r="G185" s="23" t="n">
        <v>44698</v>
      </c>
      <c r="H185" s="24" t="n">
        <f aca="false">IF(G185="","",ROUND((Config!$C$4-G185)/365.25,2))</f>
        <v>4.38</v>
      </c>
      <c r="I185" s="25" t="str">
        <f aca="false">IF(H185="","",IF(H185&lt;=1,"Tramo 1",IF(H185&lt;=3,"Tramo 2",IF(H185&lt;=5,"Tramo 3","Tramo 4"))))</f>
        <v>Tramo 3</v>
      </c>
      <c r="J185" s="22" t="s">
        <v>140</v>
      </c>
      <c r="K185" s="22"/>
      <c r="L185" s="22" t="s">
        <v>927</v>
      </c>
      <c r="M185" s="26" t="s">
        <v>928</v>
      </c>
      <c r="N185" s="22"/>
      <c r="O185" s="22" t="s">
        <v>86</v>
      </c>
      <c r="P185" s="25" t="str">
        <f aca="false">IF(OR(O185="",O185="Sin información"),"",IFERROR(INDEX(Listas!$B$2:$B$9,MATCH(O185,Listas!$A$2:$A$9,0)),""))</f>
        <v>Sí</v>
      </c>
      <c r="Q185" s="25" t="str">
        <f aca="false">IF(OR(O185="",O185="Sin información"),"",IFERROR(INDEX(Listas!$C$2:$C$9,MATCH(O185,Listas!$A$2:$A$9,0)),""))</f>
        <v>Sí</v>
      </c>
      <c r="R185" s="22" t="s">
        <v>929</v>
      </c>
      <c r="S185" s="22" t="s">
        <v>930</v>
      </c>
      <c r="T185" s="25" t="str">
        <f aca="false">IF(S185="","",IFERROR(INDEX(Empleadores!$B$2:$B$601,MATCH(S185,Empleadores!$A$2:$A$601,0)),"No encontrado"))</f>
        <v>Hospital Nacional Arzobispo Loayza</v>
      </c>
      <c r="U185" s="25" t="str">
        <f aca="false">IF(C185="","",IF(V185="","No",IF(Config!$C$4-V185&lt;=Config!$C$15,"Sí","No")))</f>
        <v>No</v>
      </c>
      <c r="V185" s="23" t="n">
        <v>45807</v>
      </c>
      <c r="W185" s="22"/>
      <c r="X185" s="22"/>
      <c r="Y185" s="22"/>
      <c r="Z185" s="27"/>
      <c r="AA185" s="22" t="s">
        <v>931</v>
      </c>
      <c r="AB185" s="22" t="s">
        <v>843</v>
      </c>
    </row>
    <row r="186" customFormat="false" ht="15" hidden="false" customHeight="false" outlineLevel="0" collapsed="false">
      <c r="A186" s="22" t="n">
        <v>185</v>
      </c>
      <c r="B186" s="22" t="s">
        <v>932</v>
      </c>
      <c r="C186" s="22" t="s">
        <v>933</v>
      </c>
      <c r="D186" s="22" t="s">
        <v>138</v>
      </c>
      <c r="E186" s="22" t="s">
        <v>139</v>
      </c>
      <c r="F186" s="22" t="s">
        <v>101</v>
      </c>
      <c r="G186" s="23" t="n">
        <v>44698</v>
      </c>
      <c r="H186" s="24" t="n">
        <f aca="false">IF(G186="","",ROUND((Config!$C$4-G186)/365.25,2))</f>
        <v>4.38</v>
      </c>
      <c r="I186" s="25" t="str">
        <f aca="false">IF(H186="","",IF(H186&lt;=1,"Tramo 1",IF(H186&lt;=3,"Tramo 2",IF(H186&lt;=5,"Tramo 3","Tramo 4"))))</f>
        <v>Tramo 3</v>
      </c>
      <c r="J186" s="22" t="s">
        <v>140</v>
      </c>
      <c r="K186" s="22"/>
      <c r="L186" s="22" t="s">
        <v>934</v>
      </c>
      <c r="M186" s="26" t="s">
        <v>935</v>
      </c>
      <c r="N186" s="22"/>
      <c r="O186" s="22" t="s">
        <v>63</v>
      </c>
      <c r="P186" s="25" t="str">
        <f aca="false">IF(OR(O186="",O186="Sin información"),"",IFERROR(INDEX(Listas!$B$2:$B$9,MATCH(O186,Listas!$A$2:$A$9,0)),""))</f>
        <v/>
      </c>
      <c r="Q186" s="25" t="str">
        <f aca="false">IF(OR(O186="",O186="Sin información"),"",IFERROR(INDEX(Listas!$C$2:$C$9,MATCH(O186,Listas!$A$2:$A$9,0)),""))</f>
        <v/>
      </c>
      <c r="R186" s="22"/>
      <c r="S186" s="22"/>
      <c r="T186" s="25" t="str">
        <f aca="false">IF(S186="","",IFERROR(INDEX(Empleadores!$B$2:$B$601,MATCH(S186,Empleadores!$A$2:$A$601,0)),"No encontrado"))</f>
        <v/>
      </c>
      <c r="U186" s="25" t="str">
        <f aca="false">IF(C186="","",IF(V186="","No",IF(Config!$C$4-V186&lt;=Config!$C$15,"Sí","No")))</f>
        <v>No</v>
      </c>
      <c r="V186" s="23"/>
      <c r="W186" s="22"/>
      <c r="X186" s="22"/>
      <c r="Y186" s="22"/>
      <c r="Z186" s="27" t="s">
        <v>936</v>
      </c>
      <c r="AA186" s="22"/>
      <c r="AB186" s="22"/>
    </row>
    <row r="187" customFormat="false" ht="15" hidden="false" customHeight="false" outlineLevel="0" collapsed="false">
      <c r="A187" s="22" t="n">
        <v>186</v>
      </c>
      <c r="B187" s="22" t="s">
        <v>937</v>
      </c>
      <c r="C187" s="22" t="s">
        <v>938</v>
      </c>
      <c r="D187" s="22" t="s">
        <v>149</v>
      </c>
      <c r="E187" s="22" t="s">
        <v>139</v>
      </c>
      <c r="F187" s="22" t="s">
        <v>101</v>
      </c>
      <c r="G187" s="23" t="n">
        <v>44698</v>
      </c>
      <c r="H187" s="24" t="n">
        <f aca="false">IF(G187="","",ROUND((Config!$C$4-G187)/365.25,2))</f>
        <v>4.38</v>
      </c>
      <c r="I187" s="25" t="str">
        <f aca="false">IF(H187="","",IF(H187&lt;=1,"Tramo 1",IF(H187&lt;=3,"Tramo 2",IF(H187&lt;=5,"Tramo 3","Tramo 4"))))</f>
        <v>Tramo 3</v>
      </c>
      <c r="J187" s="22" t="s">
        <v>140</v>
      </c>
      <c r="K187" s="22"/>
      <c r="L187" s="22" t="s">
        <v>939</v>
      </c>
      <c r="M187" s="26" t="s">
        <v>940</v>
      </c>
      <c r="N187" s="22"/>
      <c r="O187" s="22" t="s">
        <v>85</v>
      </c>
      <c r="P187" s="25" t="str">
        <f aca="false">IF(OR(O187="",O187="Sin información"),"",IFERROR(INDEX(Listas!$B$2:$B$9,MATCH(O187,Listas!$A$2:$A$9,0)),""))</f>
        <v>Sí</v>
      </c>
      <c r="Q187" s="25" t="str">
        <f aca="false">IF(OR(O187="",O187="Sin información"),"",IFERROR(INDEX(Listas!$C$2:$C$9,MATCH(O187,Listas!$A$2:$A$9,0)),""))</f>
        <v>Sí</v>
      </c>
      <c r="R187" s="22" t="s">
        <v>941</v>
      </c>
      <c r="S187" s="22"/>
      <c r="T187" s="25" t="str">
        <f aca="false">IF(S187="","",IFERROR(INDEX(Empleadores!$B$2:$B$601,MATCH(S187,Empleadores!$A$2:$A$601,0)),"No encontrado"))</f>
        <v/>
      </c>
      <c r="U187" s="25" t="str">
        <f aca="false">IF(C187="","",IF(V187="","No",IF(Config!$C$4-V187&lt;=Config!$C$15,"Sí","No")))</f>
        <v>No</v>
      </c>
      <c r="V187" s="23" t="n">
        <v>45807</v>
      </c>
      <c r="W187" s="22"/>
      <c r="X187" s="22"/>
      <c r="Y187" s="22"/>
      <c r="Z187" s="27"/>
      <c r="AA187" s="22" t="s">
        <v>942</v>
      </c>
      <c r="AB187" s="22" t="s">
        <v>843</v>
      </c>
    </row>
    <row r="188" customFormat="false" ht="15" hidden="false" customHeight="false" outlineLevel="0" collapsed="false">
      <c r="A188" s="22" t="n">
        <v>187</v>
      </c>
      <c r="B188" s="22" t="s">
        <v>943</v>
      </c>
      <c r="C188" s="22" t="s">
        <v>944</v>
      </c>
      <c r="D188" s="22" t="s">
        <v>149</v>
      </c>
      <c r="E188" s="22" t="s">
        <v>139</v>
      </c>
      <c r="F188" s="22" t="s">
        <v>101</v>
      </c>
      <c r="G188" s="23" t="n">
        <v>44698</v>
      </c>
      <c r="H188" s="24" t="n">
        <f aca="false">IF(G188="","",ROUND((Config!$C$4-G188)/365.25,2))</f>
        <v>4.38</v>
      </c>
      <c r="I188" s="25" t="str">
        <f aca="false">IF(H188="","",IF(H188&lt;=1,"Tramo 1",IF(H188&lt;=3,"Tramo 2",IF(H188&lt;=5,"Tramo 3","Tramo 4"))))</f>
        <v>Tramo 3</v>
      </c>
      <c r="J188" s="22" t="s">
        <v>140</v>
      </c>
      <c r="K188" s="22"/>
      <c r="L188" s="22" t="s">
        <v>945</v>
      </c>
      <c r="M188" s="26" t="s">
        <v>946</v>
      </c>
      <c r="N188" s="22"/>
      <c r="O188" s="22" t="s">
        <v>85</v>
      </c>
      <c r="P188" s="25" t="str">
        <f aca="false">IF(OR(O188="",O188="Sin información"),"",IFERROR(INDEX(Listas!$B$2:$B$9,MATCH(O188,Listas!$A$2:$A$9,0)),""))</f>
        <v>Sí</v>
      </c>
      <c r="Q188" s="25" t="str">
        <f aca="false">IF(OR(O188="",O188="Sin información"),"",IFERROR(INDEX(Listas!$C$2:$C$9,MATCH(O188,Listas!$A$2:$A$9,0)),""))</f>
        <v>Sí</v>
      </c>
      <c r="R188" s="22" t="s">
        <v>947</v>
      </c>
      <c r="S188" s="22" t="s">
        <v>948</v>
      </c>
      <c r="T188" s="25" t="str">
        <f aca="false">IF(S188="","",IFERROR(INDEX(Empleadores!$B$2:$B$601,MATCH(S188,Empleadores!$A$2:$A$601,0)),"No encontrado"))</f>
        <v>SUNAT</v>
      </c>
      <c r="U188" s="25" t="str">
        <f aca="false">IF(C188="","",IF(V188="","No",IF(Config!$C$4-V188&lt;=Config!$C$15,"Sí","No")))</f>
        <v>Sí</v>
      </c>
      <c r="V188" s="23" t="n">
        <v>45966</v>
      </c>
      <c r="W188" s="22"/>
      <c r="X188" s="22"/>
      <c r="Y188" s="22" t="s">
        <v>181</v>
      </c>
      <c r="Z188" s="27"/>
      <c r="AA188" s="22" t="s">
        <v>949</v>
      </c>
      <c r="AB188" s="22" t="s">
        <v>816</v>
      </c>
    </row>
    <row r="189" customFormat="false" ht="15" hidden="false" customHeight="false" outlineLevel="0" collapsed="false">
      <c r="A189" s="22" t="n">
        <v>188</v>
      </c>
      <c r="B189" s="22" t="s">
        <v>950</v>
      </c>
      <c r="C189" s="22" t="s">
        <v>951</v>
      </c>
      <c r="D189" s="22" t="s">
        <v>138</v>
      </c>
      <c r="E189" s="22" t="s">
        <v>139</v>
      </c>
      <c r="F189" s="22" t="s">
        <v>101</v>
      </c>
      <c r="G189" s="23" t="n">
        <v>44698</v>
      </c>
      <c r="H189" s="24" t="n">
        <f aca="false">IF(G189="","",ROUND((Config!$C$4-G189)/365.25,2))</f>
        <v>4.38</v>
      </c>
      <c r="I189" s="25" t="str">
        <f aca="false">IF(H189="","",IF(H189&lt;=1,"Tramo 1",IF(H189&lt;=3,"Tramo 2",IF(H189&lt;=5,"Tramo 3","Tramo 4"))))</f>
        <v>Tramo 3</v>
      </c>
      <c r="J189" s="22" t="s">
        <v>140</v>
      </c>
      <c r="K189" s="22"/>
      <c r="L189" s="22" t="s">
        <v>952</v>
      </c>
      <c r="M189" s="26" t="s">
        <v>953</v>
      </c>
      <c r="N189" s="22"/>
      <c r="O189" s="22" t="s">
        <v>90</v>
      </c>
      <c r="P189" s="25" t="str">
        <f aca="false">IF(OR(O189="",O189="Sin información"),"",IFERROR(INDEX(Listas!$B$2:$B$9,MATCH(O189,Listas!$A$2:$A$9,0)),""))</f>
        <v>No</v>
      </c>
      <c r="Q189" s="25" t="str">
        <f aca="false">IF(OR(O189="",O189="Sin información"),"",IFERROR(INDEX(Listas!$C$2:$C$9,MATCH(O189,Listas!$A$2:$A$9,0)),""))</f>
        <v>No</v>
      </c>
      <c r="R189" s="22"/>
      <c r="S189" s="22"/>
      <c r="T189" s="25" t="str">
        <f aca="false">IF(S189="","",IFERROR(INDEX(Empleadores!$B$2:$B$601,MATCH(S189,Empleadores!$A$2:$A$601,0)),"No encontrado"))</f>
        <v/>
      </c>
      <c r="U189" s="25" t="str">
        <f aca="false">IF(C189="","",IF(V189="","No",IF(Config!$C$4-V189&lt;=Config!$C$15,"Sí","No")))</f>
        <v>No</v>
      </c>
      <c r="V189" s="23" t="n">
        <v>45807</v>
      </c>
      <c r="W189" s="22"/>
      <c r="X189" s="22"/>
      <c r="Y189" s="22"/>
      <c r="Z189" s="27" t="s">
        <v>954</v>
      </c>
      <c r="AA189" s="22" t="s">
        <v>955</v>
      </c>
      <c r="AB189" s="22" t="s">
        <v>843</v>
      </c>
    </row>
    <row r="190" customFormat="false" ht="15" hidden="false" customHeight="false" outlineLevel="0" collapsed="false">
      <c r="A190" s="22" t="n">
        <v>189</v>
      </c>
      <c r="B190" s="22" t="s">
        <v>956</v>
      </c>
      <c r="C190" s="22" t="s">
        <v>957</v>
      </c>
      <c r="D190" s="22" t="s">
        <v>149</v>
      </c>
      <c r="E190" s="22" t="s">
        <v>139</v>
      </c>
      <c r="F190" s="22" t="s">
        <v>101</v>
      </c>
      <c r="G190" s="23" t="n">
        <v>44698</v>
      </c>
      <c r="H190" s="24" t="n">
        <f aca="false">IF(G190="","",ROUND((Config!$C$4-G190)/365.25,2))</f>
        <v>4.38</v>
      </c>
      <c r="I190" s="25" t="str">
        <f aca="false">IF(H190="","",IF(H190&lt;=1,"Tramo 1",IF(H190&lt;=3,"Tramo 2",IF(H190&lt;=5,"Tramo 3","Tramo 4"))))</f>
        <v>Tramo 3</v>
      </c>
      <c r="J190" s="22" t="s">
        <v>140</v>
      </c>
      <c r="K190" s="22"/>
      <c r="L190" s="22" t="s">
        <v>958</v>
      </c>
      <c r="M190" s="26" t="s">
        <v>959</v>
      </c>
      <c r="N190" s="22"/>
      <c r="O190" s="22" t="s">
        <v>90</v>
      </c>
      <c r="P190" s="25" t="str">
        <f aca="false">IF(OR(O190="",O190="Sin información"),"",IFERROR(INDEX(Listas!$B$2:$B$9,MATCH(O190,Listas!$A$2:$A$9,0)),""))</f>
        <v>No</v>
      </c>
      <c r="Q190" s="25" t="str">
        <f aca="false">IF(OR(O190="",O190="Sin información"),"",IFERROR(INDEX(Listas!$C$2:$C$9,MATCH(O190,Listas!$A$2:$A$9,0)),""))</f>
        <v>No</v>
      </c>
      <c r="R190" s="22"/>
      <c r="S190" s="22"/>
      <c r="T190" s="25" t="str">
        <f aca="false">IF(S190="","",IFERROR(INDEX(Empleadores!$B$2:$B$601,MATCH(S190,Empleadores!$A$2:$A$601,0)),"No encontrado"))</f>
        <v/>
      </c>
      <c r="U190" s="25" t="str">
        <f aca="false">IF(C190="","",IF(V190="","No",IF(Config!$C$4-V190&lt;=Config!$C$15,"Sí","No")))</f>
        <v>No</v>
      </c>
      <c r="V190" s="23" t="n">
        <v>45807</v>
      </c>
      <c r="W190" s="22"/>
      <c r="X190" s="22"/>
      <c r="Y190" s="22"/>
      <c r="Z190" s="27" t="s">
        <v>954</v>
      </c>
      <c r="AA190" s="22" t="s">
        <v>960</v>
      </c>
      <c r="AB190" s="22" t="s">
        <v>843</v>
      </c>
    </row>
    <row r="191" customFormat="false" ht="15" hidden="false" customHeight="false" outlineLevel="0" collapsed="false">
      <c r="A191" s="22" t="n">
        <v>190</v>
      </c>
      <c r="B191" s="22" t="s">
        <v>961</v>
      </c>
      <c r="C191" s="22" t="s">
        <v>962</v>
      </c>
      <c r="D191" s="22" t="s">
        <v>138</v>
      </c>
      <c r="E191" s="22" t="s">
        <v>139</v>
      </c>
      <c r="F191" s="22" t="s">
        <v>101</v>
      </c>
      <c r="G191" s="23" t="n">
        <v>44698</v>
      </c>
      <c r="H191" s="24" t="n">
        <f aca="false">IF(G191="","",ROUND((Config!$C$4-G191)/365.25,2))</f>
        <v>4.38</v>
      </c>
      <c r="I191" s="25" t="str">
        <f aca="false">IF(H191="","",IF(H191&lt;=1,"Tramo 1",IF(H191&lt;=3,"Tramo 2",IF(H191&lt;=5,"Tramo 3","Tramo 4"))))</f>
        <v>Tramo 3</v>
      </c>
      <c r="J191" s="22" t="s">
        <v>140</v>
      </c>
      <c r="K191" s="22"/>
      <c r="L191" s="22" t="s">
        <v>963</v>
      </c>
      <c r="M191" s="26" t="s">
        <v>964</v>
      </c>
      <c r="N191" s="22"/>
      <c r="O191" s="22" t="s">
        <v>63</v>
      </c>
      <c r="P191" s="25" t="str">
        <f aca="false">IF(OR(O191="",O191="Sin información"),"",IFERROR(INDEX(Listas!$B$2:$B$9,MATCH(O191,Listas!$A$2:$A$9,0)),""))</f>
        <v/>
      </c>
      <c r="Q191" s="25" t="str">
        <f aca="false">IF(OR(O191="",O191="Sin información"),"",IFERROR(INDEX(Listas!$C$2:$C$9,MATCH(O191,Listas!$A$2:$A$9,0)),""))</f>
        <v/>
      </c>
      <c r="R191" s="22"/>
      <c r="S191" s="22"/>
      <c r="T191" s="25" t="str">
        <f aca="false">IF(S191="","",IFERROR(INDEX(Empleadores!$B$2:$B$601,MATCH(S191,Empleadores!$A$2:$A$601,0)),"No encontrado"))</f>
        <v/>
      </c>
      <c r="U191" s="25" t="str">
        <f aca="false">IF(C191="","",IF(V191="","No",IF(Config!$C$4-V191&lt;=Config!$C$15,"Sí","No")))</f>
        <v>No</v>
      </c>
      <c r="V191" s="23"/>
      <c r="W191" s="22"/>
      <c r="X191" s="22"/>
      <c r="Y191" s="22"/>
      <c r="Z191" s="27" t="s">
        <v>965</v>
      </c>
      <c r="AA191" s="22"/>
      <c r="AB191" s="22"/>
    </row>
    <row r="192" customFormat="false" ht="15" hidden="false" customHeight="false" outlineLevel="0" collapsed="false">
      <c r="A192" s="22" t="n">
        <v>191</v>
      </c>
      <c r="B192" s="22" t="s">
        <v>966</v>
      </c>
      <c r="C192" s="22" t="s">
        <v>967</v>
      </c>
      <c r="D192" s="22" t="s">
        <v>149</v>
      </c>
      <c r="E192" s="22" t="s">
        <v>139</v>
      </c>
      <c r="F192" s="22" t="s">
        <v>101</v>
      </c>
      <c r="G192" s="23" t="n">
        <v>44698</v>
      </c>
      <c r="H192" s="24" t="n">
        <f aca="false">IF(G192="","",ROUND((Config!$C$4-G192)/365.25,2))</f>
        <v>4.38</v>
      </c>
      <c r="I192" s="25" t="str">
        <f aca="false">IF(H192="","",IF(H192&lt;=1,"Tramo 1",IF(H192&lt;=3,"Tramo 2",IF(H192&lt;=5,"Tramo 3","Tramo 4"))))</f>
        <v>Tramo 3</v>
      </c>
      <c r="J192" s="22" t="s">
        <v>140</v>
      </c>
      <c r="K192" s="22"/>
      <c r="L192" s="22" t="s">
        <v>968</v>
      </c>
      <c r="M192" s="26" t="s">
        <v>969</v>
      </c>
      <c r="N192" s="22"/>
      <c r="O192" s="22" t="s">
        <v>63</v>
      </c>
      <c r="P192" s="25" t="str">
        <f aca="false">IF(OR(O192="",O192="Sin información"),"",IFERROR(INDEX(Listas!$B$2:$B$9,MATCH(O192,Listas!$A$2:$A$9,0)),""))</f>
        <v/>
      </c>
      <c r="Q192" s="25" t="str">
        <f aca="false">IF(OR(O192="",O192="Sin información"),"",IFERROR(INDEX(Listas!$C$2:$C$9,MATCH(O192,Listas!$A$2:$A$9,0)),""))</f>
        <v/>
      </c>
      <c r="R192" s="22"/>
      <c r="S192" s="22"/>
      <c r="T192" s="25" t="str">
        <f aca="false">IF(S192="","",IFERROR(INDEX(Empleadores!$B$2:$B$601,MATCH(S192,Empleadores!$A$2:$A$601,0)),"No encontrado"))</f>
        <v/>
      </c>
      <c r="U192" s="25" t="str">
        <f aca="false">IF(C192="","",IF(V192="","No",IF(Config!$C$4-V192&lt;=Config!$C$15,"Sí","No")))</f>
        <v>No</v>
      </c>
      <c r="V192" s="23"/>
      <c r="W192" s="22"/>
      <c r="X192" s="22"/>
      <c r="Y192" s="22"/>
      <c r="Z192" s="27" t="s">
        <v>970</v>
      </c>
      <c r="AA192" s="22"/>
      <c r="AB192" s="22"/>
    </row>
    <row r="193" customFormat="false" ht="15" hidden="false" customHeight="false" outlineLevel="0" collapsed="false">
      <c r="A193" s="22" t="n">
        <v>192</v>
      </c>
      <c r="B193" s="22" t="s">
        <v>971</v>
      </c>
      <c r="C193" s="22" t="s">
        <v>972</v>
      </c>
      <c r="D193" s="22" t="s">
        <v>149</v>
      </c>
      <c r="E193" s="22" t="s">
        <v>139</v>
      </c>
      <c r="F193" s="22" t="s">
        <v>101</v>
      </c>
      <c r="G193" s="23" t="n">
        <v>44698</v>
      </c>
      <c r="H193" s="24" t="n">
        <f aca="false">IF(G193="","",ROUND((Config!$C$4-G193)/365.25,2))</f>
        <v>4.38</v>
      </c>
      <c r="I193" s="25" t="str">
        <f aca="false">IF(H193="","",IF(H193&lt;=1,"Tramo 1",IF(H193&lt;=3,"Tramo 2",IF(H193&lt;=5,"Tramo 3","Tramo 4"))))</f>
        <v>Tramo 3</v>
      </c>
      <c r="J193" s="22" t="s">
        <v>140</v>
      </c>
      <c r="K193" s="22"/>
      <c r="L193" s="22" t="s">
        <v>973</v>
      </c>
      <c r="M193" s="26" t="s">
        <v>974</v>
      </c>
      <c r="N193" s="22"/>
      <c r="O193" s="22" t="s">
        <v>86</v>
      </c>
      <c r="P193" s="25" t="str">
        <f aca="false">IF(OR(O193="",O193="Sin información"),"",IFERROR(INDEX(Listas!$B$2:$B$9,MATCH(O193,Listas!$A$2:$A$9,0)),""))</f>
        <v>Sí</v>
      </c>
      <c r="Q193" s="25" t="str">
        <f aca="false">IF(OR(O193="",O193="Sin información"),"",IFERROR(INDEX(Listas!$C$2:$C$9,MATCH(O193,Listas!$A$2:$A$9,0)),""))</f>
        <v>Sí</v>
      </c>
      <c r="R193" s="22" t="s">
        <v>975</v>
      </c>
      <c r="S193" s="22" t="s">
        <v>976</v>
      </c>
      <c r="T193" s="25" t="str">
        <f aca="false">IF(S193="","",IFERROR(INDEX(Empleadores!$B$2:$B$601,MATCH(S193,Empleadores!$A$2:$A$601,0)),"No encontrado"))</f>
        <v>Hospital Nacional Edgardo Rebagliati Martins</v>
      </c>
      <c r="U193" s="25" t="str">
        <f aca="false">IF(C193="","",IF(V193="","No",IF(Config!$C$4-V193&lt;=Config!$C$15,"Sí","No")))</f>
        <v>No</v>
      </c>
      <c r="V193" s="23" t="n">
        <v>45807</v>
      </c>
      <c r="W193" s="22"/>
      <c r="X193" s="22"/>
      <c r="Y193" s="22"/>
      <c r="Z193" s="27"/>
      <c r="AA193" s="22" t="s">
        <v>977</v>
      </c>
      <c r="AB193" s="22" t="s">
        <v>843</v>
      </c>
    </row>
    <row r="194" customFormat="false" ht="15" hidden="false" customHeight="false" outlineLevel="0" collapsed="false">
      <c r="A194" s="22" t="n">
        <v>193</v>
      </c>
      <c r="B194" s="22" t="s">
        <v>978</v>
      </c>
      <c r="C194" s="22" t="s">
        <v>979</v>
      </c>
      <c r="D194" s="22" t="s">
        <v>138</v>
      </c>
      <c r="E194" s="22" t="s">
        <v>139</v>
      </c>
      <c r="F194" s="22" t="s">
        <v>101</v>
      </c>
      <c r="G194" s="23" t="n">
        <v>44698</v>
      </c>
      <c r="H194" s="24" t="n">
        <f aca="false">IF(G194="","",ROUND((Config!$C$4-G194)/365.25,2))</f>
        <v>4.38</v>
      </c>
      <c r="I194" s="25" t="str">
        <f aca="false">IF(H194="","",IF(H194&lt;=1,"Tramo 1",IF(H194&lt;=3,"Tramo 2",IF(H194&lt;=5,"Tramo 3","Tramo 4"))))</f>
        <v>Tramo 3</v>
      </c>
      <c r="J194" s="22" t="s">
        <v>140</v>
      </c>
      <c r="K194" s="22"/>
      <c r="L194" s="22" t="s">
        <v>980</v>
      </c>
      <c r="M194" s="26" t="s">
        <v>981</v>
      </c>
      <c r="N194" s="22"/>
      <c r="O194" s="22" t="s">
        <v>90</v>
      </c>
      <c r="P194" s="25" t="str">
        <f aca="false">IF(OR(O194="",O194="Sin información"),"",IFERROR(INDEX(Listas!$B$2:$B$9,MATCH(O194,Listas!$A$2:$A$9,0)),""))</f>
        <v>No</v>
      </c>
      <c r="Q194" s="25" t="str">
        <f aca="false">IF(OR(O194="",O194="Sin información"),"",IFERROR(INDEX(Listas!$C$2:$C$9,MATCH(O194,Listas!$A$2:$A$9,0)),""))</f>
        <v>No</v>
      </c>
      <c r="R194" s="22"/>
      <c r="S194" s="22"/>
      <c r="T194" s="25" t="str">
        <f aca="false">IF(S194="","",IFERROR(INDEX(Empleadores!$B$2:$B$601,MATCH(S194,Empleadores!$A$2:$A$601,0)),"No encontrado"))</f>
        <v/>
      </c>
      <c r="U194" s="25" t="str">
        <f aca="false">IF(C194="","",IF(V194="","No",IF(Config!$C$4-V194&lt;=Config!$C$15,"Sí","No")))</f>
        <v>No</v>
      </c>
      <c r="V194" s="23" t="n">
        <v>45824</v>
      </c>
      <c r="W194" s="22"/>
      <c r="X194" s="22"/>
      <c r="Y194" s="22"/>
      <c r="Z194" s="27" t="s">
        <v>954</v>
      </c>
      <c r="AA194" s="22" t="s">
        <v>982</v>
      </c>
      <c r="AB194" s="22" t="s">
        <v>843</v>
      </c>
    </row>
    <row r="195" customFormat="false" ht="15" hidden="false" customHeight="false" outlineLevel="0" collapsed="false">
      <c r="A195" s="22" t="n">
        <v>194</v>
      </c>
      <c r="B195" s="22" t="s">
        <v>983</v>
      </c>
      <c r="C195" s="22" t="s">
        <v>984</v>
      </c>
      <c r="D195" s="22" t="s">
        <v>149</v>
      </c>
      <c r="E195" s="22" t="s">
        <v>139</v>
      </c>
      <c r="F195" s="22" t="s">
        <v>101</v>
      </c>
      <c r="G195" s="23" t="n">
        <v>44698</v>
      </c>
      <c r="H195" s="24" t="n">
        <f aca="false">IF(G195="","",ROUND((Config!$C$4-G195)/365.25,2))</f>
        <v>4.38</v>
      </c>
      <c r="I195" s="25" t="str">
        <f aca="false">IF(H195="","",IF(H195&lt;=1,"Tramo 1",IF(H195&lt;=3,"Tramo 2",IF(H195&lt;=5,"Tramo 3","Tramo 4"))))</f>
        <v>Tramo 3</v>
      </c>
      <c r="J195" s="22" t="s">
        <v>140</v>
      </c>
      <c r="K195" s="22"/>
      <c r="L195" s="22" t="s">
        <v>985</v>
      </c>
      <c r="M195" s="26" t="s">
        <v>986</v>
      </c>
      <c r="N195" s="22"/>
      <c r="O195" s="22" t="s">
        <v>85</v>
      </c>
      <c r="P195" s="25" t="str">
        <f aca="false">IF(OR(O195="",O195="Sin información"),"",IFERROR(INDEX(Listas!$B$2:$B$9,MATCH(O195,Listas!$A$2:$A$9,0)),""))</f>
        <v>Sí</v>
      </c>
      <c r="Q195" s="25" t="str">
        <f aca="false">IF(OR(O195="",O195="Sin información"),"",IFERROR(INDEX(Listas!$C$2:$C$9,MATCH(O195,Listas!$A$2:$A$9,0)),""))</f>
        <v>Sí</v>
      </c>
      <c r="R195" s="22" t="s">
        <v>987</v>
      </c>
      <c r="S195" s="22" t="s">
        <v>988</v>
      </c>
      <c r="T195" s="25" t="str">
        <f aca="false">IF(S195="","",IFERROR(INDEX(Empleadores!$B$2:$B$601,MATCH(S195,Empleadores!$A$2:$A$601,0)),"No encontrado"))</f>
        <v>C.S. Calca</v>
      </c>
      <c r="U195" s="25" t="str">
        <f aca="false">IF(C195="","",IF(V195="","No",IF(Config!$C$4-V195&lt;=Config!$C$15,"Sí","No")))</f>
        <v>No</v>
      </c>
      <c r="V195" s="23" t="n">
        <v>45807</v>
      </c>
      <c r="W195" s="22"/>
      <c r="X195" s="22"/>
      <c r="Y195" s="22"/>
      <c r="Z195" s="27" t="s">
        <v>954</v>
      </c>
      <c r="AA195" s="22" t="s">
        <v>989</v>
      </c>
      <c r="AB195" s="22" t="s">
        <v>843</v>
      </c>
    </row>
    <row r="196" customFormat="false" ht="15" hidden="false" customHeight="false" outlineLevel="0" collapsed="false">
      <c r="A196" s="22" t="n">
        <v>195</v>
      </c>
      <c r="B196" s="22" t="s">
        <v>990</v>
      </c>
      <c r="C196" s="22" t="s">
        <v>991</v>
      </c>
      <c r="D196" s="22" t="s">
        <v>149</v>
      </c>
      <c r="E196" s="22" t="s">
        <v>139</v>
      </c>
      <c r="F196" s="22" t="s">
        <v>101</v>
      </c>
      <c r="G196" s="23" t="n">
        <v>44698</v>
      </c>
      <c r="H196" s="24" t="n">
        <f aca="false">IF(G196="","",ROUND((Config!$C$4-G196)/365.25,2))</f>
        <v>4.38</v>
      </c>
      <c r="I196" s="25" t="str">
        <f aca="false">IF(H196="","",IF(H196&lt;=1,"Tramo 1",IF(H196&lt;=3,"Tramo 2",IF(H196&lt;=5,"Tramo 3","Tramo 4"))))</f>
        <v>Tramo 3</v>
      </c>
      <c r="J196" s="22" t="s">
        <v>140</v>
      </c>
      <c r="K196" s="22"/>
      <c r="L196" s="22" t="s">
        <v>992</v>
      </c>
      <c r="M196" s="26" t="s">
        <v>993</v>
      </c>
      <c r="N196" s="22"/>
      <c r="O196" s="22" t="s">
        <v>85</v>
      </c>
      <c r="P196" s="25" t="str">
        <f aca="false">IF(OR(O196="",O196="Sin información"),"",IFERROR(INDEX(Listas!$B$2:$B$9,MATCH(O196,Listas!$A$2:$A$9,0)),""))</f>
        <v>Sí</v>
      </c>
      <c r="Q196" s="25" t="str">
        <f aca="false">IF(OR(O196="",O196="Sin información"),"",IFERROR(INDEX(Listas!$C$2:$C$9,MATCH(O196,Listas!$A$2:$A$9,0)),""))</f>
        <v>Sí</v>
      </c>
      <c r="R196" s="22" t="s">
        <v>994</v>
      </c>
      <c r="S196" s="22" t="s">
        <v>533</v>
      </c>
      <c r="T196" s="25" t="str">
        <f aca="false">IF(S196="","",IFERROR(INDEX(Empleadores!$B$2:$B$601,MATCH(S196,Empleadores!$A$2:$A$601,0)),"No encontrado"))</f>
        <v>Hospital de la Solidaridad – Cusco</v>
      </c>
      <c r="U196" s="25" t="str">
        <f aca="false">IF(C196="","",IF(V196="","No",IF(Config!$C$4-V196&lt;=Config!$C$15,"Sí","No")))</f>
        <v>No</v>
      </c>
      <c r="V196" s="23" t="n">
        <v>45807</v>
      </c>
      <c r="W196" s="22"/>
      <c r="X196" s="22"/>
      <c r="Y196" s="22"/>
      <c r="Z196" s="27"/>
      <c r="AA196" s="22" t="s">
        <v>995</v>
      </c>
      <c r="AB196" s="22" t="s">
        <v>843</v>
      </c>
    </row>
    <row r="197" customFormat="false" ht="15" hidden="false" customHeight="false" outlineLevel="0" collapsed="false">
      <c r="A197" s="22" t="n">
        <v>196</v>
      </c>
      <c r="B197" s="22" t="s">
        <v>996</v>
      </c>
      <c r="C197" s="22" t="s">
        <v>997</v>
      </c>
      <c r="D197" s="22" t="s">
        <v>138</v>
      </c>
      <c r="E197" s="22" t="s">
        <v>139</v>
      </c>
      <c r="F197" s="22" t="s">
        <v>101</v>
      </c>
      <c r="G197" s="23" t="n">
        <v>44698</v>
      </c>
      <c r="H197" s="24" t="n">
        <f aca="false">IF(G197="","",ROUND((Config!$C$4-G197)/365.25,2))</f>
        <v>4.38</v>
      </c>
      <c r="I197" s="25" t="str">
        <f aca="false">IF(H197="","",IF(H197&lt;=1,"Tramo 1",IF(H197&lt;=3,"Tramo 2",IF(H197&lt;=5,"Tramo 3","Tramo 4"))))</f>
        <v>Tramo 3</v>
      </c>
      <c r="J197" s="22" t="s">
        <v>140</v>
      </c>
      <c r="K197" s="22"/>
      <c r="L197" s="22" t="s">
        <v>998</v>
      </c>
      <c r="M197" s="26" t="s">
        <v>999</v>
      </c>
      <c r="N197" s="22"/>
      <c r="O197" s="22" t="s">
        <v>85</v>
      </c>
      <c r="P197" s="25" t="str">
        <f aca="false">IF(OR(O197="",O197="Sin información"),"",IFERROR(INDEX(Listas!$B$2:$B$9,MATCH(O197,Listas!$A$2:$A$9,0)),""))</f>
        <v>Sí</v>
      </c>
      <c r="Q197" s="25" t="str">
        <f aca="false">IF(OR(O197="",O197="Sin información"),"",IFERROR(INDEX(Listas!$C$2:$C$9,MATCH(O197,Listas!$A$2:$A$9,0)),""))</f>
        <v>Sí</v>
      </c>
      <c r="R197" s="22" t="s">
        <v>1000</v>
      </c>
      <c r="S197" s="22" t="s">
        <v>1001</v>
      </c>
      <c r="T197" s="25" t="str">
        <f aca="false">IF(S197="","",IFERROR(INDEX(Empleadores!$B$2:$B$601,MATCH(S197,Empleadores!$A$2:$A$601,0)),"No encontrado"))</f>
        <v>C.S. Tamburco</v>
      </c>
      <c r="U197" s="25" t="str">
        <f aca="false">IF(C197="","",IF(V197="","No",IF(Config!$C$4-V197&lt;=Config!$C$15,"Sí","No")))</f>
        <v>No</v>
      </c>
      <c r="V197" s="23" t="n">
        <v>45824</v>
      </c>
      <c r="W197" s="22"/>
      <c r="X197" s="22"/>
      <c r="Y197" s="22"/>
      <c r="Z197" s="27"/>
      <c r="AA197" s="22" t="s">
        <v>1002</v>
      </c>
      <c r="AB197" s="22" t="s">
        <v>843</v>
      </c>
    </row>
    <row r="198" customFormat="false" ht="15" hidden="false" customHeight="false" outlineLevel="0" collapsed="false">
      <c r="A198" s="22" t="n">
        <v>197</v>
      </c>
      <c r="B198" s="22" t="s">
        <v>1003</v>
      </c>
      <c r="C198" s="22" t="s">
        <v>1004</v>
      </c>
      <c r="D198" s="22" t="s">
        <v>149</v>
      </c>
      <c r="E198" s="22" t="s">
        <v>139</v>
      </c>
      <c r="F198" s="22" t="s">
        <v>101</v>
      </c>
      <c r="G198" s="23" t="n">
        <v>44698</v>
      </c>
      <c r="H198" s="24" t="n">
        <f aca="false">IF(G198="","",ROUND((Config!$C$4-G198)/365.25,2))</f>
        <v>4.38</v>
      </c>
      <c r="I198" s="25" t="str">
        <f aca="false">IF(H198="","",IF(H198&lt;=1,"Tramo 1",IF(H198&lt;=3,"Tramo 2",IF(H198&lt;=5,"Tramo 3","Tramo 4"))))</f>
        <v>Tramo 3</v>
      </c>
      <c r="J198" s="22" t="s">
        <v>140</v>
      </c>
      <c r="K198" s="22"/>
      <c r="L198" s="22" t="s">
        <v>1005</v>
      </c>
      <c r="M198" s="26" t="s">
        <v>1006</v>
      </c>
      <c r="N198" s="22"/>
      <c r="O198" s="22" t="s">
        <v>90</v>
      </c>
      <c r="P198" s="25" t="str">
        <f aca="false">IF(OR(O198="",O198="Sin información"),"",IFERROR(INDEX(Listas!$B$2:$B$9,MATCH(O198,Listas!$A$2:$A$9,0)),""))</f>
        <v>No</v>
      </c>
      <c r="Q198" s="25" t="str">
        <f aca="false">IF(OR(O198="",O198="Sin información"),"",IFERROR(INDEX(Listas!$C$2:$C$9,MATCH(O198,Listas!$A$2:$A$9,0)),""))</f>
        <v>No</v>
      </c>
      <c r="R198" s="22"/>
      <c r="S198" s="22"/>
      <c r="T198" s="25" t="str">
        <f aca="false">IF(S198="","",IFERROR(INDEX(Empleadores!$B$2:$B$601,MATCH(S198,Empleadores!$A$2:$A$601,0)),"No encontrado"))</f>
        <v/>
      </c>
      <c r="U198" s="25" t="str">
        <f aca="false">IF(C198="","",IF(V198="","No",IF(Config!$C$4-V198&lt;=Config!$C$15,"Sí","No")))</f>
        <v>No</v>
      </c>
      <c r="V198" s="23" t="n">
        <v>45824</v>
      </c>
      <c r="W198" s="22"/>
      <c r="X198" s="22"/>
      <c r="Y198" s="22"/>
      <c r="Z198" s="27" t="s">
        <v>873</v>
      </c>
      <c r="AA198" s="22" t="s">
        <v>1007</v>
      </c>
      <c r="AB198" s="22" t="s">
        <v>843</v>
      </c>
    </row>
    <row r="199" customFormat="false" ht="15" hidden="false" customHeight="false" outlineLevel="0" collapsed="false">
      <c r="A199" s="22" t="n">
        <v>198</v>
      </c>
      <c r="B199" s="22" t="s">
        <v>1008</v>
      </c>
      <c r="C199" s="22" t="s">
        <v>1009</v>
      </c>
      <c r="D199" s="22" t="s">
        <v>138</v>
      </c>
      <c r="E199" s="22" t="s">
        <v>139</v>
      </c>
      <c r="F199" s="22" t="s">
        <v>101</v>
      </c>
      <c r="G199" s="23" t="n">
        <v>44698</v>
      </c>
      <c r="H199" s="24" t="n">
        <f aca="false">IF(G199="","",ROUND((Config!$C$4-G199)/365.25,2))</f>
        <v>4.38</v>
      </c>
      <c r="I199" s="25" t="str">
        <f aca="false">IF(H199="","",IF(H199&lt;=1,"Tramo 1",IF(H199&lt;=3,"Tramo 2",IF(H199&lt;=5,"Tramo 3","Tramo 4"))))</f>
        <v>Tramo 3</v>
      </c>
      <c r="J199" s="22" t="s">
        <v>140</v>
      </c>
      <c r="K199" s="22"/>
      <c r="L199" s="22" t="s">
        <v>1010</v>
      </c>
      <c r="M199" s="26" t="s">
        <v>1011</v>
      </c>
      <c r="N199" s="22"/>
      <c r="O199" s="22" t="s">
        <v>63</v>
      </c>
      <c r="P199" s="25" t="str">
        <f aca="false">IF(OR(O199="",O199="Sin información"),"",IFERROR(INDEX(Listas!$B$2:$B$9,MATCH(O199,Listas!$A$2:$A$9,0)),""))</f>
        <v/>
      </c>
      <c r="Q199" s="25" t="str">
        <f aca="false">IF(OR(O199="",O199="Sin información"),"",IFERROR(INDEX(Listas!$C$2:$C$9,MATCH(O199,Listas!$A$2:$A$9,0)),""))</f>
        <v/>
      </c>
      <c r="R199" s="22"/>
      <c r="S199" s="22"/>
      <c r="T199" s="25" t="str">
        <f aca="false">IF(S199="","",IFERROR(INDEX(Empleadores!$B$2:$B$601,MATCH(S199,Empleadores!$A$2:$A$601,0)),"No encontrado"))</f>
        <v/>
      </c>
      <c r="U199" s="25" t="str">
        <f aca="false">IF(C199="","",IF(V199="","No",IF(Config!$C$4-V199&lt;=Config!$C$15,"Sí","No")))</f>
        <v>No</v>
      </c>
      <c r="V199" s="23"/>
      <c r="W199" s="22"/>
      <c r="X199" s="22"/>
      <c r="Y199" s="22"/>
      <c r="Z199" s="27" t="s">
        <v>1012</v>
      </c>
      <c r="AA199" s="22"/>
      <c r="AB199" s="22"/>
    </row>
    <row r="200" customFormat="false" ht="15" hidden="false" customHeight="false" outlineLevel="0" collapsed="false">
      <c r="A200" s="22" t="n">
        <v>199</v>
      </c>
      <c r="B200" s="22" t="s">
        <v>1013</v>
      </c>
      <c r="C200" s="22" t="s">
        <v>1014</v>
      </c>
      <c r="D200" s="22" t="s">
        <v>138</v>
      </c>
      <c r="E200" s="22" t="s">
        <v>139</v>
      </c>
      <c r="F200" s="22" t="s">
        <v>101</v>
      </c>
      <c r="G200" s="23" t="n">
        <v>44698</v>
      </c>
      <c r="H200" s="24" t="n">
        <f aca="false">IF(G200="","",ROUND((Config!$C$4-G200)/365.25,2))</f>
        <v>4.38</v>
      </c>
      <c r="I200" s="25" t="str">
        <f aca="false">IF(H200="","",IF(H200&lt;=1,"Tramo 1",IF(H200&lt;=3,"Tramo 2",IF(H200&lt;=5,"Tramo 3","Tramo 4"))))</f>
        <v>Tramo 3</v>
      </c>
      <c r="J200" s="22" t="s">
        <v>140</v>
      </c>
      <c r="K200" s="22"/>
      <c r="L200" s="22" t="s">
        <v>1015</v>
      </c>
      <c r="M200" s="26" t="s">
        <v>1016</v>
      </c>
      <c r="N200" s="22"/>
      <c r="O200" s="22" t="s">
        <v>63</v>
      </c>
      <c r="P200" s="25" t="str">
        <f aca="false">IF(OR(O200="",O200="Sin información"),"",IFERROR(INDEX(Listas!$B$2:$B$9,MATCH(O200,Listas!$A$2:$A$9,0)),""))</f>
        <v/>
      </c>
      <c r="Q200" s="25" t="str">
        <f aca="false">IF(OR(O200="",O200="Sin información"),"",IFERROR(INDEX(Listas!$C$2:$C$9,MATCH(O200,Listas!$A$2:$A$9,0)),""))</f>
        <v/>
      </c>
      <c r="R200" s="22"/>
      <c r="S200" s="22"/>
      <c r="T200" s="25" t="str">
        <f aca="false">IF(S200="","",IFERROR(INDEX(Empleadores!$B$2:$B$601,MATCH(S200,Empleadores!$A$2:$A$601,0)),"No encontrado"))</f>
        <v/>
      </c>
      <c r="U200" s="25" t="str">
        <f aca="false">IF(C200="","",IF(V200="","No",IF(Config!$C$4-V200&lt;=Config!$C$15,"Sí","No")))</f>
        <v>No</v>
      </c>
      <c r="V200" s="23"/>
      <c r="W200" s="22"/>
      <c r="X200" s="22"/>
      <c r="Y200" s="22"/>
      <c r="Z200" s="27" t="s">
        <v>1017</v>
      </c>
      <c r="AA200" s="22"/>
      <c r="AB200" s="22"/>
    </row>
    <row r="201" customFormat="false" ht="15" hidden="false" customHeight="false" outlineLevel="0" collapsed="false">
      <c r="A201" s="22" t="n">
        <v>200</v>
      </c>
      <c r="B201" s="22" t="s">
        <v>1018</v>
      </c>
      <c r="C201" s="22" t="s">
        <v>1019</v>
      </c>
      <c r="D201" s="22" t="s">
        <v>138</v>
      </c>
      <c r="E201" s="22" t="s">
        <v>139</v>
      </c>
      <c r="F201" s="22" t="s">
        <v>101</v>
      </c>
      <c r="G201" s="23" t="n">
        <v>44698</v>
      </c>
      <c r="H201" s="24" t="n">
        <f aca="false">IF(G201="","",ROUND((Config!$C$4-G201)/365.25,2))</f>
        <v>4.38</v>
      </c>
      <c r="I201" s="25" t="str">
        <f aca="false">IF(H201="","",IF(H201&lt;=1,"Tramo 1",IF(H201&lt;=3,"Tramo 2",IF(H201&lt;=5,"Tramo 3","Tramo 4"))))</f>
        <v>Tramo 3</v>
      </c>
      <c r="J201" s="22" t="s">
        <v>140</v>
      </c>
      <c r="K201" s="22"/>
      <c r="L201" s="22" t="s">
        <v>1020</v>
      </c>
      <c r="M201" s="26" t="s">
        <v>1021</v>
      </c>
      <c r="N201" s="22"/>
      <c r="O201" s="22" t="s">
        <v>90</v>
      </c>
      <c r="P201" s="25" t="str">
        <f aca="false">IF(OR(O201="",O201="Sin información"),"",IFERROR(INDEX(Listas!$B$2:$B$9,MATCH(O201,Listas!$A$2:$A$9,0)),""))</f>
        <v>No</v>
      </c>
      <c r="Q201" s="25" t="str">
        <f aca="false">IF(OR(O201="",O201="Sin información"),"",IFERROR(INDEX(Listas!$C$2:$C$9,MATCH(O201,Listas!$A$2:$A$9,0)),""))</f>
        <v>No</v>
      </c>
      <c r="R201" s="22"/>
      <c r="S201" s="22"/>
      <c r="T201" s="25" t="str">
        <f aca="false">IF(S201="","",IFERROR(INDEX(Empleadores!$B$2:$B$601,MATCH(S201,Empleadores!$A$2:$A$601,0)),"No encontrado"))</f>
        <v/>
      </c>
      <c r="U201" s="25" t="str">
        <f aca="false">IF(C201="","",IF(V201="","No",IF(Config!$C$4-V201&lt;=Config!$C$15,"Sí","No")))</f>
        <v>No</v>
      </c>
      <c r="V201" s="23" t="n">
        <v>45824</v>
      </c>
      <c r="W201" s="22"/>
      <c r="X201" s="22"/>
      <c r="Y201" s="22"/>
      <c r="Z201" s="27" t="s">
        <v>873</v>
      </c>
      <c r="AA201" s="22" t="s">
        <v>1022</v>
      </c>
      <c r="AB201" s="22" t="s">
        <v>843</v>
      </c>
    </row>
    <row r="202" customFormat="false" ht="15" hidden="false" customHeight="false" outlineLevel="0" collapsed="false">
      <c r="A202" s="22" t="n">
        <v>201</v>
      </c>
      <c r="B202" s="22" t="s">
        <v>1023</v>
      </c>
      <c r="C202" s="22" t="s">
        <v>1024</v>
      </c>
      <c r="D202" s="22" t="s">
        <v>138</v>
      </c>
      <c r="E202" s="22" t="s">
        <v>139</v>
      </c>
      <c r="F202" s="22" t="s">
        <v>101</v>
      </c>
      <c r="G202" s="23" t="n">
        <v>44698</v>
      </c>
      <c r="H202" s="24" t="n">
        <f aca="false">IF(G202="","",ROUND((Config!$C$4-G202)/365.25,2))</f>
        <v>4.38</v>
      </c>
      <c r="I202" s="25" t="str">
        <f aca="false">IF(H202="","",IF(H202&lt;=1,"Tramo 1",IF(H202&lt;=3,"Tramo 2",IF(H202&lt;=5,"Tramo 3","Tramo 4"))))</f>
        <v>Tramo 3</v>
      </c>
      <c r="J202" s="22" t="s">
        <v>140</v>
      </c>
      <c r="K202" s="22"/>
      <c r="L202" s="22" t="s">
        <v>1025</v>
      </c>
      <c r="M202" s="26" t="s">
        <v>1026</v>
      </c>
      <c r="N202" s="22"/>
      <c r="O202" s="22" t="s">
        <v>63</v>
      </c>
      <c r="P202" s="25" t="str">
        <f aca="false">IF(OR(O202="",O202="Sin información"),"",IFERROR(INDEX(Listas!$B$2:$B$9,MATCH(O202,Listas!$A$2:$A$9,0)),""))</f>
        <v/>
      </c>
      <c r="Q202" s="25" t="str">
        <f aca="false">IF(OR(O202="",O202="Sin información"),"",IFERROR(INDEX(Listas!$C$2:$C$9,MATCH(O202,Listas!$A$2:$A$9,0)),""))</f>
        <v/>
      </c>
      <c r="R202" s="22"/>
      <c r="S202" s="22"/>
      <c r="T202" s="25" t="str">
        <f aca="false">IF(S202="","",IFERROR(INDEX(Empleadores!$B$2:$B$601,MATCH(S202,Empleadores!$A$2:$A$601,0)),"No encontrado"))</f>
        <v/>
      </c>
      <c r="U202" s="25" t="str">
        <f aca="false">IF(C202="","",IF(V202="","No",IF(Config!$C$4-V202&lt;=Config!$C$15,"Sí","No")))</f>
        <v>No</v>
      </c>
      <c r="V202" s="23"/>
      <c r="W202" s="22"/>
      <c r="X202" s="22"/>
      <c r="Y202" s="22"/>
      <c r="Z202" s="27" t="s">
        <v>1027</v>
      </c>
      <c r="AA202" s="22"/>
      <c r="AB202" s="22"/>
    </row>
    <row r="203" customFormat="false" ht="15" hidden="false" customHeight="false" outlineLevel="0" collapsed="false">
      <c r="A203" s="22" t="n">
        <v>202</v>
      </c>
      <c r="B203" s="22" t="s">
        <v>1028</v>
      </c>
      <c r="C203" s="22" t="s">
        <v>1029</v>
      </c>
      <c r="D203" s="22" t="s">
        <v>149</v>
      </c>
      <c r="E203" s="22" t="s">
        <v>139</v>
      </c>
      <c r="F203" s="22" t="s">
        <v>101</v>
      </c>
      <c r="G203" s="23" t="n">
        <v>44698</v>
      </c>
      <c r="H203" s="24" t="n">
        <f aca="false">IF(G203="","",ROUND((Config!$C$4-G203)/365.25,2))</f>
        <v>4.38</v>
      </c>
      <c r="I203" s="25" t="str">
        <f aca="false">IF(H203="","",IF(H203&lt;=1,"Tramo 1",IF(H203&lt;=3,"Tramo 2",IF(H203&lt;=5,"Tramo 3","Tramo 4"))))</f>
        <v>Tramo 3</v>
      </c>
      <c r="J203" s="22" t="s">
        <v>140</v>
      </c>
      <c r="K203" s="22"/>
      <c r="L203" s="22" t="s">
        <v>1030</v>
      </c>
      <c r="M203" s="26" t="s">
        <v>1031</v>
      </c>
      <c r="N203" s="22"/>
      <c r="O203" s="22" t="s">
        <v>63</v>
      </c>
      <c r="P203" s="25" t="str">
        <f aca="false">IF(OR(O203="",O203="Sin información"),"",IFERROR(INDEX(Listas!$B$2:$B$9,MATCH(O203,Listas!$A$2:$A$9,0)),""))</f>
        <v/>
      </c>
      <c r="Q203" s="25" t="str">
        <f aca="false">IF(OR(O203="",O203="Sin información"),"",IFERROR(INDEX(Listas!$C$2:$C$9,MATCH(O203,Listas!$A$2:$A$9,0)),""))</f>
        <v/>
      </c>
      <c r="R203" s="22"/>
      <c r="S203" s="22"/>
      <c r="T203" s="25" t="str">
        <f aca="false">IF(S203="","",IFERROR(INDEX(Empleadores!$B$2:$B$601,MATCH(S203,Empleadores!$A$2:$A$601,0)),"No encontrado"))</f>
        <v/>
      </c>
      <c r="U203" s="25" t="str">
        <f aca="false">IF(C203="","",IF(V203="","No",IF(Config!$C$4-V203&lt;=Config!$C$15,"Sí","No")))</f>
        <v>No</v>
      </c>
      <c r="V203" s="23"/>
      <c r="W203" s="22"/>
      <c r="X203" s="22"/>
      <c r="Y203" s="22"/>
      <c r="Z203" s="27" t="s">
        <v>1032</v>
      </c>
      <c r="AA203" s="22"/>
      <c r="AB203" s="22"/>
    </row>
    <row r="204" customFormat="false" ht="15" hidden="false" customHeight="false" outlineLevel="0" collapsed="false">
      <c r="A204" s="22" t="n">
        <v>203</v>
      </c>
      <c r="B204" s="22" t="s">
        <v>1033</v>
      </c>
      <c r="C204" s="22" t="s">
        <v>1034</v>
      </c>
      <c r="D204" s="22" t="s">
        <v>138</v>
      </c>
      <c r="E204" s="22" t="s">
        <v>139</v>
      </c>
      <c r="F204" s="22" t="s">
        <v>101</v>
      </c>
      <c r="G204" s="23" t="n">
        <v>44698</v>
      </c>
      <c r="H204" s="24" t="n">
        <f aca="false">IF(G204="","",ROUND((Config!$C$4-G204)/365.25,2))</f>
        <v>4.38</v>
      </c>
      <c r="I204" s="25" t="str">
        <f aca="false">IF(H204="","",IF(H204&lt;=1,"Tramo 1",IF(H204&lt;=3,"Tramo 2",IF(H204&lt;=5,"Tramo 3","Tramo 4"))))</f>
        <v>Tramo 3</v>
      </c>
      <c r="J204" s="22" t="s">
        <v>140</v>
      </c>
      <c r="K204" s="22"/>
      <c r="L204" s="22" t="s">
        <v>1035</v>
      </c>
      <c r="M204" s="26" t="s">
        <v>1036</v>
      </c>
      <c r="N204" s="22"/>
      <c r="O204" s="22" t="s">
        <v>63</v>
      </c>
      <c r="P204" s="25" t="str">
        <f aca="false">IF(OR(O204="",O204="Sin información"),"",IFERROR(INDEX(Listas!$B$2:$B$9,MATCH(O204,Listas!$A$2:$A$9,0)),""))</f>
        <v/>
      </c>
      <c r="Q204" s="25" t="str">
        <f aca="false">IF(OR(O204="",O204="Sin información"),"",IFERROR(INDEX(Listas!$C$2:$C$9,MATCH(O204,Listas!$A$2:$A$9,0)),""))</f>
        <v/>
      </c>
      <c r="R204" s="22"/>
      <c r="S204" s="22"/>
      <c r="T204" s="25" t="str">
        <f aca="false">IF(S204="","",IFERROR(INDEX(Empleadores!$B$2:$B$601,MATCH(S204,Empleadores!$A$2:$A$601,0)),"No encontrado"))</f>
        <v/>
      </c>
      <c r="U204" s="25" t="str">
        <f aca="false">IF(C204="","",IF(V204="","No",IF(Config!$C$4-V204&lt;=Config!$C$15,"Sí","No")))</f>
        <v>No</v>
      </c>
      <c r="V204" s="23"/>
      <c r="W204" s="22"/>
      <c r="X204" s="22"/>
      <c r="Y204" s="22"/>
      <c r="Z204" s="27" t="s">
        <v>1037</v>
      </c>
      <c r="AA204" s="22"/>
      <c r="AB204" s="22"/>
    </row>
    <row r="205" customFormat="false" ht="15" hidden="false" customHeight="false" outlineLevel="0" collapsed="false">
      <c r="A205" s="22" t="n">
        <v>204</v>
      </c>
      <c r="B205" s="22" t="s">
        <v>1038</v>
      </c>
      <c r="C205" s="22" t="s">
        <v>1039</v>
      </c>
      <c r="D205" s="22" t="s">
        <v>138</v>
      </c>
      <c r="E205" s="22" t="s">
        <v>139</v>
      </c>
      <c r="F205" s="22" t="s">
        <v>101</v>
      </c>
      <c r="G205" s="23" t="n">
        <v>44698</v>
      </c>
      <c r="H205" s="24" t="n">
        <f aca="false">IF(G205="","",ROUND((Config!$C$4-G205)/365.25,2))</f>
        <v>4.38</v>
      </c>
      <c r="I205" s="25" t="str">
        <f aca="false">IF(H205="","",IF(H205&lt;=1,"Tramo 1",IF(H205&lt;=3,"Tramo 2",IF(H205&lt;=5,"Tramo 3","Tramo 4"))))</f>
        <v>Tramo 3</v>
      </c>
      <c r="J205" s="22" t="s">
        <v>140</v>
      </c>
      <c r="K205" s="22"/>
      <c r="L205" s="22" t="s">
        <v>1040</v>
      </c>
      <c r="M205" s="26" t="s">
        <v>1041</v>
      </c>
      <c r="N205" s="22"/>
      <c r="O205" s="22" t="s">
        <v>63</v>
      </c>
      <c r="P205" s="25" t="str">
        <f aca="false">IF(OR(O205="",O205="Sin información"),"",IFERROR(INDEX(Listas!$B$2:$B$9,MATCH(O205,Listas!$A$2:$A$9,0)),""))</f>
        <v/>
      </c>
      <c r="Q205" s="25" t="str">
        <f aca="false">IF(OR(O205="",O205="Sin información"),"",IFERROR(INDEX(Listas!$C$2:$C$9,MATCH(O205,Listas!$A$2:$A$9,0)),""))</f>
        <v/>
      </c>
      <c r="R205" s="22"/>
      <c r="S205" s="22"/>
      <c r="T205" s="25" t="str">
        <f aca="false">IF(S205="","",IFERROR(INDEX(Empleadores!$B$2:$B$601,MATCH(S205,Empleadores!$A$2:$A$601,0)),"No encontrado"))</f>
        <v/>
      </c>
      <c r="U205" s="25" t="str">
        <f aca="false">IF(C205="","",IF(V205="","No",IF(Config!$C$4-V205&lt;=Config!$C$15,"Sí","No")))</f>
        <v>No</v>
      </c>
      <c r="V205" s="23"/>
      <c r="W205" s="22"/>
      <c r="X205" s="22"/>
      <c r="Y205" s="22"/>
      <c r="Z205" s="27" t="s">
        <v>1042</v>
      </c>
      <c r="AA205" s="22"/>
      <c r="AB205" s="22"/>
    </row>
    <row r="206" customFormat="false" ht="15" hidden="false" customHeight="false" outlineLevel="0" collapsed="false">
      <c r="A206" s="22" t="n">
        <v>205</v>
      </c>
      <c r="B206" s="22" t="s">
        <v>1043</v>
      </c>
      <c r="C206" s="22" t="s">
        <v>1044</v>
      </c>
      <c r="D206" s="22" t="s">
        <v>149</v>
      </c>
      <c r="E206" s="22" t="s">
        <v>139</v>
      </c>
      <c r="F206" s="22" t="s">
        <v>101</v>
      </c>
      <c r="G206" s="23" t="n">
        <v>44698</v>
      </c>
      <c r="H206" s="24" t="n">
        <f aca="false">IF(G206="","",ROUND((Config!$C$4-G206)/365.25,2))</f>
        <v>4.38</v>
      </c>
      <c r="I206" s="25" t="str">
        <f aca="false">IF(H206="","",IF(H206&lt;=1,"Tramo 1",IF(H206&lt;=3,"Tramo 2",IF(H206&lt;=5,"Tramo 3","Tramo 4"))))</f>
        <v>Tramo 3</v>
      </c>
      <c r="J206" s="22" t="s">
        <v>140</v>
      </c>
      <c r="K206" s="22"/>
      <c r="L206" s="22" t="s">
        <v>1045</v>
      </c>
      <c r="M206" s="26" t="s">
        <v>1046</v>
      </c>
      <c r="N206" s="22"/>
      <c r="O206" s="22" t="s">
        <v>63</v>
      </c>
      <c r="P206" s="25" t="str">
        <f aca="false">IF(OR(O206="",O206="Sin información"),"",IFERROR(INDEX(Listas!$B$2:$B$9,MATCH(O206,Listas!$A$2:$A$9,0)),""))</f>
        <v/>
      </c>
      <c r="Q206" s="25" t="str">
        <f aca="false">IF(OR(O206="",O206="Sin información"),"",IFERROR(INDEX(Listas!$C$2:$C$9,MATCH(O206,Listas!$A$2:$A$9,0)),""))</f>
        <v/>
      </c>
      <c r="R206" s="22"/>
      <c r="S206" s="22"/>
      <c r="T206" s="25" t="str">
        <f aca="false">IF(S206="","",IFERROR(INDEX(Empleadores!$B$2:$B$601,MATCH(S206,Empleadores!$A$2:$A$601,0)),"No encontrado"))</f>
        <v/>
      </c>
      <c r="U206" s="25" t="str">
        <f aca="false">IF(C206="","",IF(V206="","No",IF(Config!$C$4-V206&lt;=Config!$C$15,"Sí","No")))</f>
        <v>No</v>
      </c>
      <c r="V206" s="23"/>
      <c r="W206" s="22"/>
      <c r="X206" s="22"/>
      <c r="Y206" s="22"/>
      <c r="Z206" s="27" t="s">
        <v>1042</v>
      </c>
      <c r="AA206" s="22"/>
      <c r="AB206" s="22"/>
    </row>
    <row r="207" customFormat="false" ht="15" hidden="false" customHeight="false" outlineLevel="0" collapsed="false">
      <c r="A207" s="22" t="n">
        <v>206</v>
      </c>
      <c r="B207" s="22" t="s">
        <v>1047</v>
      </c>
      <c r="C207" s="22" t="s">
        <v>1048</v>
      </c>
      <c r="D207" s="22" t="s">
        <v>138</v>
      </c>
      <c r="E207" s="22" t="s">
        <v>139</v>
      </c>
      <c r="F207" s="22" t="s">
        <v>101</v>
      </c>
      <c r="G207" s="23" t="n">
        <v>44698</v>
      </c>
      <c r="H207" s="24" t="n">
        <f aca="false">IF(G207="","",ROUND((Config!$C$4-G207)/365.25,2))</f>
        <v>4.38</v>
      </c>
      <c r="I207" s="25" t="str">
        <f aca="false">IF(H207="","",IF(H207&lt;=1,"Tramo 1",IF(H207&lt;=3,"Tramo 2",IF(H207&lt;=5,"Tramo 3","Tramo 4"))))</f>
        <v>Tramo 3</v>
      </c>
      <c r="J207" s="22" t="s">
        <v>140</v>
      </c>
      <c r="K207" s="22"/>
      <c r="L207" s="22" t="s">
        <v>1049</v>
      </c>
      <c r="M207" s="26" t="s">
        <v>1050</v>
      </c>
      <c r="N207" s="22"/>
      <c r="O207" s="22" t="s">
        <v>63</v>
      </c>
      <c r="P207" s="25" t="str">
        <f aca="false">IF(OR(O207="",O207="Sin información"),"",IFERROR(INDEX(Listas!$B$2:$B$9,MATCH(O207,Listas!$A$2:$A$9,0)),""))</f>
        <v/>
      </c>
      <c r="Q207" s="25" t="str">
        <f aca="false">IF(OR(O207="",O207="Sin información"),"",IFERROR(INDEX(Listas!$C$2:$C$9,MATCH(O207,Listas!$A$2:$A$9,0)),""))</f>
        <v/>
      </c>
      <c r="R207" s="22"/>
      <c r="S207" s="22"/>
      <c r="T207" s="25" t="str">
        <f aca="false">IF(S207="","",IFERROR(INDEX(Empleadores!$B$2:$B$601,MATCH(S207,Empleadores!$A$2:$A$601,0)),"No encontrado"))</f>
        <v/>
      </c>
      <c r="U207" s="25" t="str">
        <f aca="false">IF(C207="","",IF(V207="","No",IF(Config!$C$4-V207&lt;=Config!$C$15,"Sí","No")))</f>
        <v>No</v>
      </c>
      <c r="V207" s="23"/>
      <c r="W207" s="22"/>
      <c r="X207" s="22"/>
      <c r="Y207" s="22"/>
      <c r="Z207" s="27" t="s">
        <v>1042</v>
      </c>
      <c r="AA207" s="22"/>
      <c r="AB207" s="22"/>
    </row>
    <row r="208" customFormat="false" ht="15" hidden="false" customHeight="false" outlineLevel="0" collapsed="false">
      <c r="A208" s="22" t="n">
        <v>207</v>
      </c>
      <c r="B208" s="22" t="s">
        <v>1051</v>
      </c>
      <c r="C208" s="22" t="s">
        <v>1052</v>
      </c>
      <c r="D208" s="22" t="s">
        <v>149</v>
      </c>
      <c r="E208" s="22" t="s">
        <v>139</v>
      </c>
      <c r="F208" s="22" t="s">
        <v>101</v>
      </c>
      <c r="G208" s="23" t="n">
        <v>44698</v>
      </c>
      <c r="H208" s="24" t="n">
        <f aca="false">IF(G208="","",ROUND((Config!$C$4-G208)/365.25,2))</f>
        <v>4.38</v>
      </c>
      <c r="I208" s="25" t="str">
        <f aca="false">IF(H208="","",IF(H208&lt;=1,"Tramo 1",IF(H208&lt;=3,"Tramo 2",IF(H208&lt;=5,"Tramo 3","Tramo 4"))))</f>
        <v>Tramo 3</v>
      </c>
      <c r="J208" s="22" t="s">
        <v>140</v>
      </c>
      <c r="K208" s="22"/>
      <c r="L208" s="22" t="s">
        <v>1053</v>
      </c>
      <c r="M208" s="26" t="s">
        <v>1054</v>
      </c>
      <c r="N208" s="22"/>
      <c r="O208" s="22" t="s">
        <v>85</v>
      </c>
      <c r="P208" s="25" t="str">
        <f aca="false">IF(OR(O208="",O208="Sin información"),"",IFERROR(INDEX(Listas!$B$2:$B$9,MATCH(O208,Listas!$A$2:$A$9,0)),""))</f>
        <v>Sí</v>
      </c>
      <c r="Q208" s="25" t="str">
        <f aca="false">IF(OR(O208="",O208="Sin información"),"",IFERROR(INDEX(Listas!$C$2:$C$9,MATCH(O208,Listas!$A$2:$A$9,0)),""))</f>
        <v>Sí</v>
      </c>
      <c r="R208" s="22" t="s">
        <v>839</v>
      </c>
      <c r="S208" s="22" t="s">
        <v>1055</v>
      </c>
      <c r="T208" s="25" t="str">
        <f aca="false">IF(S208="","",IFERROR(INDEX(Empleadores!$B$2:$B$601,MATCH(S208,Empleadores!$A$2:$A$601,0)),"No encontrado"))</f>
        <v>C.S. Techo Obrero – Sicuani</v>
      </c>
      <c r="U208" s="25" t="str">
        <f aca="false">IF(C208="","",IF(V208="","No",IF(Config!$C$4-V208&lt;=Config!$C$15,"Sí","No")))</f>
        <v>No</v>
      </c>
      <c r="V208" s="23" t="n">
        <v>45824</v>
      </c>
      <c r="W208" s="22"/>
      <c r="X208" s="22"/>
      <c r="Y208" s="22"/>
      <c r="Z208" s="27"/>
      <c r="AA208" s="22" t="s">
        <v>1056</v>
      </c>
      <c r="AB208" s="22" t="s">
        <v>843</v>
      </c>
    </row>
    <row r="209" customFormat="false" ht="15" hidden="false" customHeight="false" outlineLevel="0" collapsed="false">
      <c r="A209" s="22" t="n">
        <v>208</v>
      </c>
      <c r="B209" s="22" t="s">
        <v>1057</v>
      </c>
      <c r="C209" s="22" t="s">
        <v>1058</v>
      </c>
      <c r="D209" s="22" t="s">
        <v>138</v>
      </c>
      <c r="E209" s="22" t="s">
        <v>139</v>
      </c>
      <c r="F209" s="22" t="s">
        <v>101</v>
      </c>
      <c r="G209" s="23" t="n">
        <v>44698</v>
      </c>
      <c r="H209" s="24" t="n">
        <f aca="false">IF(G209="","",ROUND((Config!$C$4-G209)/365.25,2))</f>
        <v>4.38</v>
      </c>
      <c r="I209" s="25" t="str">
        <f aca="false">IF(H209="","",IF(H209&lt;=1,"Tramo 1",IF(H209&lt;=3,"Tramo 2",IF(H209&lt;=5,"Tramo 3","Tramo 4"))))</f>
        <v>Tramo 3</v>
      </c>
      <c r="J209" s="22" t="s">
        <v>140</v>
      </c>
      <c r="K209" s="22"/>
      <c r="L209" s="22" t="s">
        <v>1059</v>
      </c>
      <c r="M209" s="26" t="s">
        <v>1060</v>
      </c>
      <c r="N209" s="22"/>
      <c r="O209" s="22" t="s">
        <v>63</v>
      </c>
      <c r="P209" s="25" t="str">
        <f aca="false">IF(OR(O209="",O209="Sin información"),"",IFERROR(INDEX(Listas!$B$2:$B$9,MATCH(O209,Listas!$A$2:$A$9,0)),""))</f>
        <v/>
      </c>
      <c r="Q209" s="25" t="str">
        <f aca="false">IF(OR(O209="",O209="Sin información"),"",IFERROR(INDEX(Listas!$C$2:$C$9,MATCH(O209,Listas!$A$2:$A$9,0)),""))</f>
        <v/>
      </c>
      <c r="R209" s="22"/>
      <c r="S209" s="22"/>
      <c r="T209" s="25" t="str">
        <f aca="false">IF(S209="","",IFERROR(INDEX(Empleadores!$B$2:$B$601,MATCH(S209,Empleadores!$A$2:$A$601,0)),"No encontrado"))</f>
        <v/>
      </c>
      <c r="U209" s="25" t="str">
        <f aca="false">IF(C209="","",IF(V209="","No",IF(Config!$C$4-V209&lt;=Config!$C$15,"Sí","No")))</f>
        <v>No</v>
      </c>
      <c r="V209" s="23"/>
      <c r="W209" s="22"/>
      <c r="X209" s="22"/>
      <c r="Y209" s="22"/>
      <c r="Z209" s="27" t="s">
        <v>1061</v>
      </c>
      <c r="AA209" s="22"/>
      <c r="AB209" s="22"/>
    </row>
    <row r="210" customFormat="false" ht="15" hidden="false" customHeight="false" outlineLevel="0" collapsed="false">
      <c r="A210" s="22" t="n">
        <v>209</v>
      </c>
      <c r="B210" s="22" t="s">
        <v>1062</v>
      </c>
      <c r="C210" s="22" t="s">
        <v>1063</v>
      </c>
      <c r="D210" s="22" t="s">
        <v>138</v>
      </c>
      <c r="E210" s="22" t="s">
        <v>139</v>
      </c>
      <c r="F210" s="22" t="s">
        <v>101</v>
      </c>
      <c r="G210" s="23" t="n">
        <v>44698</v>
      </c>
      <c r="H210" s="24" t="n">
        <f aca="false">IF(G210="","",ROUND((Config!$C$4-G210)/365.25,2))</f>
        <v>4.38</v>
      </c>
      <c r="I210" s="25" t="str">
        <f aca="false">IF(H210="","",IF(H210&lt;=1,"Tramo 1",IF(H210&lt;=3,"Tramo 2",IF(H210&lt;=5,"Tramo 3","Tramo 4"))))</f>
        <v>Tramo 3</v>
      </c>
      <c r="J210" s="22" t="s">
        <v>140</v>
      </c>
      <c r="K210" s="22"/>
      <c r="L210" s="22" t="s">
        <v>1064</v>
      </c>
      <c r="M210" s="26" t="s">
        <v>1065</v>
      </c>
      <c r="N210" s="22"/>
      <c r="O210" s="22" t="s">
        <v>63</v>
      </c>
      <c r="P210" s="25" t="str">
        <f aca="false">IF(OR(O210="",O210="Sin información"),"",IFERROR(INDEX(Listas!$B$2:$B$9,MATCH(O210,Listas!$A$2:$A$9,0)),""))</f>
        <v/>
      </c>
      <c r="Q210" s="25" t="str">
        <f aca="false">IF(OR(O210="",O210="Sin información"),"",IFERROR(INDEX(Listas!$C$2:$C$9,MATCH(O210,Listas!$A$2:$A$9,0)),""))</f>
        <v/>
      </c>
      <c r="R210" s="22"/>
      <c r="S210" s="22"/>
      <c r="T210" s="25" t="str">
        <f aca="false">IF(S210="","",IFERROR(INDEX(Empleadores!$B$2:$B$601,MATCH(S210,Empleadores!$A$2:$A$601,0)),"No encontrado"))</f>
        <v/>
      </c>
      <c r="U210" s="25" t="str">
        <f aca="false">IF(C210="","",IF(V210="","No",IF(Config!$C$4-V210&lt;=Config!$C$15,"Sí","No")))</f>
        <v>No</v>
      </c>
      <c r="V210" s="23"/>
      <c r="W210" s="22"/>
      <c r="X210" s="22"/>
      <c r="Y210" s="22"/>
      <c r="Z210" s="27" t="s">
        <v>1066</v>
      </c>
      <c r="AA210" s="22"/>
      <c r="AB210" s="22"/>
    </row>
    <row r="211" customFormat="false" ht="15" hidden="false" customHeight="false" outlineLevel="0" collapsed="false">
      <c r="A211" s="22" t="n">
        <v>210</v>
      </c>
      <c r="B211" s="22" t="s">
        <v>1067</v>
      </c>
      <c r="C211" s="22" t="s">
        <v>1068</v>
      </c>
      <c r="D211" s="22" t="s">
        <v>138</v>
      </c>
      <c r="E211" s="22" t="s">
        <v>139</v>
      </c>
      <c r="F211" s="22" t="s">
        <v>101</v>
      </c>
      <c r="G211" s="23" t="n">
        <v>44698</v>
      </c>
      <c r="H211" s="24" t="n">
        <f aca="false">IF(G211="","",ROUND((Config!$C$4-G211)/365.25,2))</f>
        <v>4.38</v>
      </c>
      <c r="I211" s="25" t="str">
        <f aca="false">IF(H211="","",IF(H211&lt;=1,"Tramo 1",IF(H211&lt;=3,"Tramo 2",IF(H211&lt;=5,"Tramo 3","Tramo 4"))))</f>
        <v>Tramo 3</v>
      </c>
      <c r="J211" s="22" t="s">
        <v>140</v>
      </c>
      <c r="K211" s="22"/>
      <c r="L211" s="22" t="s">
        <v>1069</v>
      </c>
      <c r="M211" s="26" t="s">
        <v>1070</v>
      </c>
      <c r="N211" s="22"/>
      <c r="O211" s="22" t="s">
        <v>85</v>
      </c>
      <c r="P211" s="25" t="str">
        <f aca="false">IF(OR(O211="",O211="Sin información"),"",IFERROR(INDEX(Listas!$B$2:$B$9,MATCH(O211,Listas!$A$2:$A$9,0)),""))</f>
        <v>Sí</v>
      </c>
      <c r="Q211" s="25" t="str">
        <f aca="false">IF(OR(O211="",O211="Sin información"),"",IFERROR(INDEX(Listas!$C$2:$C$9,MATCH(O211,Listas!$A$2:$A$9,0)),""))</f>
        <v>Sí</v>
      </c>
      <c r="R211" s="22" t="s">
        <v>1071</v>
      </c>
      <c r="S211" s="22" t="s">
        <v>1072</v>
      </c>
      <c r="T211" s="25" t="str">
        <f aca="false">IF(S211="","",IFERROR(INDEX(Empleadores!$B$2:$B$601,MATCH(S211,Empleadores!$A$2:$A$601,0)),"No encontrado"))</f>
        <v>Clínica Gold Medical</v>
      </c>
      <c r="U211" s="25" t="str">
        <f aca="false">IF(C211="","",IF(V211="","No",IF(Config!$C$4-V211&lt;=Config!$C$15,"Sí","No")))</f>
        <v>No</v>
      </c>
      <c r="V211" s="23" t="n">
        <v>45824</v>
      </c>
      <c r="W211" s="22"/>
      <c r="X211" s="22"/>
      <c r="Y211" s="22"/>
      <c r="Z211" s="27"/>
      <c r="AA211" s="22" t="s">
        <v>1073</v>
      </c>
      <c r="AB211" s="22" t="s">
        <v>843</v>
      </c>
    </row>
    <row r="212" customFormat="false" ht="15" hidden="false" customHeight="false" outlineLevel="0" collapsed="false">
      <c r="A212" s="22" t="n">
        <v>211</v>
      </c>
      <c r="B212" s="22" t="s">
        <v>1074</v>
      </c>
      <c r="C212" s="22" t="s">
        <v>1075</v>
      </c>
      <c r="D212" s="22" t="s">
        <v>149</v>
      </c>
      <c r="E212" s="22" t="s">
        <v>139</v>
      </c>
      <c r="F212" s="22" t="s">
        <v>101</v>
      </c>
      <c r="G212" s="23" t="n">
        <v>44698</v>
      </c>
      <c r="H212" s="24" t="n">
        <f aca="false">IF(G212="","",ROUND((Config!$C$4-G212)/365.25,2))</f>
        <v>4.38</v>
      </c>
      <c r="I212" s="25" t="str">
        <f aca="false">IF(H212="","",IF(H212&lt;=1,"Tramo 1",IF(H212&lt;=3,"Tramo 2",IF(H212&lt;=5,"Tramo 3","Tramo 4"))))</f>
        <v>Tramo 3</v>
      </c>
      <c r="J212" s="22" t="s">
        <v>140</v>
      </c>
      <c r="K212" s="22"/>
      <c r="L212" s="22" t="s">
        <v>1076</v>
      </c>
      <c r="M212" s="26" t="s">
        <v>1077</v>
      </c>
      <c r="N212" s="22"/>
      <c r="O212" s="22" t="s">
        <v>90</v>
      </c>
      <c r="P212" s="25" t="str">
        <f aca="false">IF(OR(O212="",O212="Sin información"),"",IFERROR(INDEX(Listas!$B$2:$B$9,MATCH(O212,Listas!$A$2:$A$9,0)),""))</f>
        <v>No</v>
      </c>
      <c r="Q212" s="25" t="str">
        <f aca="false">IF(OR(O212="",O212="Sin información"),"",IFERROR(INDEX(Listas!$C$2:$C$9,MATCH(O212,Listas!$A$2:$A$9,0)),""))</f>
        <v>No</v>
      </c>
      <c r="R212" s="22"/>
      <c r="S212" s="22"/>
      <c r="T212" s="25" t="str">
        <f aca="false">IF(S212="","",IFERROR(INDEX(Empleadores!$B$2:$B$601,MATCH(S212,Empleadores!$A$2:$A$601,0)),"No encontrado"))</f>
        <v/>
      </c>
      <c r="U212" s="25" t="str">
        <f aca="false">IF(C212="","",IF(V212="","No",IF(Config!$C$4-V212&lt;=Config!$C$15,"Sí","No")))</f>
        <v>No</v>
      </c>
      <c r="V212" s="23" t="n">
        <v>45824</v>
      </c>
      <c r="W212" s="22"/>
      <c r="X212" s="22"/>
      <c r="Y212" s="22"/>
      <c r="Z212" s="27" t="s">
        <v>873</v>
      </c>
      <c r="AA212" s="22" t="s">
        <v>1078</v>
      </c>
      <c r="AB212" s="22" t="s">
        <v>843</v>
      </c>
    </row>
    <row r="213" customFormat="false" ht="15" hidden="false" customHeight="false" outlineLevel="0" collapsed="false">
      <c r="A213" s="22" t="n">
        <v>212</v>
      </c>
      <c r="B213" s="22" t="s">
        <v>1079</v>
      </c>
      <c r="C213" s="22" t="s">
        <v>1080</v>
      </c>
      <c r="D213" s="22" t="s">
        <v>149</v>
      </c>
      <c r="E213" s="22" t="s">
        <v>139</v>
      </c>
      <c r="F213" s="22" t="s">
        <v>101</v>
      </c>
      <c r="G213" s="23" t="n">
        <v>44698</v>
      </c>
      <c r="H213" s="24" t="n">
        <f aca="false">IF(G213="","",ROUND((Config!$C$4-G213)/365.25,2))</f>
        <v>4.38</v>
      </c>
      <c r="I213" s="25" t="str">
        <f aca="false">IF(H213="","",IF(H213&lt;=1,"Tramo 1",IF(H213&lt;=3,"Tramo 2",IF(H213&lt;=5,"Tramo 3","Tramo 4"))))</f>
        <v>Tramo 3</v>
      </c>
      <c r="J213" s="22" t="s">
        <v>140</v>
      </c>
      <c r="K213" s="22"/>
      <c r="L213" s="22" t="s">
        <v>1081</v>
      </c>
      <c r="M213" s="26" t="s">
        <v>1082</v>
      </c>
      <c r="N213" s="22"/>
      <c r="O213" s="22" t="s">
        <v>85</v>
      </c>
      <c r="P213" s="25" t="str">
        <f aca="false">IF(OR(O213="",O213="Sin información"),"",IFERROR(INDEX(Listas!$B$2:$B$9,MATCH(O213,Listas!$A$2:$A$9,0)),""))</f>
        <v>Sí</v>
      </c>
      <c r="Q213" s="25" t="str">
        <f aca="false">IF(OR(O213="",O213="Sin información"),"",IFERROR(INDEX(Listas!$C$2:$C$9,MATCH(O213,Listas!$A$2:$A$9,0)),""))</f>
        <v>Sí</v>
      </c>
      <c r="R213" s="22" t="s">
        <v>1083</v>
      </c>
      <c r="S213" s="22" t="s">
        <v>1072</v>
      </c>
      <c r="T213" s="25" t="str">
        <f aca="false">IF(S213="","",IFERROR(INDEX(Empleadores!$B$2:$B$601,MATCH(S213,Empleadores!$A$2:$A$601,0)),"No encontrado"))</f>
        <v>Clínica Gold Medical</v>
      </c>
      <c r="U213" s="25" t="str">
        <f aca="false">IF(C213="","",IF(V213="","No",IF(Config!$C$4-V213&lt;=Config!$C$15,"Sí","No")))</f>
        <v>Sí</v>
      </c>
      <c r="V213" s="23" t="n">
        <v>45967</v>
      </c>
      <c r="W213" s="22"/>
      <c r="X213" s="22"/>
      <c r="Y213" s="22" t="s">
        <v>181</v>
      </c>
      <c r="Z213" s="27"/>
      <c r="AA213" s="22" t="s">
        <v>1084</v>
      </c>
      <c r="AB213" s="22" t="s">
        <v>816</v>
      </c>
    </row>
    <row r="214" customFormat="false" ht="15" hidden="false" customHeight="false" outlineLevel="0" collapsed="false">
      <c r="A214" s="22" t="n">
        <v>213</v>
      </c>
      <c r="B214" s="22" t="s">
        <v>1085</v>
      </c>
      <c r="C214" s="22" t="s">
        <v>1086</v>
      </c>
      <c r="D214" s="22" t="s">
        <v>149</v>
      </c>
      <c r="E214" s="22" t="s">
        <v>139</v>
      </c>
      <c r="F214" s="22" t="s">
        <v>101</v>
      </c>
      <c r="G214" s="23" t="n">
        <v>44698</v>
      </c>
      <c r="H214" s="24" t="n">
        <f aca="false">IF(G214="","",ROUND((Config!$C$4-G214)/365.25,2))</f>
        <v>4.38</v>
      </c>
      <c r="I214" s="25" t="str">
        <f aca="false">IF(H214="","",IF(H214&lt;=1,"Tramo 1",IF(H214&lt;=3,"Tramo 2",IF(H214&lt;=5,"Tramo 3","Tramo 4"))))</f>
        <v>Tramo 3</v>
      </c>
      <c r="J214" s="22" t="s">
        <v>140</v>
      </c>
      <c r="K214" s="22"/>
      <c r="L214" s="22" t="s">
        <v>1087</v>
      </c>
      <c r="M214" s="26" t="s">
        <v>1088</v>
      </c>
      <c r="N214" s="22"/>
      <c r="O214" s="22" t="s">
        <v>85</v>
      </c>
      <c r="P214" s="25" t="str">
        <f aca="false">IF(OR(O214="",O214="Sin información"),"",IFERROR(INDEX(Listas!$B$2:$B$9,MATCH(O214,Listas!$A$2:$A$9,0)),""))</f>
        <v>Sí</v>
      </c>
      <c r="Q214" s="25" t="str">
        <f aca="false">IF(OR(O214="",O214="Sin información"),"",IFERROR(INDEX(Listas!$C$2:$C$9,MATCH(O214,Listas!$A$2:$A$9,0)),""))</f>
        <v>Sí</v>
      </c>
      <c r="R214" s="22" t="s">
        <v>1089</v>
      </c>
      <c r="S214" s="22" t="s">
        <v>301</v>
      </c>
      <c r="T214" s="25" t="str">
        <f aca="false">IF(S214="","",IFERROR(INDEX(Empleadores!$B$2:$B$601,MATCH(S214,Empleadores!$A$2:$A$601,0)),"No encontrado"))</f>
        <v>Hospital Nacional Adolfo Guevara Velasco</v>
      </c>
      <c r="U214" s="25" t="str">
        <f aca="false">IF(C214="","",IF(V214="","No",IF(Config!$C$4-V214&lt;=Config!$C$15,"Sí","No")))</f>
        <v>No</v>
      </c>
      <c r="V214" s="23" t="n">
        <v>45824</v>
      </c>
      <c r="W214" s="22"/>
      <c r="X214" s="22"/>
      <c r="Y214" s="22"/>
      <c r="Z214" s="27"/>
      <c r="AA214" s="22" t="s">
        <v>1090</v>
      </c>
      <c r="AB214" s="22" t="s">
        <v>843</v>
      </c>
    </row>
    <row r="215" customFormat="false" ht="15" hidden="false" customHeight="false" outlineLevel="0" collapsed="false">
      <c r="A215" s="22" t="n">
        <v>214</v>
      </c>
      <c r="B215" s="22" t="s">
        <v>1091</v>
      </c>
      <c r="C215" s="22" t="s">
        <v>1092</v>
      </c>
      <c r="D215" s="22" t="s">
        <v>138</v>
      </c>
      <c r="E215" s="22" t="s">
        <v>139</v>
      </c>
      <c r="F215" s="22" t="s">
        <v>101</v>
      </c>
      <c r="G215" s="23" t="n">
        <v>44698</v>
      </c>
      <c r="H215" s="24" t="n">
        <f aca="false">IF(G215="","",ROUND((Config!$C$4-G215)/365.25,2))</f>
        <v>4.38</v>
      </c>
      <c r="I215" s="25" t="str">
        <f aca="false">IF(H215="","",IF(H215&lt;=1,"Tramo 1",IF(H215&lt;=3,"Tramo 2",IF(H215&lt;=5,"Tramo 3","Tramo 4"))))</f>
        <v>Tramo 3</v>
      </c>
      <c r="J215" s="22" t="s">
        <v>140</v>
      </c>
      <c r="K215" s="22"/>
      <c r="L215" s="22" t="s">
        <v>1093</v>
      </c>
      <c r="M215" s="26" t="s">
        <v>1094</v>
      </c>
      <c r="N215" s="22"/>
      <c r="O215" s="22" t="s">
        <v>63</v>
      </c>
      <c r="P215" s="25" t="str">
        <f aca="false">IF(OR(O215="",O215="Sin información"),"",IFERROR(INDEX(Listas!$B$2:$B$9,MATCH(O215,Listas!$A$2:$A$9,0)),""))</f>
        <v/>
      </c>
      <c r="Q215" s="25" t="str">
        <f aca="false">IF(OR(O215="",O215="Sin información"),"",IFERROR(INDEX(Listas!$C$2:$C$9,MATCH(O215,Listas!$A$2:$A$9,0)),""))</f>
        <v/>
      </c>
      <c r="R215" s="22"/>
      <c r="S215" s="22"/>
      <c r="T215" s="25" t="str">
        <f aca="false">IF(S215="","",IFERROR(INDEX(Empleadores!$B$2:$B$601,MATCH(S215,Empleadores!$A$2:$A$601,0)),"No encontrado"))</f>
        <v/>
      </c>
      <c r="U215" s="25" t="str">
        <f aca="false">IF(C215="","",IF(V215="","No",IF(Config!$C$4-V215&lt;=Config!$C$15,"Sí","No")))</f>
        <v>No</v>
      </c>
      <c r="V215" s="23"/>
      <c r="W215" s="22"/>
      <c r="X215" s="22"/>
      <c r="Y215" s="22"/>
      <c r="Z215" s="27" t="s">
        <v>1095</v>
      </c>
      <c r="AA215" s="22"/>
      <c r="AB215" s="22"/>
    </row>
    <row r="216" customFormat="false" ht="15" hidden="false" customHeight="false" outlineLevel="0" collapsed="false">
      <c r="A216" s="22" t="n">
        <v>215</v>
      </c>
      <c r="B216" s="22" t="s">
        <v>1096</v>
      </c>
      <c r="C216" s="22" t="s">
        <v>1097</v>
      </c>
      <c r="D216" s="22" t="s">
        <v>138</v>
      </c>
      <c r="E216" s="22" t="s">
        <v>139</v>
      </c>
      <c r="F216" s="22" t="s">
        <v>101</v>
      </c>
      <c r="G216" s="23" t="n">
        <v>44698</v>
      </c>
      <c r="H216" s="24" t="n">
        <f aca="false">IF(G216="","",ROUND((Config!$C$4-G216)/365.25,2))</f>
        <v>4.38</v>
      </c>
      <c r="I216" s="25" t="str">
        <f aca="false">IF(H216="","",IF(H216&lt;=1,"Tramo 1",IF(H216&lt;=3,"Tramo 2",IF(H216&lt;=5,"Tramo 3","Tramo 4"))))</f>
        <v>Tramo 3</v>
      </c>
      <c r="J216" s="22" t="s">
        <v>140</v>
      </c>
      <c r="K216" s="22"/>
      <c r="L216" s="22" t="s">
        <v>1098</v>
      </c>
      <c r="M216" s="26" t="s">
        <v>1099</v>
      </c>
      <c r="N216" s="22"/>
      <c r="O216" s="22" t="s">
        <v>90</v>
      </c>
      <c r="P216" s="25" t="str">
        <f aca="false">IF(OR(O216="",O216="Sin información"),"",IFERROR(INDEX(Listas!$B$2:$B$9,MATCH(O216,Listas!$A$2:$A$9,0)),""))</f>
        <v>No</v>
      </c>
      <c r="Q216" s="25" t="str">
        <f aca="false">IF(OR(O216="",O216="Sin información"),"",IFERROR(INDEX(Listas!$C$2:$C$9,MATCH(O216,Listas!$A$2:$A$9,0)),""))</f>
        <v>No</v>
      </c>
      <c r="R216" s="22"/>
      <c r="S216" s="22"/>
      <c r="T216" s="25" t="str">
        <f aca="false">IF(S216="","",IFERROR(INDEX(Empleadores!$B$2:$B$601,MATCH(S216,Empleadores!$A$2:$A$601,0)),"No encontrado"))</f>
        <v/>
      </c>
      <c r="U216" s="25" t="str">
        <f aca="false">IF(C216="","",IF(V216="","No",IF(Config!$C$4-V216&lt;=Config!$C$15,"Sí","No")))</f>
        <v>No</v>
      </c>
      <c r="V216" s="23" t="n">
        <v>45824</v>
      </c>
      <c r="W216" s="22"/>
      <c r="X216" s="22"/>
      <c r="Y216" s="22"/>
      <c r="Z216" s="27" t="s">
        <v>873</v>
      </c>
      <c r="AA216" s="22" t="s">
        <v>1100</v>
      </c>
      <c r="AB216" s="22" t="s">
        <v>843</v>
      </c>
    </row>
    <row r="217" customFormat="false" ht="15" hidden="false" customHeight="false" outlineLevel="0" collapsed="false">
      <c r="A217" s="22" t="n">
        <v>216</v>
      </c>
      <c r="B217" s="22" t="s">
        <v>1101</v>
      </c>
      <c r="C217" s="22" t="s">
        <v>1102</v>
      </c>
      <c r="D217" s="22" t="s">
        <v>149</v>
      </c>
      <c r="E217" s="22" t="s">
        <v>139</v>
      </c>
      <c r="F217" s="22" t="s">
        <v>101</v>
      </c>
      <c r="G217" s="23" t="n">
        <v>44698</v>
      </c>
      <c r="H217" s="24" t="n">
        <f aca="false">IF(G217="","",ROUND((Config!$C$4-G217)/365.25,2))</f>
        <v>4.38</v>
      </c>
      <c r="I217" s="25" t="str">
        <f aca="false">IF(H217="","",IF(H217&lt;=1,"Tramo 1",IF(H217&lt;=3,"Tramo 2",IF(H217&lt;=5,"Tramo 3","Tramo 4"))))</f>
        <v>Tramo 3</v>
      </c>
      <c r="J217" s="22" t="s">
        <v>140</v>
      </c>
      <c r="K217" s="22"/>
      <c r="L217" s="22" t="s">
        <v>1103</v>
      </c>
      <c r="M217" s="26" t="s">
        <v>1104</v>
      </c>
      <c r="N217" s="22"/>
      <c r="O217" s="22" t="s">
        <v>63</v>
      </c>
      <c r="P217" s="25" t="str">
        <f aca="false">IF(OR(O217="",O217="Sin información"),"",IFERROR(INDEX(Listas!$B$2:$B$9,MATCH(O217,Listas!$A$2:$A$9,0)),""))</f>
        <v/>
      </c>
      <c r="Q217" s="25" t="str">
        <f aca="false">IF(OR(O217="",O217="Sin información"),"",IFERROR(INDEX(Listas!$C$2:$C$9,MATCH(O217,Listas!$A$2:$A$9,0)),""))</f>
        <v/>
      </c>
      <c r="R217" s="22"/>
      <c r="S217" s="22"/>
      <c r="T217" s="25" t="str">
        <f aca="false">IF(S217="","",IFERROR(INDEX(Empleadores!$B$2:$B$601,MATCH(S217,Empleadores!$A$2:$A$601,0)),"No encontrado"))</f>
        <v/>
      </c>
      <c r="U217" s="25" t="str">
        <f aca="false">IF(C217="","",IF(V217="","No",IF(Config!$C$4-V217&lt;=Config!$C$15,"Sí","No")))</f>
        <v>No</v>
      </c>
      <c r="V217" s="23"/>
      <c r="W217" s="22"/>
      <c r="X217" s="22"/>
      <c r="Y217" s="22"/>
      <c r="Z217" s="27" t="s">
        <v>1105</v>
      </c>
      <c r="AA217" s="22"/>
      <c r="AB217" s="22"/>
    </row>
    <row r="218" customFormat="false" ht="15" hidden="false" customHeight="false" outlineLevel="0" collapsed="false">
      <c r="A218" s="22" t="n">
        <v>217</v>
      </c>
      <c r="B218" s="22" t="s">
        <v>1106</v>
      </c>
      <c r="C218" s="22" t="s">
        <v>1107</v>
      </c>
      <c r="D218" s="22" t="s">
        <v>138</v>
      </c>
      <c r="E218" s="22" t="s">
        <v>139</v>
      </c>
      <c r="F218" s="22" t="s">
        <v>101</v>
      </c>
      <c r="G218" s="23" t="n">
        <v>44698</v>
      </c>
      <c r="H218" s="24" t="n">
        <f aca="false">IF(G218="","",ROUND((Config!$C$4-G218)/365.25,2))</f>
        <v>4.38</v>
      </c>
      <c r="I218" s="25" t="str">
        <f aca="false">IF(H218="","",IF(H218&lt;=1,"Tramo 1",IF(H218&lt;=3,"Tramo 2",IF(H218&lt;=5,"Tramo 3","Tramo 4"))))</f>
        <v>Tramo 3</v>
      </c>
      <c r="J218" s="22" t="s">
        <v>140</v>
      </c>
      <c r="K218" s="22"/>
      <c r="L218" s="22" t="s">
        <v>1108</v>
      </c>
      <c r="M218" s="26" t="s">
        <v>1109</v>
      </c>
      <c r="N218" s="22"/>
      <c r="O218" s="22" t="s">
        <v>85</v>
      </c>
      <c r="P218" s="25" t="str">
        <f aca="false">IF(OR(O218="",O218="Sin información"),"",IFERROR(INDEX(Listas!$B$2:$B$9,MATCH(O218,Listas!$A$2:$A$9,0)),""))</f>
        <v>Sí</v>
      </c>
      <c r="Q218" s="25" t="str">
        <f aca="false">IF(OR(O218="",O218="Sin información"),"",IFERROR(INDEX(Listas!$C$2:$C$9,MATCH(O218,Listas!$A$2:$A$9,0)),""))</f>
        <v>Sí</v>
      </c>
      <c r="R218" s="22" t="s">
        <v>1083</v>
      </c>
      <c r="S218" s="22" t="s">
        <v>1110</v>
      </c>
      <c r="T218" s="25" t="str">
        <f aca="false">IF(S218="","",IFERROR(INDEX(Empleadores!$B$2:$B$601,MATCH(S218,Empleadores!$A$2:$A$601,0)),"No encontrado"))</f>
        <v>C.S. Santo Tomás – Chumbivilcas</v>
      </c>
      <c r="U218" s="25" t="str">
        <f aca="false">IF(C218="","",IF(V218="","No",IF(Config!$C$4-V218&lt;=Config!$C$15,"Sí","No")))</f>
        <v>No</v>
      </c>
      <c r="V218" s="23" t="n">
        <v>45824</v>
      </c>
      <c r="W218" s="22"/>
      <c r="X218" s="22"/>
      <c r="Y218" s="22"/>
      <c r="Z218" s="27"/>
      <c r="AA218" s="22" t="s">
        <v>1111</v>
      </c>
      <c r="AB218" s="22" t="s">
        <v>843</v>
      </c>
    </row>
    <row r="219" customFormat="false" ht="15" hidden="false" customHeight="false" outlineLevel="0" collapsed="false">
      <c r="A219" s="22" t="n">
        <v>218</v>
      </c>
      <c r="B219" s="22" t="s">
        <v>1112</v>
      </c>
      <c r="C219" s="22" t="s">
        <v>1113</v>
      </c>
      <c r="D219" s="22" t="s">
        <v>138</v>
      </c>
      <c r="E219" s="22" t="s">
        <v>139</v>
      </c>
      <c r="F219" s="22" t="s">
        <v>101</v>
      </c>
      <c r="G219" s="23" t="n">
        <v>44698</v>
      </c>
      <c r="H219" s="24" t="n">
        <f aca="false">IF(G219="","",ROUND((Config!$C$4-G219)/365.25,2))</f>
        <v>4.38</v>
      </c>
      <c r="I219" s="25" t="str">
        <f aca="false">IF(H219="","",IF(H219&lt;=1,"Tramo 1",IF(H219&lt;=3,"Tramo 2",IF(H219&lt;=5,"Tramo 3","Tramo 4"))))</f>
        <v>Tramo 3</v>
      </c>
      <c r="J219" s="22" t="s">
        <v>140</v>
      </c>
      <c r="K219" s="22"/>
      <c r="L219" s="22" t="s">
        <v>1114</v>
      </c>
      <c r="M219" s="26" t="s">
        <v>1115</v>
      </c>
      <c r="N219" s="22"/>
      <c r="O219" s="22" t="s">
        <v>63</v>
      </c>
      <c r="P219" s="25" t="str">
        <f aca="false">IF(OR(O219="",O219="Sin información"),"",IFERROR(INDEX(Listas!$B$2:$B$9,MATCH(O219,Listas!$A$2:$A$9,0)),""))</f>
        <v/>
      </c>
      <c r="Q219" s="25" t="str">
        <f aca="false">IF(OR(O219="",O219="Sin información"),"",IFERROR(INDEX(Listas!$C$2:$C$9,MATCH(O219,Listas!$A$2:$A$9,0)),""))</f>
        <v/>
      </c>
      <c r="R219" s="22"/>
      <c r="S219" s="22"/>
      <c r="T219" s="25" t="str">
        <f aca="false">IF(S219="","",IFERROR(INDEX(Empleadores!$B$2:$B$601,MATCH(S219,Empleadores!$A$2:$A$601,0)),"No encontrado"))</f>
        <v/>
      </c>
      <c r="U219" s="25" t="str">
        <f aca="false">IF(C219="","",IF(V219="","No",IF(Config!$C$4-V219&lt;=Config!$C$15,"Sí","No")))</f>
        <v>No</v>
      </c>
      <c r="V219" s="23"/>
      <c r="W219" s="22"/>
      <c r="X219" s="22"/>
      <c r="Y219" s="22"/>
      <c r="Z219" s="27" t="s">
        <v>1116</v>
      </c>
      <c r="AA219" s="22"/>
      <c r="AB219" s="22"/>
    </row>
    <row r="220" customFormat="false" ht="15" hidden="false" customHeight="false" outlineLevel="0" collapsed="false">
      <c r="A220" s="22" t="n">
        <v>219</v>
      </c>
      <c r="B220" s="22" t="s">
        <v>1117</v>
      </c>
      <c r="C220" s="22" t="s">
        <v>1118</v>
      </c>
      <c r="D220" s="22" t="s">
        <v>138</v>
      </c>
      <c r="E220" s="22" t="s">
        <v>139</v>
      </c>
      <c r="F220" s="22" t="s">
        <v>101</v>
      </c>
      <c r="G220" s="23" t="n">
        <v>44698</v>
      </c>
      <c r="H220" s="24" t="n">
        <f aca="false">IF(G220="","",ROUND((Config!$C$4-G220)/365.25,2))</f>
        <v>4.38</v>
      </c>
      <c r="I220" s="25" t="str">
        <f aca="false">IF(H220="","",IF(H220&lt;=1,"Tramo 1",IF(H220&lt;=3,"Tramo 2",IF(H220&lt;=5,"Tramo 3","Tramo 4"))))</f>
        <v>Tramo 3</v>
      </c>
      <c r="J220" s="22" t="s">
        <v>140</v>
      </c>
      <c r="K220" s="22"/>
      <c r="L220" s="22" t="s">
        <v>1119</v>
      </c>
      <c r="M220" s="26" t="s">
        <v>1120</v>
      </c>
      <c r="N220" s="22"/>
      <c r="O220" s="22" t="s">
        <v>63</v>
      </c>
      <c r="P220" s="25" t="str">
        <f aca="false">IF(OR(O220="",O220="Sin información"),"",IFERROR(INDEX(Listas!$B$2:$B$9,MATCH(O220,Listas!$A$2:$A$9,0)),""))</f>
        <v/>
      </c>
      <c r="Q220" s="25" t="str">
        <f aca="false">IF(OR(O220="",O220="Sin información"),"",IFERROR(INDEX(Listas!$C$2:$C$9,MATCH(O220,Listas!$A$2:$A$9,0)),""))</f>
        <v/>
      </c>
      <c r="R220" s="22"/>
      <c r="S220" s="22"/>
      <c r="T220" s="25" t="str">
        <f aca="false">IF(S220="","",IFERROR(INDEX(Empleadores!$B$2:$B$601,MATCH(S220,Empleadores!$A$2:$A$601,0)),"No encontrado"))</f>
        <v/>
      </c>
      <c r="U220" s="25" t="str">
        <f aca="false">IF(C220="","",IF(V220="","No",IF(Config!$C$4-V220&lt;=Config!$C$15,"Sí","No")))</f>
        <v>No</v>
      </c>
      <c r="V220" s="23"/>
      <c r="W220" s="22"/>
      <c r="X220" s="22"/>
      <c r="Y220" s="22"/>
      <c r="Z220" s="27" t="s">
        <v>1121</v>
      </c>
      <c r="AA220" s="22"/>
      <c r="AB220" s="22"/>
    </row>
    <row r="221" customFormat="false" ht="15" hidden="false" customHeight="false" outlineLevel="0" collapsed="false">
      <c r="A221" s="22" t="n">
        <v>220</v>
      </c>
      <c r="B221" s="22" t="s">
        <v>1122</v>
      </c>
      <c r="C221" s="22" t="s">
        <v>1123</v>
      </c>
      <c r="D221" s="22" t="s">
        <v>138</v>
      </c>
      <c r="E221" s="22" t="s">
        <v>139</v>
      </c>
      <c r="F221" s="22" t="s">
        <v>101</v>
      </c>
      <c r="G221" s="23" t="n">
        <v>44698</v>
      </c>
      <c r="H221" s="24" t="n">
        <f aca="false">IF(G221="","",ROUND((Config!$C$4-G221)/365.25,2))</f>
        <v>4.38</v>
      </c>
      <c r="I221" s="25" t="str">
        <f aca="false">IF(H221="","",IF(H221&lt;=1,"Tramo 1",IF(H221&lt;=3,"Tramo 2",IF(H221&lt;=5,"Tramo 3","Tramo 4"))))</f>
        <v>Tramo 3</v>
      </c>
      <c r="J221" s="22" t="s">
        <v>140</v>
      </c>
      <c r="K221" s="22"/>
      <c r="L221" s="22" t="s">
        <v>1124</v>
      </c>
      <c r="M221" s="26" t="s">
        <v>1125</v>
      </c>
      <c r="N221" s="22"/>
      <c r="O221" s="22" t="s">
        <v>63</v>
      </c>
      <c r="P221" s="25" t="str">
        <f aca="false">IF(OR(O221="",O221="Sin información"),"",IFERROR(INDEX(Listas!$B$2:$B$9,MATCH(O221,Listas!$A$2:$A$9,0)),""))</f>
        <v/>
      </c>
      <c r="Q221" s="25" t="str">
        <f aca="false">IF(OR(O221="",O221="Sin información"),"",IFERROR(INDEX(Listas!$C$2:$C$9,MATCH(O221,Listas!$A$2:$A$9,0)),""))</f>
        <v/>
      </c>
      <c r="R221" s="22"/>
      <c r="S221" s="22"/>
      <c r="T221" s="25" t="str">
        <f aca="false">IF(S221="","",IFERROR(INDEX(Empleadores!$B$2:$B$601,MATCH(S221,Empleadores!$A$2:$A$601,0)),"No encontrado"))</f>
        <v/>
      </c>
      <c r="U221" s="25" t="str">
        <f aca="false">IF(C221="","",IF(V221="","No",IF(Config!$C$4-V221&lt;=Config!$C$15,"Sí","No")))</f>
        <v>No</v>
      </c>
      <c r="V221" s="23"/>
      <c r="W221" s="22"/>
      <c r="X221" s="22"/>
      <c r="Y221" s="22"/>
      <c r="Z221" s="27" t="s">
        <v>1126</v>
      </c>
      <c r="AA221" s="22"/>
      <c r="AB221" s="22"/>
    </row>
    <row r="222" customFormat="false" ht="15" hidden="false" customHeight="false" outlineLevel="0" collapsed="false">
      <c r="A222" s="22" t="n">
        <v>221</v>
      </c>
      <c r="B222" s="22" t="s">
        <v>1127</v>
      </c>
      <c r="C222" s="22" t="s">
        <v>1128</v>
      </c>
      <c r="D222" s="22" t="s">
        <v>138</v>
      </c>
      <c r="E222" s="22" t="s">
        <v>139</v>
      </c>
      <c r="F222" s="22" t="s">
        <v>101</v>
      </c>
      <c r="G222" s="23" t="n">
        <v>44698</v>
      </c>
      <c r="H222" s="24" t="n">
        <f aca="false">IF(G222="","",ROUND((Config!$C$4-G222)/365.25,2))</f>
        <v>4.38</v>
      </c>
      <c r="I222" s="25" t="str">
        <f aca="false">IF(H222="","",IF(H222&lt;=1,"Tramo 1",IF(H222&lt;=3,"Tramo 2",IF(H222&lt;=5,"Tramo 3","Tramo 4"))))</f>
        <v>Tramo 3</v>
      </c>
      <c r="J222" s="22" t="s">
        <v>140</v>
      </c>
      <c r="K222" s="22"/>
      <c r="L222" s="22" t="s">
        <v>1129</v>
      </c>
      <c r="M222" s="26" t="s">
        <v>1130</v>
      </c>
      <c r="N222" s="22"/>
      <c r="O222" s="22" t="s">
        <v>63</v>
      </c>
      <c r="P222" s="25" t="str">
        <f aca="false">IF(OR(O222="",O222="Sin información"),"",IFERROR(INDEX(Listas!$B$2:$B$9,MATCH(O222,Listas!$A$2:$A$9,0)),""))</f>
        <v/>
      </c>
      <c r="Q222" s="25" t="str">
        <f aca="false">IF(OR(O222="",O222="Sin información"),"",IFERROR(INDEX(Listas!$C$2:$C$9,MATCH(O222,Listas!$A$2:$A$9,0)),""))</f>
        <v/>
      </c>
      <c r="R222" s="22"/>
      <c r="S222" s="22"/>
      <c r="T222" s="25" t="str">
        <f aca="false">IF(S222="","",IFERROR(INDEX(Empleadores!$B$2:$B$601,MATCH(S222,Empleadores!$A$2:$A$601,0)),"No encontrado"))</f>
        <v/>
      </c>
      <c r="U222" s="25" t="str">
        <f aca="false">IF(C222="","",IF(V222="","No",IF(Config!$C$4-V222&lt;=Config!$C$15,"Sí","No")))</f>
        <v>No</v>
      </c>
      <c r="V222" s="23"/>
      <c r="W222" s="22"/>
      <c r="X222" s="22"/>
      <c r="Y222" s="22"/>
      <c r="Z222" s="27" t="s">
        <v>1131</v>
      </c>
      <c r="AA222" s="22"/>
      <c r="AB222" s="22"/>
    </row>
    <row r="223" customFormat="false" ht="15" hidden="false" customHeight="false" outlineLevel="0" collapsed="false">
      <c r="A223" s="22" t="n">
        <v>222</v>
      </c>
      <c r="B223" s="22" t="s">
        <v>1132</v>
      </c>
      <c r="C223" s="22" t="s">
        <v>1133</v>
      </c>
      <c r="D223" s="22" t="s">
        <v>138</v>
      </c>
      <c r="E223" s="22" t="s">
        <v>139</v>
      </c>
      <c r="F223" s="22" t="s">
        <v>101</v>
      </c>
      <c r="G223" s="23" t="n">
        <v>44698</v>
      </c>
      <c r="H223" s="24" t="n">
        <f aca="false">IF(G223="","",ROUND((Config!$C$4-G223)/365.25,2))</f>
        <v>4.38</v>
      </c>
      <c r="I223" s="25" t="str">
        <f aca="false">IF(H223="","",IF(H223&lt;=1,"Tramo 1",IF(H223&lt;=3,"Tramo 2",IF(H223&lt;=5,"Tramo 3","Tramo 4"))))</f>
        <v>Tramo 3</v>
      </c>
      <c r="J223" s="22" t="s">
        <v>140</v>
      </c>
      <c r="K223" s="22"/>
      <c r="L223" s="22" t="s">
        <v>1134</v>
      </c>
      <c r="M223" s="26" t="s">
        <v>1135</v>
      </c>
      <c r="N223" s="22"/>
      <c r="O223" s="22" t="s">
        <v>63</v>
      </c>
      <c r="P223" s="25" t="str">
        <f aca="false">IF(OR(O223="",O223="Sin información"),"",IFERROR(INDEX(Listas!$B$2:$B$9,MATCH(O223,Listas!$A$2:$A$9,0)),""))</f>
        <v/>
      </c>
      <c r="Q223" s="25" t="str">
        <f aca="false">IF(OR(O223="",O223="Sin información"),"",IFERROR(INDEX(Listas!$C$2:$C$9,MATCH(O223,Listas!$A$2:$A$9,0)),""))</f>
        <v/>
      </c>
      <c r="R223" s="22"/>
      <c r="S223" s="22"/>
      <c r="T223" s="25" t="str">
        <f aca="false">IF(S223="","",IFERROR(INDEX(Empleadores!$B$2:$B$601,MATCH(S223,Empleadores!$A$2:$A$601,0)),"No encontrado"))</f>
        <v/>
      </c>
      <c r="U223" s="25" t="str">
        <f aca="false">IF(C223="","",IF(V223="","No",IF(Config!$C$4-V223&lt;=Config!$C$15,"Sí","No")))</f>
        <v>No</v>
      </c>
      <c r="V223" s="23"/>
      <c r="W223" s="22"/>
      <c r="X223" s="22"/>
      <c r="Y223" s="22"/>
      <c r="Z223" s="27" t="s">
        <v>1116</v>
      </c>
      <c r="AA223" s="22"/>
      <c r="AB223" s="22"/>
    </row>
    <row r="224" customFormat="false" ht="15" hidden="false" customHeight="false" outlineLevel="0" collapsed="false">
      <c r="A224" s="22" t="n">
        <v>223</v>
      </c>
      <c r="B224" s="22" t="s">
        <v>1136</v>
      </c>
      <c r="C224" s="22" t="s">
        <v>1137</v>
      </c>
      <c r="D224" s="22" t="s">
        <v>149</v>
      </c>
      <c r="E224" s="22" t="s">
        <v>139</v>
      </c>
      <c r="F224" s="22" t="s">
        <v>101</v>
      </c>
      <c r="G224" s="23" t="n">
        <v>44698</v>
      </c>
      <c r="H224" s="24" t="n">
        <f aca="false">IF(G224="","",ROUND((Config!$C$4-G224)/365.25,2))</f>
        <v>4.38</v>
      </c>
      <c r="I224" s="25" t="str">
        <f aca="false">IF(H224="","",IF(H224&lt;=1,"Tramo 1",IF(H224&lt;=3,"Tramo 2",IF(H224&lt;=5,"Tramo 3","Tramo 4"))))</f>
        <v>Tramo 3</v>
      </c>
      <c r="J224" s="22" t="s">
        <v>140</v>
      </c>
      <c r="K224" s="22"/>
      <c r="L224" s="22" t="s">
        <v>1138</v>
      </c>
      <c r="M224" s="26" t="s">
        <v>1139</v>
      </c>
      <c r="N224" s="22"/>
      <c r="O224" s="22" t="s">
        <v>90</v>
      </c>
      <c r="P224" s="25" t="str">
        <f aca="false">IF(OR(O224="",O224="Sin información"),"",IFERROR(INDEX(Listas!$B$2:$B$9,MATCH(O224,Listas!$A$2:$A$9,0)),""))</f>
        <v>No</v>
      </c>
      <c r="Q224" s="25" t="str">
        <f aca="false">IF(OR(O224="",O224="Sin información"),"",IFERROR(INDEX(Listas!$C$2:$C$9,MATCH(O224,Listas!$A$2:$A$9,0)),""))</f>
        <v>No</v>
      </c>
      <c r="R224" s="22"/>
      <c r="S224" s="22"/>
      <c r="T224" s="25" t="str">
        <f aca="false">IF(S224="","",IFERROR(INDEX(Empleadores!$B$2:$B$601,MATCH(S224,Empleadores!$A$2:$A$601,0)),"No encontrado"))</f>
        <v/>
      </c>
      <c r="U224" s="25" t="str">
        <f aca="false">IF(C224="","",IF(V224="","No",IF(Config!$C$4-V224&lt;=Config!$C$15,"Sí","No")))</f>
        <v>No</v>
      </c>
      <c r="V224" s="23" t="n">
        <v>45824</v>
      </c>
      <c r="W224" s="22"/>
      <c r="X224" s="22"/>
      <c r="Y224" s="22"/>
      <c r="Z224" s="27" t="s">
        <v>873</v>
      </c>
      <c r="AA224" s="22" t="s">
        <v>1140</v>
      </c>
      <c r="AB224" s="22" t="s">
        <v>843</v>
      </c>
    </row>
    <row r="225" customFormat="false" ht="15" hidden="false" customHeight="false" outlineLevel="0" collapsed="false">
      <c r="A225" s="22" t="n">
        <v>224</v>
      </c>
      <c r="B225" s="22" t="s">
        <v>1141</v>
      </c>
      <c r="C225" s="22" t="s">
        <v>1142</v>
      </c>
      <c r="D225" s="22" t="s">
        <v>149</v>
      </c>
      <c r="E225" s="22" t="s">
        <v>139</v>
      </c>
      <c r="F225" s="22" t="s">
        <v>102</v>
      </c>
      <c r="G225" s="23" t="n">
        <v>44925</v>
      </c>
      <c r="H225" s="24" t="n">
        <f aca="false">IF(G225="","",ROUND((Config!$C$4-G225)/365.25,2))</f>
        <v>3.75</v>
      </c>
      <c r="I225" s="25" t="str">
        <f aca="false">IF(H225="","",IF(H225&lt;=1,"Tramo 1",IF(H225&lt;=3,"Tramo 2",IF(H225&lt;=5,"Tramo 3","Tramo 4"))))</f>
        <v>Tramo 3</v>
      </c>
      <c r="J225" s="22" t="s">
        <v>140</v>
      </c>
      <c r="K225" s="22"/>
      <c r="L225" s="22" t="s">
        <v>1143</v>
      </c>
      <c r="M225" s="26" t="s">
        <v>1144</v>
      </c>
      <c r="N225" s="22"/>
      <c r="O225" s="22" t="s">
        <v>63</v>
      </c>
      <c r="P225" s="25" t="str">
        <f aca="false">IF(OR(O225="",O225="Sin información"),"",IFERROR(INDEX(Listas!$B$2:$B$9,MATCH(O225,Listas!$A$2:$A$9,0)),""))</f>
        <v/>
      </c>
      <c r="Q225" s="25" t="str">
        <f aca="false">IF(OR(O225="",O225="Sin información"),"",IFERROR(INDEX(Listas!$C$2:$C$9,MATCH(O225,Listas!$A$2:$A$9,0)),""))</f>
        <v/>
      </c>
      <c r="R225" s="22"/>
      <c r="S225" s="22"/>
      <c r="T225" s="25" t="str">
        <f aca="false">IF(S225="","",IFERROR(INDEX(Empleadores!$B$2:$B$601,MATCH(S225,Empleadores!$A$2:$A$601,0)),"No encontrado"))</f>
        <v/>
      </c>
      <c r="U225" s="25" t="str">
        <f aca="false">IF(C225="","",IF(V225="","No",IF(Config!$C$4-V225&lt;=Config!$C$15,"Sí","No")))</f>
        <v>No</v>
      </c>
      <c r="V225" s="23"/>
      <c r="W225" s="22"/>
      <c r="X225" s="22"/>
      <c r="Y225" s="22"/>
      <c r="Z225" s="27"/>
      <c r="AA225" s="22"/>
      <c r="AB225" s="22"/>
    </row>
    <row r="226" customFormat="false" ht="15" hidden="false" customHeight="false" outlineLevel="0" collapsed="false">
      <c r="A226" s="22" t="n">
        <v>225</v>
      </c>
      <c r="B226" s="22" t="s">
        <v>1145</v>
      </c>
      <c r="C226" s="22" t="s">
        <v>1146</v>
      </c>
      <c r="D226" s="22" t="s">
        <v>149</v>
      </c>
      <c r="E226" s="22" t="s">
        <v>139</v>
      </c>
      <c r="F226" s="22" t="s">
        <v>102</v>
      </c>
      <c r="G226" s="23" t="n">
        <v>44925</v>
      </c>
      <c r="H226" s="24" t="n">
        <f aca="false">IF(G226="","",ROUND((Config!$C$4-G226)/365.25,2))</f>
        <v>3.75</v>
      </c>
      <c r="I226" s="25" t="str">
        <f aca="false">IF(H226="","",IF(H226&lt;=1,"Tramo 1",IF(H226&lt;=3,"Tramo 2",IF(H226&lt;=5,"Tramo 3","Tramo 4"))))</f>
        <v>Tramo 3</v>
      </c>
      <c r="J226" s="22" t="s">
        <v>140</v>
      </c>
      <c r="K226" s="22"/>
      <c r="L226" s="22" t="s">
        <v>1147</v>
      </c>
      <c r="M226" s="26" t="s">
        <v>1148</v>
      </c>
      <c r="N226" s="22"/>
      <c r="O226" s="22" t="s">
        <v>63</v>
      </c>
      <c r="P226" s="25" t="str">
        <f aca="false">IF(OR(O226="",O226="Sin información"),"",IFERROR(INDEX(Listas!$B$2:$B$9,MATCH(O226,Listas!$A$2:$A$9,0)),""))</f>
        <v/>
      </c>
      <c r="Q226" s="25" t="str">
        <f aca="false">IF(OR(O226="",O226="Sin información"),"",IFERROR(INDEX(Listas!$C$2:$C$9,MATCH(O226,Listas!$A$2:$A$9,0)),""))</f>
        <v/>
      </c>
      <c r="R226" s="22"/>
      <c r="S226" s="22"/>
      <c r="T226" s="25" t="str">
        <f aca="false">IF(S226="","",IFERROR(INDEX(Empleadores!$B$2:$B$601,MATCH(S226,Empleadores!$A$2:$A$601,0)),"No encontrado"))</f>
        <v/>
      </c>
      <c r="U226" s="25" t="str">
        <f aca="false">IF(C226="","",IF(V226="","No",IF(Config!$C$4-V226&lt;=Config!$C$15,"Sí","No")))</f>
        <v>No</v>
      </c>
      <c r="V226" s="23"/>
      <c r="W226" s="22"/>
      <c r="X226" s="22"/>
      <c r="Y226" s="22"/>
      <c r="Z226" s="27"/>
      <c r="AA226" s="22"/>
      <c r="AB226" s="22"/>
    </row>
    <row r="227" customFormat="false" ht="15" hidden="false" customHeight="false" outlineLevel="0" collapsed="false">
      <c r="A227" s="22" t="n">
        <v>226</v>
      </c>
      <c r="B227" s="22" t="s">
        <v>1149</v>
      </c>
      <c r="C227" s="22" t="s">
        <v>1150</v>
      </c>
      <c r="D227" s="22" t="s">
        <v>138</v>
      </c>
      <c r="E227" s="22" t="s">
        <v>139</v>
      </c>
      <c r="F227" s="22" t="s">
        <v>102</v>
      </c>
      <c r="G227" s="23" t="n">
        <v>44925</v>
      </c>
      <c r="H227" s="24" t="n">
        <f aca="false">IF(G227="","",ROUND((Config!$C$4-G227)/365.25,2))</f>
        <v>3.75</v>
      </c>
      <c r="I227" s="25" t="str">
        <f aca="false">IF(H227="","",IF(H227&lt;=1,"Tramo 1",IF(H227&lt;=3,"Tramo 2",IF(H227&lt;=5,"Tramo 3","Tramo 4"))))</f>
        <v>Tramo 3</v>
      </c>
      <c r="J227" s="22" t="s">
        <v>140</v>
      </c>
      <c r="K227" s="22"/>
      <c r="L227" s="22" t="s">
        <v>1151</v>
      </c>
      <c r="M227" s="26" t="s">
        <v>1152</v>
      </c>
      <c r="N227" s="22"/>
      <c r="O227" s="22" t="s">
        <v>63</v>
      </c>
      <c r="P227" s="25" t="str">
        <f aca="false">IF(OR(O227="",O227="Sin información"),"",IFERROR(INDEX(Listas!$B$2:$B$9,MATCH(O227,Listas!$A$2:$A$9,0)),""))</f>
        <v/>
      </c>
      <c r="Q227" s="25" t="str">
        <f aca="false">IF(OR(O227="",O227="Sin información"),"",IFERROR(INDEX(Listas!$C$2:$C$9,MATCH(O227,Listas!$A$2:$A$9,0)),""))</f>
        <v/>
      </c>
      <c r="R227" s="22"/>
      <c r="S227" s="22"/>
      <c r="T227" s="25" t="str">
        <f aca="false">IF(S227="","",IFERROR(INDEX(Empleadores!$B$2:$B$601,MATCH(S227,Empleadores!$A$2:$A$601,0)),"No encontrado"))</f>
        <v/>
      </c>
      <c r="U227" s="25" t="str">
        <f aca="false">IF(C227="","",IF(V227="","No",IF(Config!$C$4-V227&lt;=Config!$C$15,"Sí","No")))</f>
        <v>No</v>
      </c>
      <c r="V227" s="23"/>
      <c r="W227" s="22"/>
      <c r="X227" s="22"/>
      <c r="Y227" s="22"/>
      <c r="Z227" s="27"/>
      <c r="AA227" s="22"/>
      <c r="AB227" s="22"/>
    </row>
    <row r="228" customFormat="false" ht="15" hidden="false" customHeight="false" outlineLevel="0" collapsed="false">
      <c r="A228" s="22" t="n">
        <v>227</v>
      </c>
      <c r="B228" s="22" t="s">
        <v>1153</v>
      </c>
      <c r="C228" s="22" t="s">
        <v>1154</v>
      </c>
      <c r="D228" s="22" t="s">
        <v>149</v>
      </c>
      <c r="E228" s="22" t="s">
        <v>139</v>
      </c>
      <c r="F228" s="22" t="s">
        <v>102</v>
      </c>
      <c r="G228" s="23" t="n">
        <v>44925</v>
      </c>
      <c r="H228" s="24" t="n">
        <f aca="false">IF(G228="","",ROUND((Config!$C$4-G228)/365.25,2))</f>
        <v>3.75</v>
      </c>
      <c r="I228" s="25" t="str">
        <f aca="false">IF(H228="","",IF(H228&lt;=1,"Tramo 1",IF(H228&lt;=3,"Tramo 2",IF(H228&lt;=5,"Tramo 3","Tramo 4"))))</f>
        <v>Tramo 3</v>
      </c>
      <c r="J228" s="22" t="s">
        <v>140</v>
      </c>
      <c r="K228" s="22"/>
      <c r="L228" s="22" t="s">
        <v>1155</v>
      </c>
      <c r="M228" s="26" t="s">
        <v>1156</v>
      </c>
      <c r="N228" s="22"/>
      <c r="O228" s="22" t="s">
        <v>63</v>
      </c>
      <c r="P228" s="25" t="str">
        <f aca="false">IF(OR(O228="",O228="Sin información"),"",IFERROR(INDEX(Listas!$B$2:$B$9,MATCH(O228,Listas!$A$2:$A$9,0)),""))</f>
        <v/>
      </c>
      <c r="Q228" s="25" t="str">
        <f aca="false">IF(OR(O228="",O228="Sin información"),"",IFERROR(INDEX(Listas!$C$2:$C$9,MATCH(O228,Listas!$A$2:$A$9,0)),""))</f>
        <v/>
      </c>
      <c r="R228" s="22"/>
      <c r="S228" s="22"/>
      <c r="T228" s="25" t="str">
        <f aca="false">IF(S228="","",IFERROR(INDEX(Empleadores!$B$2:$B$601,MATCH(S228,Empleadores!$A$2:$A$601,0)),"No encontrado"))</f>
        <v/>
      </c>
      <c r="U228" s="25" t="str">
        <f aca="false">IF(C228="","",IF(V228="","No",IF(Config!$C$4-V228&lt;=Config!$C$15,"Sí","No")))</f>
        <v>No</v>
      </c>
      <c r="V228" s="23"/>
      <c r="W228" s="22"/>
      <c r="X228" s="22"/>
      <c r="Y228" s="22"/>
      <c r="Z228" s="27"/>
      <c r="AA228" s="22"/>
      <c r="AB228" s="22"/>
    </row>
    <row r="229" customFormat="false" ht="15" hidden="false" customHeight="false" outlineLevel="0" collapsed="false">
      <c r="A229" s="22" t="n">
        <v>228</v>
      </c>
      <c r="B229" s="22" t="s">
        <v>1157</v>
      </c>
      <c r="C229" s="22" t="s">
        <v>1158</v>
      </c>
      <c r="D229" s="22" t="s">
        <v>138</v>
      </c>
      <c r="E229" s="22" t="s">
        <v>139</v>
      </c>
      <c r="F229" s="22" t="s">
        <v>102</v>
      </c>
      <c r="G229" s="23" t="n">
        <v>44925</v>
      </c>
      <c r="H229" s="24" t="n">
        <f aca="false">IF(G229="","",ROUND((Config!$C$4-G229)/365.25,2))</f>
        <v>3.75</v>
      </c>
      <c r="I229" s="25" t="str">
        <f aca="false">IF(H229="","",IF(H229&lt;=1,"Tramo 1",IF(H229&lt;=3,"Tramo 2",IF(H229&lt;=5,"Tramo 3","Tramo 4"))))</f>
        <v>Tramo 3</v>
      </c>
      <c r="J229" s="22" t="s">
        <v>140</v>
      </c>
      <c r="K229" s="22"/>
      <c r="L229" s="22" t="s">
        <v>1159</v>
      </c>
      <c r="M229" s="26" t="s">
        <v>1160</v>
      </c>
      <c r="N229" s="22"/>
      <c r="O229" s="22" t="s">
        <v>63</v>
      </c>
      <c r="P229" s="25" t="str">
        <f aca="false">IF(OR(O229="",O229="Sin información"),"",IFERROR(INDEX(Listas!$B$2:$B$9,MATCH(O229,Listas!$A$2:$A$9,0)),""))</f>
        <v/>
      </c>
      <c r="Q229" s="25" t="str">
        <f aca="false">IF(OR(O229="",O229="Sin información"),"",IFERROR(INDEX(Listas!$C$2:$C$9,MATCH(O229,Listas!$A$2:$A$9,0)),""))</f>
        <v/>
      </c>
      <c r="R229" s="22"/>
      <c r="S229" s="22"/>
      <c r="T229" s="25" t="str">
        <f aca="false">IF(S229="","",IFERROR(INDEX(Empleadores!$B$2:$B$601,MATCH(S229,Empleadores!$A$2:$A$601,0)),"No encontrado"))</f>
        <v/>
      </c>
      <c r="U229" s="25" t="str">
        <f aca="false">IF(C229="","",IF(V229="","No",IF(Config!$C$4-V229&lt;=Config!$C$15,"Sí","No")))</f>
        <v>No</v>
      </c>
      <c r="V229" s="23"/>
      <c r="W229" s="22"/>
      <c r="X229" s="22"/>
      <c r="Y229" s="22"/>
      <c r="Z229" s="27"/>
      <c r="AA229" s="22"/>
      <c r="AB229" s="22"/>
    </row>
    <row r="230" customFormat="false" ht="15" hidden="false" customHeight="false" outlineLevel="0" collapsed="false">
      <c r="A230" s="22" t="n">
        <v>229</v>
      </c>
      <c r="B230" s="22" t="s">
        <v>1161</v>
      </c>
      <c r="C230" s="22" t="s">
        <v>1162</v>
      </c>
      <c r="D230" s="22" t="s">
        <v>138</v>
      </c>
      <c r="E230" s="22" t="s">
        <v>139</v>
      </c>
      <c r="F230" s="22" t="s">
        <v>102</v>
      </c>
      <c r="G230" s="23" t="n">
        <v>44925</v>
      </c>
      <c r="H230" s="24" t="n">
        <f aca="false">IF(G230="","",ROUND((Config!$C$4-G230)/365.25,2))</f>
        <v>3.75</v>
      </c>
      <c r="I230" s="25" t="str">
        <f aca="false">IF(H230="","",IF(H230&lt;=1,"Tramo 1",IF(H230&lt;=3,"Tramo 2",IF(H230&lt;=5,"Tramo 3","Tramo 4"))))</f>
        <v>Tramo 3</v>
      </c>
      <c r="J230" s="22" t="s">
        <v>140</v>
      </c>
      <c r="K230" s="22"/>
      <c r="L230" s="22" t="s">
        <v>1163</v>
      </c>
      <c r="M230" s="26" t="s">
        <v>1164</v>
      </c>
      <c r="N230" s="22"/>
      <c r="O230" s="22" t="s">
        <v>63</v>
      </c>
      <c r="P230" s="25" t="str">
        <f aca="false">IF(OR(O230="",O230="Sin información"),"",IFERROR(INDEX(Listas!$B$2:$B$9,MATCH(O230,Listas!$A$2:$A$9,0)),""))</f>
        <v/>
      </c>
      <c r="Q230" s="25" t="str">
        <f aca="false">IF(OR(O230="",O230="Sin información"),"",IFERROR(INDEX(Listas!$C$2:$C$9,MATCH(O230,Listas!$A$2:$A$9,0)),""))</f>
        <v/>
      </c>
      <c r="R230" s="22"/>
      <c r="S230" s="22"/>
      <c r="T230" s="25" t="str">
        <f aca="false">IF(S230="","",IFERROR(INDEX(Empleadores!$B$2:$B$601,MATCH(S230,Empleadores!$A$2:$A$601,0)),"No encontrado"))</f>
        <v/>
      </c>
      <c r="U230" s="25" t="str">
        <f aca="false">IF(C230="","",IF(V230="","No",IF(Config!$C$4-V230&lt;=Config!$C$15,"Sí","No")))</f>
        <v>No</v>
      </c>
      <c r="V230" s="23"/>
      <c r="W230" s="22"/>
      <c r="X230" s="22"/>
      <c r="Y230" s="22"/>
      <c r="Z230" s="27"/>
      <c r="AA230" s="22"/>
      <c r="AB230" s="22"/>
    </row>
    <row r="231" customFormat="false" ht="15" hidden="false" customHeight="false" outlineLevel="0" collapsed="false">
      <c r="A231" s="22" t="n">
        <v>230</v>
      </c>
      <c r="B231" s="22" t="s">
        <v>1165</v>
      </c>
      <c r="C231" s="22" t="s">
        <v>1166</v>
      </c>
      <c r="D231" s="22" t="s">
        <v>138</v>
      </c>
      <c r="E231" s="22" t="s">
        <v>139</v>
      </c>
      <c r="F231" s="22" t="s">
        <v>102</v>
      </c>
      <c r="G231" s="23" t="n">
        <v>44925</v>
      </c>
      <c r="H231" s="24" t="n">
        <f aca="false">IF(G231="","",ROUND((Config!$C$4-G231)/365.25,2))</f>
        <v>3.75</v>
      </c>
      <c r="I231" s="25" t="str">
        <f aca="false">IF(H231="","",IF(H231&lt;=1,"Tramo 1",IF(H231&lt;=3,"Tramo 2",IF(H231&lt;=5,"Tramo 3","Tramo 4"))))</f>
        <v>Tramo 3</v>
      </c>
      <c r="J231" s="22" t="s">
        <v>140</v>
      </c>
      <c r="K231" s="22"/>
      <c r="L231" s="22" t="s">
        <v>1167</v>
      </c>
      <c r="M231" s="26" t="s">
        <v>1168</v>
      </c>
      <c r="N231" s="22"/>
      <c r="O231" s="22" t="s">
        <v>63</v>
      </c>
      <c r="P231" s="25" t="str">
        <f aca="false">IF(OR(O231="",O231="Sin información"),"",IFERROR(INDEX(Listas!$B$2:$B$9,MATCH(O231,Listas!$A$2:$A$9,0)),""))</f>
        <v/>
      </c>
      <c r="Q231" s="25" t="str">
        <f aca="false">IF(OR(O231="",O231="Sin información"),"",IFERROR(INDEX(Listas!$C$2:$C$9,MATCH(O231,Listas!$A$2:$A$9,0)),""))</f>
        <v/>
      </c>
      <c r="R231" s="22"/>
      <c r="S231" s="22"/>
      <c r="T231" s="25" t="str">
        <f aca="false">IF(S231="","",IFERROR(INDEX(Empleadores!$B$2:$B$601,MATCH(S231,Empleadores!$A$2:$A$601,0)),"No encontrado"))</f>
        <v/>
      </c>
      <c r="U231" s="25" t="str">
        <f aca="false">IF(C231="","",IF(V231="","No",IF(Config!$C$4-V231&lt;=Config!$C$15,"Sí","No")))</f>
        <v>No</v>
      </c>
      <c r="V231" s="23"/>
      <c r="W231" s="22"/>
      <c r="X231" s="22"/>
      <c r="Y231" s="22"/>
      <c r="Z231" s="27"/>
      <c r="AA231" s="22"/>
      <c r="AB231" s="22"/>
    </row>
    <row r="232" customFormat="false" ht="15" hidden="false" customHeight="false" outlineLevel="0" collapsed="false">
      <c r="A232" s="22" t="n">
        <v>231</v>
      </c>
      <c r="B232" s="22" t="s">
        <v>1169</v>
      </c>
      <c r="C232" s="22" t="s">
        <v>1170</v>
      </c>
      <c r="D232" s="22" t="s">
        <v>138</v>
      </c>
      <c r="E232" s="22" t="s">
        <v>139</v>
      </c>
      <c r="F232" s="22" t="s">
        <v>102</v>
      </c>
      <c r="G232" s="23" t="n">
        <v>44925</v>
      </c>
      <c r="H232" s="24" t="n">
        <f aca="false">IF(G232="","",ROUND((Config!$C$4-G232)/365.25,2))</f>
        <v>3.75</v>
      </c>
      <c r="I232" s="25" t="str">
        <f aca="false">IF(H232="","",IF(H232&lt;=1,"Tramo 1",IF(H232&lt;=3,"Tramo 2",IF(H232&lt;=5,"Tramo 3","Tramo 4"))))</f>
        <v>Tramo 3</v>
      </c>
      <c r="J232" s="22" t="s">
        <v>140</v>
      </c>
      <c r="K232" s="22"/>
      <c r="L232" s="22" t="s">
        <v>1171</v>
      </c>
      <c r="M232" s="26" t="s">
        <v>1172</v>
      </c>
      <c r="N232" s="22"/>
      <c r="O232" s="22" t="s">
        <v>63</v>
      </c>
      <c r="P232" s="25" t="str">
        <f aca="false">IF(OR(O232="",O232="Sin información"),"",IFERROR(INDEX(Listas!$B$2:$B$9,MATCH(O232,Listas!$A$2:$A$9,0)),""))</f>
        <v/>
      </c>
      <c r="Q232" s="25" t="str">
        <f aca="false">IF(OR(O232="",O232="Sin información"),"",IFERROR(INDEX(Listas!$C$2:$C$9,MATCH(O232,Listas!$A$2:$A$9,0)),""))</f>
        <v/>
      </c>
      <c r="R232" s="22"/>
      <c r="S232" s="22"/>
      <c r="T232" s="25" t="str">
        <f aca="false">IF(S232="","",IFERROR(INDEX(Empleadores!$B$2:$B$601,MATCH(S232,Empleadores!$A$2:$A$601,0)),"No encontrado"))</f>
        <v/>
      </c>
      <c r="U232" s="25" t="str">
        <f aca="false">IF(C232="","",IF(V232="","No",IF(Config!$C$4-V232&lt;=Config!$C$15,"Sí","No")))</f>
        <v>No</v>
      </c>
      <c r="V232" s="23"/>
      <c r="W232" s="22"/>
      <c r="X232" s="22"/>
      <c r="Y232" s="22"/>
      <c r="Z232" s="27"/>
      <c r="AA232" s="22"/>
      <c r="AB232" s="22"/>
    </row>
    <row r="233" customFormat="false" ht="15" hidden="false" customHeight="false" outlineLevel="0" collapsed="false">
      <c r="A233" s="22" t="n">
        <v>232</v>
      </c>
      <c r="B233" s="22" t="s">
        <v>1173</v>
      </c>
      <c r="C233" s="22" t="s">
        <v>1174</v>
      </c>
      <c r="D233" s="22" t="s">
        <v>149</v>
      </c>
      <c r="E233" s="22" t="s">
        <v>139</v>
      </c>
      <c r="F233" s="22" t="s">
        <v>102</v>
      </c>
      <c r="G233" s="23" t="n">
        <v>44925</v>
      </c>
      <c r="H233" s="24" t="n">
        <f aca="false">IF(G233="","",ROUND((Config!$C$4-G233)/365.25,2))</f>
        <v>3.75</v>
      </c>
      <c r="I233" s="25" t="str">
        <f aca="false">IF(H233="","",IF(H233&lt;=1,"Tramo 1",IF(H233&lt;=3,"Tramo 2",IF(H233&lt;=5,"Tramo 3","Tramo 4"))))</f>
        <v>Tramo 3</v>
      </c>
      <c r="J233" s="22" t="s">
        <v>140</v>
      </c>
      <c r="K233" s="22"/>
      <c r="L233" s="22" t="s">
        <v>1175</v>
      </c>
      <c r="M233" s="26" t="s">
        <v>1176</v>
      </c>
      <c r="N233" s="22"/>
      <c r="O233" s="22" t="s">
        <v>63</v>
      </c>
      <c r="P233" s="25" t="str">
        <f aca="false">IF(OR(O233="",O233="Sin información"),"",IFERROR(INDEX(Listas!$B$2:$B$9,MATCH(O233,Listas!$A$2:$A$9,0)),""))</f>
        <v/>
      </c>
      <c r="Q233" s="25" t="str">
        <f aca="false">IF(OR(O233="",O233="Sin información"),"",IFERROR(INDEX(Listas!$C$2:$C$9,MATCH(O233,Listas!$A$2:$A$9,0)),""))</f>
        <v/>
      </c>
      <c r="R233" s="22"/>
      <c r="S233" s="22"/>
      <c r="T233" s="25" t="str">
        <f aca="false">IF(S233="","",IFERROR(INDEX(Empleadores!$B$2:$B$601,MATCH(S233,Empleadores!$A$2:$A$601,0)),"No encontrado"))</f>
        <v/>
      </c>
      <c r="U233" s="25" t="str">
        <f aca="false">IF(C233="","",IF(V233="","No",IF(Config!$C$4-V233&lt;=Config!$C$15,"Sí","No")))</f>
        <v>No</v>
      </c>
      <c r="V233" s="23"/>
      <c r="W233" s="22"/>
      <c r="X233" s="22"/>
      <c r="Y233" s="22"/>
      <c r="Z233" s="27"/>
      <c r="AA233" s="22"/>
      <c r="AB233" s="22"/>
    </row>
    <row r="234" customFormat="false" ht="15" hidden="false" customHeight="false" outlineLevel="0" collapsed="false">
      <c r="A234" s="22" t="n">
        <v>233</v>
      </c>
      <c r="B234" s="22" t="s">
        <v>1177</v>
      </c>
      <c r="C234" s="22" t="s">
        <v>1178</v>
      </c>
      <c r="D234" s="22" t="s">
        <v>138</v>
      </c>
      <c r="E234" s="22" t="s">
        <v>139</v>
      </c>
      <c r="F234" s="22" t="s">
        <v>102</v>
      </c>
      <c r="G234" s="23" t="n">
        <v>44925</v>
      </c>
      <c r="H234" s="24" t="n">
        <f aca="false">IF(G234="","",ROUND((Config!$C$4-G234)/365.25,2))</f>
        <v>3.75</v>
      </c>
      <c r="I234" s="25" t="str">
        <f aca="false">IF(H234="","",IF(H234&lt;=1,"Tramo 1",IF(H234&lt;=3,"Tramo 2",IF(H234&lt;=5,"Tramo 3","Tramo 4"))))</f>
        <v>Tramo 3</v>
      </c>
      <c r="J234" s="22" t="s">
        <v>140</v>
      </c>
      <c r="K234" s="22"/>
      <c r="L234" s="22" t="s">
        <v>1179</v>
      </c>
      <c r="M234" s="26" t="s">
        <v>1180</v>
      </c>
      <c r="N234" s="22"/>
      <c r="O234" s="22" t="s">
        <v>63</v>
      </c>
      <c r="P234" s="25" t="str">
        <f aca="false">IF(OR(O234="",O234="Sin información"),"",IFERROR(INDEX(Listas!$B$2:$B$9,MATCH(O234,Listas!$A$2:$A$9,0)),""))</f>
        <v/>
      </c>
      <c r="Q234" s="25" t="str">
        <f aca="false">IF(OR(O234="",O234="Sin información"),"",IFERROR(INDEX(Listas!$C$2:$C$9,MATCH(O234,Listas!$A$2:$A$9,0)),""))</f>
        <v/>
      </c>
      <c r="R234" s="22"/>
      <c r="S234" s="22"/>
      <c r="T234" s="25" t="str">
        <f aca="false">IF(S234="","",IFERROR(INDEX(Empleadores!$B$2:$B$601,MATCH(S234,Empleadores!$A$2:$A$601,0)),"No encontrado"))</f>
        <v/>
      </c>
      <c r="U234" s="25" t="str">
        <f aca="false">IF(C234="","",IF(V234="","No",IF(Config!$C$4-V234&lt;=Config!$C$15,"Sí","No")))</f>
        <v>No</v>
      </c>
      <c r="V234" s="23"/>
      <c r="W234" s="22"/>
      <c r="X234" s="22"/>
      <c r="Y234" s="22"/>
      <c r="Z234" s="27"/>
      <c r="AA234" s="22"/>
      <c r="AB234" s="22"/>
    </row>
    <row r="235" customFormat="false" ht="15" hidden="false" customHeight="false" outlineLevel="0" collapsed="false">
      <c r="A235" s="22" t="n">
        <v>234</v>
      </c>
      <c r="B235" s="22" t="s">
        <v>1181</v>
      </c>
      <c r="C235" s="22" t="s">
        <v>1182</v>
      </c>
      <c r="D235" s="22" t="s">
        <v>149</v>
      </c>
      <c r="E235" s="22" t="s">
        <v>139</v>
      </c>
      <c r="F235" s="22" t="s">
        <v>102</v>
      </c>
      <c r="G235" s="23" t="n">
        <v>44925</v>
      </c>
      <c r="H235" s="24" t="n">
        <f aca="false">IF(G235="","",ROUND((Config!$C$4-G235)/365.25,2))</f>
        <v>3.75</v>
      </c>
      <c r="I235" s="25" t="str">
        <f aca="false">IF(H235="","",IF(H235&lt;=1,"Tramo 1",IF(H235&lt;=3,"Tramo 2",IF(H235&lt;=5,"Tramo 3","Tramo 4"))))</f>
        <v>Tramo 3</v>
      </c>
      <c r="J235" s="22" t="s">
        <v>140</v>
      </c>
      <c r="K235" s="22"/>
      <c r="L235" s="22" t="s">
        <v>1183</v>
      </c>
      <c r="M235" s="26" t="s">
        <v>1184</v>
      </c>
      <c r="N235" s="22"/>
      <c r="O235" s="22" t="s">
        <v>63</v>
      </c>
      <c r="P235" s="25" t="str">
        <f aca="false">IF(OR(O235="",O235="Sin información"),"",IFERROR(INDEX(Listas!$B$2:$B$9,MATCH(O235,Listas!$A$2:$A$9,0)),""))</f>
        <v/>
      </c>
      <c r="Q235" s="25" t="str">
        <f aca="false">IF(OR(O235="",O235="Sin información"),"",IFERROR(INDEX(Listas!$C$2:$C$9,MATCH(O235,Listas!$A$2:$A$9,0)),""))</f>
        <v/>
      </c>
      <c r="R235" s="22"/>
      <c r="S235" s="22"/>
      <c r="T235" s="25" t="str">
        <f aca="false">IF(S235="","",IFERROR(INDEX(Empleadores!$B$2:$B$601,MATCH(S235,Empleadores!$A$2:$A$601,0)),"No encontrado"))</f>
        <v/>
      </c>
      <c r="U235" s="25" t="str">
        <f aca="false">IF(C235="","",IF(V235="","No",IF(Config!$C$4-V235&lt;=Config!$C$15,"Sí","No")))</f>
        <v>No</v>
      </c>
      <c r="V235" s="23"/>
      <c r="W235" s="22"/>
      <c r="X235" s="22"/>
      <c r="Y235" s="22"/>
      <c r="Z235" s="27"/>
      <c r="AA235" s="22"/>
      <c r="AB235" s="22"/>
    </row>
    <row r="236" customFormat="false" ht="15" hidden="false" customHeight="false" outlineLevel="0" collapsed="false">
      <c r="A236" s="22" t="n">
        <v>235</v>
      </c>
      <c r="B236" s="22" t="s">
        <v>1185</v>
      </c>
      <c r="C236" s="22" t="s">
        <v>1186</v>
      </c>
      <c r="D236" s="22" t="s">
        <v>149</v>
      </c>
      <c r="E236" s="22" t="s">
        <v>139</v>
      </c>
      <c r="F236" s="22" t="s">
        <v>102</v>
      </c>
      <c r="G236" s="23" t="n">
        <v>44925</v>
      </c>
      <c r="H236" s="24" t="n">
        <f aca="false">IF(G236="","",ROUND((Config!$C$4-G236)/365.25,2))</f>
        <v>3.75</v>
      </c>
      <c r="I236" s="25" t="str">
        <f aca="false">IF(H236="","",IF(H236&lt;=1,"Tramo 1",IF(H236&lt;=3,"Tramo 2",IF(H236&lt;=5,"Tramo 3","Tramo 4"))))</f>
        <v>Tramo 3</v>
      </c>
      <c r="J236" s="22" t="s">
        <v>140</v>
      </c>
      <c r="K236" s="22"/>
      <c r="L236" s="22" t="s">
        <v>1187</v>
      </c>
      <c r="M236" s="26" t="s">
        <v>1188</v>
      </c>
      <c r="N236" s="22"/>
      <c r="O236" s="22" t="s">
        <v>63</v>
      </c>
      <c r="P236" s="25" t="str">
        <f aca="false">IF(OR(O236="",O236="Sin información"),"",IFERROR(INDEX(Listas!$B$2:$B$9,MATCH(O236,Listas!$A$2:$A$9,0)),""))</f>
        <v/>
      </c>
      <c r="Q236" s="25" t="str">
        <f aca="false">IF(OR(O236="",O236="Sin información"),"",IFERROR(INDEX(Listas!$C$2:$C$9,MATCH(O236,Listas!$A$2:$A$9,0)),""))</f>
        <v/>
      </c>
      <c r="R236" s="22"/>
      <c r="S236" s="22"/>
      <c r="T236" s="25" t="str">
        <f aca="false">IF(S236="","",IFERROR(INDEX(Empleadores!$B$2:$B$601,MATCH(S236,Empleadores!$A$2:$A$601,0)),"No encontrado"))</f>
        <v/>
      </c>
      <c r="U236" s="25" t="str">
        <f aca="false">IF(C236="","",IF(V236="","No",IF(Config!$C$4-V236&lt;=Config!$C$15,"Sí","No")))</f>
        <v>Sí</v>
      </c>
      <c r="V236" s="23" t="n">
        <v>45966</v>
      </c>
      <c r="W236" s="22"/>
      <c r="X236" s="22"/>
      <c r="Y236" s="22" t="s">
        <v>181</v>
      </c>
      <c r="Z236" s="27"/>
      <c r="AA236" s="22"/>
      <c r="AB236" s="22" t="s">
        <v>183</v>
      </c>
    </row>
    <row r="237" customFormat="false" ht="15" hidden="false" customHeight="false" outlineLevel="0" collapsed="false">
      <c r="A237" s="22" t="n">
        <v>236</v>
      </c>
      <c r="B237" s="22" t="s">
        <v>1189</v>
      </c>
      <c r="C237" s="22" t="s">
        <v>1190</v>
      </c>
      <c r="D237" s="22" t="s">
        <v>138</v>
      </c>
      <c r="E237" s="22" t="s">
        <v>139</v>
      </c>
      <c r="F237" s="22" t="s">
        <v>102</v>
      </c>
      <c r="G237" s="23" t="n">
        <v>44925</v>
      </c>
      <c r="H237" s="24" t="n">
        <f aca="false">IF(G237="","",ROUND((Config!$C$4-G237)/365.25,2))</f>
        <v>3.75</v>
      </c>
      <c r="I237" s="25" t="str">
        <f aca="false">IF(H237="","",IF(H237&lt;=1,"Tramo 1",IF(H237&lt;=3,"Tramo 2",IF(H237&lt;=5,"Tramo 3","Tramo 4"))))</f>
        <v>Tramo 3</v>
      </c>
      <c r="J237" s="22" t="s">
        <v>140</v>
      </c>
      <c r="K237" s="22"/>
      <c r="L237" s="22" t="s">
        <v>1191</v>
      </c>
      <c r="M237" s="26" t="s">
        <v>1192</v>
      </c>
      <c r="N237" s="22"/>
      <c r="O237" s="22" t="s">
        <v>63</v>
      </c>
      <c r="P237" s="25" t="str">
        <f aca="false">IF(OR(O237="",O237="Sin información"),"",IFERROR(INDEX(Listas!$B$2:$B$9,MATCH(O237,Listas!$A$2:$A$9,0)),""))</f>
        <v/>
      </c>
      <c r="Q237" s="25" t="str">
        <f aca="false">IF(OR(O237="",O237="Sin información"),"",IFERROR(INDEX(Listas!$C$2:$C$9,MATCH(O237,Listas!$A$2:$A$9,0)),""))</f>
        <v/>
      </c>
      <c r="R237" s="22"/>
      <c r="S237" s="22"/>
      <c r="T237" s="25" t="str">
        <f aca="false">IF(S237="","",IFERROR(INDEX(Empleadores!$B$2:$B$601,MATCH(S237,Empleadores!$A$2:$A$601,0)),"No encontrado"))</f>
        <v/>
      </c>
      <c r="U237" s="25" t="str">
        <f aca="false">IF(C237="","",IF(V237="","No",IF(Config!$C$4-V237&lt;=Config!$C$15,"Sí","No")))</f>
        <v>No</v>
      </c>
      <c r="V237" s="23"/>
      <c r="W237" s="22"/>
      <c r="X237" s="22"/>
      <c r="Y237" s="22"/>
      <c r="Z237" s="27"/>
      <c r="AA237" s="22"/>
      <c r="AB237" s="22"/>
    </row>
    <row r="238" customFormat="false" ht="15" hidden="false" customHeight="false" outlineLevel="0" collapsed="false">
      <c r="A238" s="22" t="n">
        <v>237</v>
      </c>
      <c r="B238" s="22" t="s">
        <v>1193</v>
      </c>
      <c r="C238" s="22" t="s">
        <v>1194</v>
      </c>
      <c r="D238" s="22" t="s">
        <v>138</v>
      </c>
      <c r="E238" s="22" t="s">
        <v>139</v>
      </c>
      <c r="F238" s="22" t="s">
        <v>102</v>
      </c>
      <c r="G238" s="23" t="n">
        <v>44925</v>
      </c>
      <c r="H238" s="24" t="n">
        <f aca="false">IF(G238="","",ROUND((Config!$C$4-G238)/365.25,2))</f>
        <v>3.75</v>
      </c>
      <c r="I238" s="25" t="str">
        <f aca="false">IF(H238="","",IF(H238&lt;=1,"Tramo 1",IF(H238&lt;=3,"Tramo 2",IF(H238&lt;=5,"Tramo 3","Tramo 4"))))</f>
        <v>Tramo 3</v>
      </c>
      <c r="J238" s="22" t="s">
        <v>140</v>
      </c>
      <c r="K238" s="22"/>
      <c r="L238" s="22" t="s">
        <v>1195</v>
      </c>
      <c r="M238" s="26" t="s">
        <v>1196</v>
      </c>
      <c r="N238" s="22"/>
      <c r="O238" s="22" t="s">
        <v>63</v>
      </c>
      <c r="P238" s="25" t="str">
        <f aca="false">IF(OR(O238="",O238="Sin información"),"",IFERROR(INDEX(Listas!$B$2:$B$9,MATCH(O238,Listas!$A$2:$A$9,0)),""))</f>
        <v/>
      </c>
      <c r="Q238" s="25" t="str">
        <f aca="false">IF(OR(O238="",O238="Sin información"),"",IFERROR(INDEX(Listas!$C$2:$C$9,MATCH(O238,Listas!$A$2:$A$9,0)),""))</f>
        <v/>
      </c>
      <c r="R238" s="22"/>
      <c r="S238" s="22"/>
      <c r="T238" s="25" t="str">
        <f aca="false">IF(S238="","",IFERROR(INDEX(Empleadores!$B$2:$B$601,MATCH(S238,Empleadores!$A$2:$A$601,0)),"No encontrado"))</f>
        <v/>
      </c>
      <c r="U238" s="25" t="str">
        <f aca="false">IF(C238="","",IF(V238="","No",IF(Config!$C$4-V238&lt;=Config!$C$15,"Sí","No")))</f>
        <v>No</v>
      </c>
      <c r="V238" s="23"/>
      <c r="W238" s="22"/>
      <c r="X238" s="22"/>
      <c r="Y238" s="22"/>
      <c r="Z238" s="27"/>
      <c r="AA238" s="22"/>
      <c r="AB238" s="22"/>
    </row>
    <row r="239" customFormat="false" ht="15" hidden="false" customHeight="false" outlineLevel="0" collapsed="false">
      <c r="A239" s="22" t="n">
        <v>238</v>
      </c>
      <c r="B239" s="22" t="s">
        <v>1197</v>
      </c>
      <c r="C239" s="22" t="s">
        <v>1198</v>
      </c>
      <c r="D239" s="22" t="s">
        <v>138</v>
      </c>
      <c r="E239" s="22" t="s">
        <v>139</v>
      </c>
      <c r="F239" s="22" t="s">
        <v>102</v>
      </c>
      <c r="G239" s="23" t="n">
        <v>44925</v>
      </c>
      <c r="H239" s="24" t="n">
        <f aca="false">IF(G239="","",ROUND((Config!$C$4-G239)/365.25,2))</f>
        <v>3.75</v>
      </c>
      <c r="I239" s="25" t="str">
        <f aca="false">IF(H239="","",IF(H239&lt;=1,"Tramo 1",IF(H239&lt;=3,"Tramo 2",IF(H239&lt;=5,"Tramo 3","Tramo 4"))))</f>
        <v>Tramo 3</v>
      </c>
      <c r="J239" s="22" t="s">
        <v>140</v>
      </c>
      <c r="K239" s="22"/>
      <c r="L239" s="22" t="s">
        <v>1199</v>
      </c>
      <c r="M239" s="26" t="s">
        <v>1200</v>
      </c>
      <c r="N239" s="22"/>
      <c r="O239" s="22" t="s">
        <v>63</v>
      </c>
      <c r="P239" s="25" t="str">
        <f aca="false">IF(OR(O239="",O239="Sin información"),"",IFERROR(INDEX(Listas!$B$2:$B$9,MATCH(O239,Listas!$A$2:$A$9,0)),""))</f>
        <v/>
      </c>
      <c r="Q239" s="25" t="str">
        <f aca="false">IF(OR(O239="",O239="Sin información"),"",IFERROR(INDEX(Listas!$C$2:$C$9,MATCH(O239,Listas!$A$2:$A$9,0)),""))</f>
        <v/>
      </c>
      <c r="R239" s="22"/>
      <c r="S239" s="22"/>
      <c r="T239" s="25" t="str">
        <f aca="false">IF(S239="","",IFERROR(INDEX(Empleadores!$B$2:$B$601,MATCH(S239,Empleadores!$A$2:$A$601,0)),"No encontrado"))</f>
        <v/>
      </c>
      <c r="U239" s="25" t="str">
        <f aca="false">IF(C239="","",IF(V239="","No",IF(Config!$C$4-V239&lt;=Config!$C$15,"Sí","No")))</f>
        <v>No</v>
      </c>
      <c r="V239" s="23"/>
      <c r="W239" s="22"/>
      <c r="X239" s="22"/>
      <c r="Y239" s="22"/>
      <c r="Z239" s="27"/>
      <c r="AA239" s="22"/>
      <c r="AB239" s="22"/>
    </row>
    <row r="240" customFormat="false" ht="15" hidden="false" customHeight="false" outlineLevel="0" collapsed="false">
      <c r="A240" s="22" t="n">
        <v>239</v>
      </c>
      <c r="B240" s="22" t="s">
        <v>1201</v>
      </c>
      <c r="C240" s="22" t="s">
        <v>1202</v>
      </c>
      <c r="D240" s="22" t="s">
        <v>149</v>
      </c>
      <c r="E240" s="22" t="s">
        <v>139</v>
      </c>
      <c r="F240" s="22" t="s">
        <v>102</v>
      </c>
      <c r="G240" s="23" t="n">
        <v>44925</v>
      </c>
      <c r="H240" s="24" t="n">
        <f aca="false">IF(G240="","",ROUND((Config!$C$4-G240)/365.25,2))</f>
        <v>3.75</v>
      </c>
      <c r="I240" s="25" t="str">
        <f aca="false">IF(H240="","",IF(H240&lt;=1,"Tramo 1",IF(H240&lt;=3,"Tramo 2",IF(H240&lt;=5,"Tramo 3","Tramo 4"))))</f>
        <v>Tramo 3</v>
      </c>
      <c r="J240" s="22" t="s">
        <v>140</v>
      </c>
      <c r="K240" s="22"/>
      <c r="L240" s="22" t="s">
        <v>1203</v>
      </c>
      <c r="M240" s="26" t="s">
        <v>1204</v>
      </c>
      <c r="N240" s="22"/>
      <c r="O240" s="22" t="s">
        <v>63</v>
      </c>
      <c r="P240" s="25" t="str">
        <f aca="false">IF(OR(O240="",O240="Sin información"),"",IFERROR(INDEX(Listas!$B$2:$B$9,MATCH(O240,Listas!$A$2:$A$9,0)),""))</f>
        <v/>
      </c>
      <c r="Q240" s="25" t="str">
        <f aca="false">IF(OR(O240="",O240="Sin información"),"",IFERROR(INDEX(Listas!$C$2:$C$9,MATCH(O240,Listas!$A$2:$A$9,0)),""))</f>
        <v/>
      </c>
      <c r="R240" s="22"/>
      <c r="S240" s="22"/>
      <c r="T240" s="25" t="str">
        <f aca="false">IF(S240="","",IFERROR(INDEX(Empleadores!$B$2:$B$601,MATCH(S240,Empleadores!$A$2:$A$601,0)),"No encontrado"))</f>
        <v/>
      </c>
      <c r="U240" s="25" t="str">
        <f aca="false">IF(C240="","",IF(V240="","No",IF(Config!$C$4-V240&lt;=Config!$C$15,"Sí","No")))</f>
        <v>No</v>
      </c>
      <c r="V240" s="23"/>
      <c r="W240" s="22"/>
      <c r="X240" s="22"/>
      <c r="Y240" s="22"/>
      <c r="Z240" s="27"/>
      <c r="AA240" s="22"/>
      <c r="AB240" s="22"/>
    </row>
    <row r="241" customFormat="false" ht="15" hidden="false" customHeight="false" outlineLevel="0" collapsed="false">
      <c r="A241" s="22" t="n">
        <v>240</v>
      </c>
      <c r="B241" s="22" t="s">
        <v>1205</v>
      </c>
      <c r="C241" s="22" t="s">
        <v>1206</v>
      </c>
      <c r="D241" s="22" t="s">
        <v>138</v>
      </c>
      <c r="E241" s="22" t="s">
        <v>139</v>
      </c>
      <c r="F241" s="22" t="s">
        <v>102</v>
      </c>
      <c r="G241" s="23" t="n">
        <v>44925</v>
      </c>
      <c r="H241" s="24" t="n">
        <f aca="false">IF(G241="","",ROUND((Config!$C$4-G241)/365.25,2))</f>
        <v>3.75</v>
      </c>
      <c r="I241" s="25" t="str">
        <f aca="false">IF(H241="","",IF(H241&lt;=1,"Tramo 1",IF(H241&lt;=3,"Tramo 2",IF(H241&lt;=5,"Tramo 3","Tramo 4"))))</f>
        <v>Tramo 3</v>
      </c>
      <c r="J241" s="22" t="s">
        <v>140</v>
      </c>
      <c r="K241" s="22"/>
      <c r="L241" s="22" t="s">
        <v>1207</v>
      </c>
      <c r="M241" s="26" t="s">
        <v>1208</v>
      </c>
      <c r="N241" s="22"/>
      <c r="O241" s="22" t="s">
        <v>63</v>
      </c>
      <c r="P241" s="25" t="str">
        <f aca="false">IF(OR(O241="",O241="Sin información"),"",IFERROR(INDEX(Listas!$B$2:$B$9,MATCH(O241,Listas!$A$2:$A$9,0)),""))</f>
        <v/>
      </c>
      <c r="Q241" s="25" t="str">
        <f aca="false">IF(OR(O241="",O241="Sin información"),"",IFERROR(INDEX(Listas!$C$2:$C$9,MATCH(O241,Listas!$A$2:$A$9,0)),""))</f>
        <v/>
      </c>
      <c r="R241" s="22"/>
      <c r="S241" s="22"/>
      <c r="T241" s="25" t="str">
        <f aca="false">IF(S241="","",IFERROR(INDEX(Empleadores!$B$2:$B$601,MATCH(S241,Empleadores!$A$2:$A$601,0)),"No encontrado"))</f>
        <v/>
      </c>
      <c r="U241" s="25" t="str">
        <f aca="false">IF(C241="","",IF(V241="","No",IF(Config!$C$4-V241&lt;=Config!$C$15,"Sí","No")))</f>
        <v>No</v>
      </c>
      <c r="V241" s="23"/>
      <c r="W241" s="22"/>
      <c r="X241" s="22"/>
      <c r="Y241" s="22"/>
      <c r="Z241" s="27"/>
      <c r="AA241" s="22"/>
      <c r="AB241" s="22"/>
    </row>
    <row r="242" customFormat="false" ht="15" hidden="false" customHeight="false" outlineLevel="0" collapsed="false">
      <c r="A242" s="22" t="n">
        <v>241</v>
      </c>
      <c r="B242" s="22" t="s">
        <v>1209</v>
      </c>
      <c r="C242" s="22" t="s">
        <v>1210</v>
      </c>
      <c r="D242" s="22" t="s">
        <v>138</v>
      </c>
      <c r="E242" s="22" t="s">
        <v>139</v>
      </c>
      <c r="F242" s="22" t="s">
        <v>102</v>
      </c>
      <c r="G242" s="23" t="n">
        <v>44925</v>
      </c>
      <c r="H242" s="24" t="n">
        <f aca="false">IF(G242="","",ROUND((Config!$C$4-G242)/365.25,2))</f>
        <v>3.75</v>
      </c>
      <c r="I242" s="25" t="str">
        <f aca="false">IF(H242="","",IF(H242&lt;=1,"Tramo 1",IF(H242&lt;=3,"Tramo 2",IF(H242&lt;=5,"Tramo 3","Tramo 4"))))</f>
        <v>Tramo 3</v>
      </c>
      <c r="J242" s="22" t="s">
        <v>140</v>
      </c>
      <c r="K242" s="22"/>
      <c r="L242" s="22" t="s">
        <v>1211</v>
      </c>
      <c r="M242" s="26" t="s">
        <v>1212</v>
      </c>
      <c r="N242" s="22"/>
      <c r="O242" s="22" t="s">
        <v>63</v>
      </c>
      <c r="P242" s="25" t="str">
        <f aca="false">IF(OR(O242="",O242="Sin información"),"",IFERROR(INDEX(Listas!$B$2:$B$9,MATCH(O242,Listas!$A$2:$A$9,0)),""))</f>
        <v/>
      </c>
      <c r="Q242" s="25" t="str">
        <f aca="false">IF(OR(O242="",O242="Sin información"),"",IFERROR(INDEX(Listas!$C$2:$C$9,MATCH(O242,Listas!$A$2:$A$9,0)),""))</f>
        <v/>
      </c>
      <c r="R242" s="22"/>
      <c r="S242" s="22"/>
      <c r="T242" s="25" t="str">
        <f aca="false">IF(S242="","",IFERROR(INDEX(Empleadores!$B$2:$B$601,MATCH(S242,Empleadores!$A$2:$A$601,0)),"No encontrado"))</f>
        <v/>
      </c>
      <c r="U242" s="25" t="str">
        <f aca="false">IF(C242="","",IF(V242="","No",IF(Config!$C$4-V242&lt;=Config!$C$15,"Sí","No")))</f>
        <v>No</v>
      </c>
      <c r="V242" s="23"/>
      <c r="W242" s="22"/>
      <c r="X242" s="22"/>
      <c r="Y242" s="22"/>
      <c r="Z242" s="27"/>
      <c r="AA242" s="22"/>
      <c r="AB242" s="22"/>
    </row>
    <row r="243" customFormat="false" ht="15" hidden="false" customHeight="false" outlineLevel="0" collapsed="false">
      <c r="A243" s="22" t="n">
        <v>242</v>
      </c>
      <c r="B243" s="22" t="s">
        <v>1213</v>
      </c>
      <c r="C243" s="22" t="s">
        <v>1214</v>
      </c>
      <c r="D243" s="22" t="s">
        <v>138</v>
      </c>
      <c r="E243" s="22" t="s">
        <v>139</v>
      </c>
      <c r="F243" s="22" t="s">
        <v>102</v>
      </c>
      <c r="G243" s="23" t="n">
        <v>44925</v>
      </c>
      <c r="H243" s="24" t="n">
        <f aca="false">IF(G243="","",ROUND((Config!$C$4-G243)/365.25,2))</f>
        <v>3.75</v>
      </c>
      <c r="I243" s="25" t="str">
        <f aca="false">IF(H243="","",IF(H243&lt;=1,"Tramo 1",IF(H243&lt;=3,"Tramo 2",IF(H243&lt;=5,"Tramo 3","Tramo 4"))))</f>
        <v>Tramo 3</v>
      </c>
      <c r="J243" s="22" t="s">
        <v>140</v>
      </c>
      <c r="K243" s="22"/>
      <c r="L243" s="22" t="s">
        <v>1215</v>
      </c>
      <c r="M243" s="26" t="s">
        <v>1216</v>
      </c>
      <c r="N243" s="22"/>
      <c r="O243" s="22" t="s">
        <v>63</v>
      </c>
      <c r="P243" s="25" t="str">
        <f aca="false">IF(OR(O243="",O243="Sin información"),"",IFERROR(INDEX(Listas!$B$2:$B$9,MATCH(O243,Listas!$A$2:$A$9,0)),""))</f>
        <v/>
      </c>
      <c r="Q243" s="25" t="str">
        <f aca="false">IF(OR(O243="",O243="Sin información"),"",IFERROR(INDEX(Listas!$C$2:$C$9,MATCH(O243,Listas!$A$2:$A$9,0)),""))</f>
        <v/>
      </c>
      <c r="R243" s="22"/>
      <c r="S243" s="22"/>
      <c r="T243" s="25" t="str">
        <f aca="false">IF(S243="","",IFERROR(INDEX(Empleadores!$B$2:$B$601,MATCH(S243,Empleadores!$A$2:$A$601,0)),"No encontrado"))</f>
        <v/>
      </c>
      <c r="U243" s="25" t="str">
        <f aca="false">IF(C243="","",IF(V243="","No",IF(Config!$C$4-V243&lt;=Config!$C$15,"Sí","No")))</f>
        <v>No</v>
      </c>
      <c r="V243" s="23"/>
      <c r="W243" s="22"/>
      <c r="X243" s="22"/>
      <c r="Y243" s="22"/>
      <c r="Z243" s="27"/>
      <c r="AA243" s="22"/>
      <c r="AB243" s="22"/>
    </row>
    <row r="244" customFormat="false" ht="15" hidden="false" customHeight="false" outlineLevel="0" collapsed="false">
      <c r="A244" s="22" t="n">
        <v>243</v>
      </c>
      <c r="B244" s="22" t="s">
        <v>1217</v>
      </c>
      <c r="C244" s="22" t="s">
        <v>1218</v>
      </c>
      <c r="D244" s="22" t="s">
        <v>138</v>
      </c>
      <c r="E244" s="22" t="s">
        <v>139</v>
      </c>
      <c r="F244" s="22" t="s">
        <v>102</v>
      </c>
      <c r="G244" s="23" t="n">
        <v>44925</v>
      </c>
      <c r="H244" s="24" t="n">
        <f aca="false">IF(G244="","",ROUND((Config!$C$4-G244)/365.25,2))</f>
        <v>3.75</v>
      </c>
      <c r="I244" s="25" t="str">
        <f aca="false">IF(H244="","",IF(H244&lt;=1,"Tramo 1",IF(H244&lt;=3,"Tramo 2",IF(H244&lt;=5,"Tramo 3","Tramo 4"))))</f>
        <v>Tramo 3</v>
      </c>
      <c r="J244" s="22" t="s">
        <v>140</v>
      </c>
      <c r="K244" s="22"/>
      <c r="L244" s="22" t="s">
        <v>1219</v>
      </c>
      <c r="M244" s="26" t="s">
        <v>1220</v>
      </c>
      <c r="N244" s="22"/>
      <c r="O244" s="22" t="s">
        <v>63</v>
      </c>
      <c r="P244" s="25" t="str">
        <f aca="false">IF(OR(O244="",O244="Sin información"),"",IFERROR(INDEX(Listas!$B$2:$B$9,MATCH(O244,Listas!$A$2:$A$9,0)),""))</f>
        <v/>
      </c>
      <c r="Q244" s="25" t="str">
        <f aca="false">IF(OR(O244="",O244="Sin información"),"",IFERROR(INDEX(Listas!$C$2:$C$9,MATCH(O244,Listas!$A$2:$A$9,0)),""))</f>
        <v/>
      </c>
      <c r="R244" s="22"/>
      <c r="S244" s="22"/>
      <c r="T244" s="25" t="str">
        <f aca="false">IF(S244="","",IFERROR(INDEX(Empleadores!$B$2:$B$601,MATCH(S244,Empleadores!$A$2:$A$601,0)),"No encontrado"))</f>
        <v/>
      </c>
      <c r="U244" s="25" t="str">
        <f aca="false">IF(C244="","",IF(V244="","No",IF(Config!$C$4-V244&lt;=Config!$C$15,"Sí","No")))</f>
        <v>No</v>
      </c>
      <c r="V244" s="23"/>
      <c r="W244" s="22"/>
      <c r="X244" s="22"/>
      <c r="Y244" s="22"/>
      <c r="Z244" s="27"/>
      <c r="AA244" s="22"/>
      <c r="AB244" s="22"/>
    </row>
    <row r="245" customFormat="false" ht="15" hidden="false" customHeight="false" outlineLevel="0" collapsed="false">
      <c r="A245" s="22" t="n">
        <v>244</v>
      </c>
      <c r="B245" s="22" t="s">
        <v>1221</v>
      </c>
      <c r="C245" s="22" t="s">
        <v>1222</v>
      </c>
      <c r="D245" s="22" t="s">
        <v>149</v>
      </c>
      <c r="E245" s="22" t="s">
        <v>139</v>
      </c>
      <c r="F245" s="22" t="s">
        <v>102</v>
      </c>
      <c r="G245" s="23" t="n">
        <v>44925</v>
      </c>
      <c r="H245" s="24" t="n">
        <f aca="false">IF(G245="","",ROUND((Config!$C$4-G245)/365.25,2))</f>
        <v>3.75</v>
      </c>
      <c r="I245" s="25" t="str">
        <f aca="false">IF(H245="","",IF(H245&lt;=1,"Tramo 1",IF(H245&lt;=3,"Tramo 2",IF(H245&lt;=5,"Tramo 3","Tramo 4"))))</f>
        <v>Tramo 3</v>
      </c>
      <c r="J245" s="22" t="s">
        <v>140</v>
      </c>
      <c r="K245" s="22"/>
      <c r="L245" s="22" t="s">
        <v>1223</v>
      </c>
      <c r="M245" s="26" t="s">
        <v>1224</v>
      </c>
      <c r="N245" s="22"/>
      <c r="O245" s="22" t="s">
        <v>63</v>
      </c>
      <c r="P245" s="25" t="str">
        <f aca="false">IF(OR(O245="",O245="Sin información"),"",IFERROR(INDEX(Listas!$B$2:$B$9,MATCH(O245,Listas!$A$2:$A$9,0)),""))</f>
        <v/>
      </c>
      <c r="Q245" s="25" t="str">
        <f aca="false">IF(OR(O245="",O245="Sin información"),"",IFERROR(INDEX(Listas!$C$2:$C$9,MATCH(O245,Listas!$A$2:$A$9,0)),""))</f>
        <v/>
      </c>
      <c r="R245" s="22"/>
      <c r="S245" s="22"/>
      <c r="T245" s="25" t="str">
        <f aca="false">IF(S245="","",IFERROR(INDEX(Empleadores!$B$2:$B$601,MATCH(S245,Empleadores!$A$2:$A$601,0)),"No encontrado"))</f>
        <v/>
      </c>
      <c r="U245" s="25" t="str">
        <f aca="false">IF(C245="","",IF(V245="","No",IF(Config!$C$4-V245&lt;=Config!$C$15,"Sí","No")))</f>
        <v>No</v>
      </c>
      <c r="V245" s="23"/>
      <c r="W245" s="22"/>
      <c r="X245" s="22"/>
      <c r="Y245" s="22"/>
      <c r="Z245" s="27"/>
      <c r="AA245" s="22"/>
      <c r="AB245" s="22"/>
    </row>
    <row r="246" customFormat="false" ht="15" hidden="false" customHeight="false" outlineLevel="0" collapsed="false">
      <c r="A246" s="22" t="n">
        <v>245</v>
      </c>
      <c r="B246" s="22" t="s">
        <v>1225</v>
      </c>
      <c r="C246" s="22" t="s">
        <v>1226</v>
      </c>
      <c r="D246" s="22" t="s">
        <v>138</v>
      </c>
      <c r="E246" s="22" t="s">
        <v>139</v>
      </c>
      <c r="F246" s="22" t="s">
        <v>102</v>
      </c>
      <c r="G246" s="23" t="n">
        <v>44925</v>
      </c>
      <c r="H246" s="24" t="n">
        <f aca="false">IF(G246="","",ROUND((Config!$C$4-G246)/365.25,2))</f>
        <v>3.75</v>
      </c>
      <c r="I246" s="25" t="str">
        <f aca="false">IF(H246="","",IF(H246&lt;=1,"Tramo 1",IF(H246&lt;=3,"Tramo 2",IF(H246&lt;=5,"Tramo 3","Tramo 4"))))</f>
        <v>Tramo 3</v>
      </c>
      <c r="J246" s="22" t="s">
        <v>140</v>
      </c>
      <c r="K246" s="22"/>
      <c r="L246" s="22" t="s">
        <v>1227</v>
      </c>
      <c r="M246" s="26" t="s">
        <v>1228</v>
      </c>
      <c r="N246" s="22"/>
      <c r="O246" s="22" t="s">
        <v>63</v>
      </c>
      <c r="P246" s="25" t="str">
        <f aca="false">IF(OR(O246="",O246="Sin información"),"",IFERROR(INDEX(Listas!$B$2:$B$9,MATCH(O246,Listas!$A$2:$A$9,0)),""))</f>
        <v/>
      </c>
      <c r="Q246" s="25" t="str">
        <f aca="false">IF(OR(O246="",O246="Sin información"),"",IFERROR(INDEX(Listas!$C$2:$C$9,MATCH(O246,Listas!$A$2:$A$9,0)),""))</f>
        <v/>
      </c>
      <c r="R246" s="22"/>
      <c r="S246" s="22"/>
      <c r="T246" s="25" t="str">
        <f aca="false">IF(S246="","",IFERROR(INDEX(Empleadores!$B$2:$B$601,MATCH(S246,Empleadores!$A$2:$A$601,0)),"No encontrado"))</f>
        <v/>
      </c>
      <c r="U246" s="25" t="str">
        <f aca="false">IF(C246="","",IF(V246="","No",IF(Config!$C$4-V246&lt;=Config!$C$15,"Sí","No")))</f>
        <v>No</v>
      </c>
      <c r="V246" s="23"/>
      <c r="W246" s="22"/>
      <c r="X246" s="22"/>
      <c r="Y246" s="22"/>
      <c r="Z246" s="27"/>
      <c r="AA246" s="22"/>
      <c r="AB246" s="22"/>
    </row>
    <row r="247" customFormat="false" ht="15" hidden="false" customHeight="false" outlineLevel="0" collapsed="false">
      <c r="A247" s="22" t="n">
        <v>246</v>
      </c>
      <c r="B247" s="22" t="s">
        <v>1229</v>
      </c>
      <c r="C247" s="22" t="s">
        <v>1230</v>
      </c>
      <c r="D247" s="22" t="s">
        <v>138</v>
      </c>
      <c r="E247" s="22" t="s">
        <v>139</v>
      </c>
      <c r="F247" s="22" t="s">
        <v>102</v>
      </c>
      <c r="G247" s="23" t="n">
        <v>44925</v>
      </c>
      <c r="H247" s="24" t="n">
        <f aca="false">IF(G247="","",ROUND((Config!$C$4-G247)/365.25,2))</f>
        <v>3.75</v>
      </c>
      <c r="I247" s="25" t="str">
        <f aca="false">IF(H247="","",IF(H247&lt;=1,"Tramo 1",IF(H247&lt;=3,"Tramo 2",IF(H247&lt;=5,"Tramo 3","Tramo 4"))))</f>
        <v>Tramo 3</v>
      </c>
      <c r="J247" s="22" t="s">
        <v>140</v>
      </c>
      <c r="K247" s="22"/>
      <c r="L247" s="22" t="s">
        <v>1231</v>
      </c>
      <c r="M247" s="26" t="s">
        <v>1232</v>
      </c>
      <c r="N247" s="22"/>
      <c r="O247" s="22" t="s">
        <v>63</v>
      </c>
      <c r="P247" s="25" t="str">
        <f aca="false">IF(OR(O247="",O247="Sin información"),"",IFERROR(INDEX(Listas!$B$2:$B$9,MATCH(O247,Listas!$A$2:$A$9,0)),""))</f>
        <v/>
      </c>
      <c r="Q247" s="25" t="str">
        <f aca="false">IF(OR(O247="",O247="Sin información"),"",IFERROR(INDEX(Listas!$C$2:$C$9,MATCH(O247,Listas!$A$2:$A$9,0)),""))</f>
        <v/>
      </c>
      <c r="R247" s="22"/>
      <c r="S247" s="22"/>
      <c r="T247" s="25" t="str">
        <f aca="false">IF(S247="","",IFERROR(INDEX(Empleadores!$B$2:$B$601,MATCH(S247,Empleadores!$A$2:$A$601,0)),"No encontrado"))</f>
        <v/>
      </c>
      <c r="U247" s="25" t="str">
        <f aca="false">IF(C247="","",IF(V247="","No",IF(Config!$C$4-V247&lt;=Config!$C$15,"Sí","No")))</f>
        <v>No</v>
      </c>
      <c r="V247" s="23"/>
      <c r="W247" s="22"/>
      <c r="X247" s="22"/>
      <c r="Y247" s="22"/>
      <c r="Z247" s="27"/>
      <c r="AA247" s="22"/>
      <c r="AB247" s="22"/>
    </row>
    <row r="248" customFormat="false" ht="15" hidden="false" customHeight="false" outlineLevel="0" collapsed="false">
      <c r="A248" s="22" t="n">
        <v>247</v>
      </c>
      <c r="B248" s="22" t="s">
        <v>1233</v>
      </c>
      <c r="C248" s="22" t="s">
        <v>1234</v>
      </c>
      <c r="D248" s="22" t="s">
        <v>138</v>
      </c>
      <c r="E248" s="22" t="s">
        <v>139</v>
      </c>
      <c r="F248" s="22" t="s">
        <v>102</v>
      </c>
      <c r="G248" s="23" t="n">
        <v>44925</v>
      </c>
      <c r="H248" s="24" t="n">
        <f aca="false">IF(G248="","",ROUND((Config!$C$4-G248)/365.25,2))</f>
        <v>3.75</v>
      </c>
      <c r="I248" s="25" t="str">
        <f aca="false">IF(H248="","",IF(H248&lt;=1,"Tramo 1",IF(H248&lt;=3,"Tramo 2",IF(H248&lt;=5,"Tramo 3","Tramo 4"))))</f>
        <v>Tramo 3</v>
      </c>
      <c r="J248" s="22" t="s">
        <v>140</v>
      </c>
      <c r="K248" s="22"/>
      <c r="L248" s="22" t="s">
        <v>1235</v>
      </c>
      <c r="M248" s="26" t="s">
        <v>1236</v>
      </c>
      <c r="N248" s="22"/>
      <c r="O248" s="22" t="s">
        <v>63</v>
      </c>
      <c r="P248" s="25" t="str">
        <f aca="false">IF(OR(O248="",O248="Sin información"),"",IFERROR(INDEX(Listas!$B$2:$B$9,MATCH(O248,Listas!$A$2:$A$9,0)),""))</f>
        <v/>
      </c>
      <c r="Q248" s="25" t="str">
        <f aca="false">IF(OR(O248="",O248="Sin información"),"",IFERROR(INDEX(Listas!$C$2:$C$9,MATCH(O248,Listas!$A$2:$A$9,0)),""))</f>
        <v/>
      </c>
      <c r="R248" s="22"/>
      <c r="S248" s="22"/>
      <c r="T248" s="25" t="str">
        <f aca="false">IF(S248="","",IFERROR(INDEX(Empleadores!$B$2:$B$601,MATCH(S248,Empleadores!$A$2:$A$601,0)),"No encontrado"))</f>
        <v/>
      </c>
      <c r="U248" s="25" t="str">
        <f aca="false">IF(C248="","",IF(V248="","No",IF(Config!$C$4-V248&lt;=Config!$C$15,"Sí","No")))</f>
        <v>No</v>
      </c>
      <c r="V248" s="23"/>
      <c r="W248" s="22"/>
      <c r="X248" s="22"/>
      <c r="Y248" s="22"/>
      <c r="Z248" s="27"/>
      <c r="AA248" s="22"/>
      <c r="AB248" s="22"/>
    </row>
    <row r="249" customFormat="false" ht="15" hidden="false" customHeight="false" outlineLevel="0" collapsed="false">
      <c r="A249" s="22" t="n">
        <v>248</v>
      </c>
      <c r="B249" s="22" t="s">
        <v>1237</v>
      </c>
      <c r="C249" s="22" t="s">
        <v>1238</v>
      </c>
      <c r="D249" s="22" t="s">
        <v>138</v>
      </c>
      <c r="E249" s="22" t="s">
        <v>139</v>
      </c>
      <c r="F249" s="22" t="s">
        <v>102</v>
      </c>
      <c r="G249" s="23" t="n">
        <v>44925</v>
      </c>
      <c r="H249" s="24" t="n">
        <f aca="false">IF(G249="","",ROUND((Config!$C$4-G249)/365.25,2))</f>
        <v>3.75</v>
      </c>
      <c r="I249" s="25" t="str">
        <f aca="false">IF(H249="","",IF(H249&lt;=1,"Tramo 1",IF(H249&lt;=3,"Tramo 2",IF(H249&lt;=5,"Tramo 3","Tramo 4"))))</f>
        <v>Tramo 3</v>
      </c>
      <c r="J249" s="22" t="s">
        <v>140</v>
      </c>
      <c r="K249" s="22"/>
      <c r="L249" s="22" t="s">
        <v>1239</v>
      </c>
      <c r="M249" s="26" t="s">
        <v>1240</v>
      </c>
      <c r="N249" s="22"/>
      <c r="O249" s="22" t="s">
        <v>63</v>
      </c>
      <c r="P249" s="25" t="str">
        <f aca="false">IF(OR(O249="",O249="Sin información"),"",IFERROR(INDEX(Listas!$B$2:$B$9,MATCH(O249,Listas!$A$2:$A$9,0)),""))</f>
        <v/>
      </c>
      <c r="Q249" s="25" t="str">
        <f aca="false">IF(OR(O249="",O249="Sin información"),"",IFERROR(INDEX(Listas!$C$2:$C$9,MATCH(O249,Listas!$A$2:$A$9,0)),""))</f>
        <v/>
      </c>
      <c r="R249" s="22"/>
      <c r="S249" s="22"/>
      <c r="T249" s="25" t="str">
        <f aca="false">IF(S249="","",IFERROR(INDEX(Empleadores!$B$2:$B$601,MATCH(S249,Empleadores!$A$2:$A$601,0)),"No encontrado"))</f>
        <v/>
      </c>
      <c r="U249" s="25" t="str">
        <f aca="false">IF(C249="","",IF(V249="","No",IF(Config!$C$4-V249&lt;=Config!$C$15,"Sí","No")))</f>
        <v>No</v>
      </c>
      <c r="V249" s="23"/>
      <c r="W249" s="22"/>
      <c r="X249" s="22"/>
      <c r="Y249" s="22"/>
      <c r="Z249" s="27"/>
      <c r="AA249" s="22"/>
      <c r="AB249" s="22"/>
    </row>
    <row r="250" customFormat="false" ht="15" hidden="false" customHeight="false" outlineLevel="0" collapsed="false">
      <c r="A250" s="22" t="n">
        <v>249</v>
      </c>
      <c r="B250" s="22" t="s">
        <v>1241</v>
      </c>
      <c r="C250" s="22" t="s">
        <v>1242</v>
      </c>
      <c r="D250" s="22" t="s">
        <v>149</v>
      </c>
      <c r="E250" s="22" t="s">
        <v>139</v>
      </c>
      <c r="F250" s="22" t="s">
        <v>102</v>
      </c>
      <c r="G250" s="23" t="n">
        <v>44925</v>
      </c>
      <c r="H250" s="24" t="n">
        <f aca="false">IF(G250="","",ROUND((Config!$C$4-G250)/365.25,2))</f>
        <v>3.75</v>
      </c>
      <c r="I250" s="25" t="str">
        <f aca="false">IF(H250="","",IF(H250&lt;=1,"Tramo 1",IF(H250&lt;=3,"Tramo 2",IF(H250&lt;=5,"Tramo 3","Tramo 4"))))</f>
        <v>Tramo 3</v>
      </c>
      <c r="J250" s="22" t="s">
        <v>140</v>
      </c>
      <c r="K250" s="22"/>
      <c r="L250" s="22" t="s">
        <v>1243</v>
      </c>
      <c r="M250" s="26" t="s">
        <v>1244</v>
      </c>
      <c r="N250" s="22"/>
      <c r="O250" s="22" t="s">
        <v>63</v>
      </c>
      <c r="P250" s="25" t="str">
        <f aca="false">IF(OR(O250="",O250="Sin información"),"",IFERROR(INDEX(Listas!$B$2:$B$9,MATCH(O250,Listas!$A$2:$A$9,0)),""))</f>
        <v/>
      </c>
      <c r="Q250" s="25" t="str">
        <f aca="false">IF(OR(O250="",O250="Sin información"),"",IFERROR(INDEX(Listas!$C$2:$C$9,MATCH(O250,Listas!$A$2:$A$9,0)),""))</f>
        <v/>
      </c>
      <c r="R250" s="22"/>
      <c r="S250" s="22"/>
      <c r="T250" s="25" t="str">
        <f aca="false">IF(S250="","",IFERROR(INDEX(Empleadores!$B$2:$B$601,MATCH(S250,Empleadores!$A$2:$A$601,0)),"No encontrado"))</f>
        <v/>
      </c>
      <c r="U250" s="25" t="str">
        <f aca="false">IF(C250="","",IF(V250="","No",IF(Config!$C$4-V250&lt;=Config!$C$15,"Sí","No")))</f>
        <v>No</v>
      </c>
      <c r="V250" s="23"/>
      <c r="W250" s="22"/>
      <c r="X250" s="22"/>
      <c r="Y250" s="22"/>
      <c r="Z250" s="27"/>
      <c r="AA250" s="22"/>
      <c r="AB250" s="22"/>
    </row>
    <row r="251" customFormat="false" ht="15" hidden="false" customHeight="false" outlineLevel="0" collapsed="false">
      <c r="A251" s="22" t="n">
        <v>250</v>
      </c>
      <c r="B251" s="22" t="s">
        <v>1245</v>
      </c>
      <c r="C251" s="22" t="s">
        <v>1246</v>
      </c>
      <c r="D251" s="22" t="s">
        <v>138</v>
      </c>
      <c r="E251" s="22" t="s">
        <v>139</v>
      </c>
      <c r="F251" s="22" t="s">
        <v>102</v>
      </c>
      <c r="G251" s="23" t="n">
        <v>44925</v>
      </c>
      <c r="H251" s="24" t="n">
        <f aca="false">IF(G251="","",ROUND((Config!$C$4-G251)/365.25,2))</f>
        <v>3.75</v>
      </c>
      <c r="I251" s="25" t="str">
        <f aca="false">IF(H251="","",IF(H251&lt;=1,"Tramo 1",IF(H251&lt;=3,"Tramo 2",IF(H251&lt;=5,"Tramo 3","Tramo 4"))))</f>
        <v>Tramo 3</v>
      </c>
      <c r="J251" s="22" t="s">
        <v>140</v>
      </c>
      <c r="K251" s="22"/>
      <c r="L251" s="22" t="s">
        <v>1247</v>
      </c>
      <c r="M251" s="26" t="s">
        <v>1248</v>
      </c>
      <c r="N251" s="22"/>
      <c r="O251" s="22" t="s">
        <v>63</v>
      </c>
      <c r="P251" s="25" t="str">
        <f aca="false">IF(OR(O251="",O251="Sin información"),"",IFERROR(INDEX(Listas!$B$2:$B$9,MATCH(O251,Listas!$A$2:$A$9,0)),""))</f>
        <v/>
      </c>
      <c r="Q251" s="25" t="str">
        <f aca="false">IF(OR(O251="",O251="Sin información"),"",IFERROR(INDEX(Listas!$C$2:$C$9,MATCH(O251,Listas!$A$2:$A$9,0)),""))</f>
        <v/>
      </c>
      <c r="R251" s="22"/>
      <c r="S251" s="22"/>
      <c r="T251" s="25" t="str">
        <f aca="false">IF(S251="","",IFERROR(INDEX(Empleadores!$B$2:$B$601,MATCH(S251,Empleadores!$A$2:$A$601,0)),"No encontrado"))</f>
        <v/>
      </c>
      <c r="U251" s="25" t="str">
        <f aca="false">IF(C251="","",IF(V251="","No",IF(Config!$C$4-V251&lt;=Config!$C$15,"Sí","No")))</f>
        <v>No</v>
      </c>
      <c r="V251" s="23"/>
      <c r="W251" s="22"/>
      <c r="X251" s="22"/>
      <c r="Y251" s="22"/>
      <c r="Z251" s="27"/>
      <c r="AA251" s="22"/>
      <c r="AB251" s="22"/>
    </row>
    <row r="252" customFormat="false" ht="15" hidden="false" customHeight="false" outlineLevel="0" collapsed="false">
      <c r="A252" s="22" t="n">
        <v>251</v>
      </c>
      <c r="B252" s="22" t="s">
        <v>1249</v>
      </c>
      <c r="C252" s="22" t="s">
        <v>1250</v>
      </c>
      <c r="D252" s="22" t="s">
        <v>149</v>
      </c>
      <c r="E252" s="22" t="s">
        <v>139</v>
      </c>
      <c r="F252" s="22" t="s">
        <v>102</v>
      </c>
      <c r="G252" s="23" t="n">
        <v>44925</v>
      </c>
      <c r="H252" s="24" t="n">
        <f aca="false">IF(G252="","",ROUND((Config!$C$4-G252)/365.25,2))</f>
        <v>3.75</v>
      </c>
      <c r="I252" s="25" t="str">
        <f aca="false">IF(H252="","",IF(H252&lt;=1,"Tramo 1",IF(H252&lt;=3,"Tramo 2",IF(H252&lt;=5,"Tramo 3","Tramo 4"))))</f>
        <v>Tramo 3</v>
      </c>
      <c r="J252" s="22" t="s">
        <v>140</v>
      </c>
      <c r="K252" s="22"/>
      <c r="L252" s="22" t="s">
        <v>1251</v>
      </c>
      <c r="M252" s="26" t="s">
        <v>1252</v>
      </c>
      <c r="N252" s="22"/>
      <c r="O252" s="22" t="s">
        <v>63</v>
      </c>
      <c r="P252" s="25" t="str">
        <f aca="false">IF(OR(O252="",O252="Sin información"),"",IFERROR(INDEX(Listas!$B$2:$B$9,MATCH(O252,Listas!$A$2:$A$9,0)),""))</f>
        <v/>
      </c>
      <c r="Q252" s="25" t="str">
        <f aca="false">IF(OR(O252="",O252="Sin información"),"",IFERROR(INDEX(Listas!$C$2:$C$9,MATCH(O252,Listas!$A$2:$A$9,0)),""))</f>
        <v/>
      </c>
      <c r="R252" s="22"/>
      <c r="S252" s="22"/>
      <c r="T252" s="25" t="str">
        <f aca="false">IF(S252="","",IFERROR(INDEX(Empleadores!$B$2:$B$601,MATCH(S252,Empleadores!$A$2:$A$601,0)),"No encontrado"))</f>
        <v/>
      </c>
      <c r="U252" s="25" t="str">
        <f aca="false">IF(C252="","",IF(V252="","No",IF(Config!$C$4-V252&lt;=Config!$C$15,"Sí","No")))</f>
        <v>No</v>
      </c>
      <c r="V252" s="23"/>
      <c r="W252" s="22"/>
      <c r="X252" s="22"/>
      <c r="Y252" s="22"/>
      <c r="Z252" s="27"/>
      <c r="AA252" s="22"/>
      <c r="AB252" s="22"/>
    </row>
    <row r="253" customFormat="false" ht="15" hidden="false" customHeight="false" outlineLevel="0" collapsed="false">
      <c r="A253" s="22" t="n">
        <v>252</v>
      </c>
      <c r="B253" s="22" t="s">
        <v>1253</v>
      </c>
      <c r="C253" s="22" t="s">
        <v>1254</v>
      </c>
      <c r="D253" s="22" t="s">
        <v>149</v>
      </c>
      <c r="E253" s="22" t="s">
        <v>139</v>
      </c>
      <c r="F253" s="22" t="s">
        <v>102</v>
      </c>
      <c r="G253" s="23" t="n">
        <v>44925</v>
      </c>
      <c r="H253" s="24" t="n">
        <f aca="false">IF(G253="","",ROUND((Config!$C$4-G253)/365.25,2))</f>
        <v>3.75</v>
      </c>
      <c r="I253" s="25" t="str">
        <f aca="false">IF(H253="","",IF(H253&lt;=1,"Tramo 1",IF(H253&lt;=3,"Tramo 2",IF(H253&lt;=5,"Tramo 3","Tramo 4"))))</f>
        <v>Tramo 3</v>
      </c>
      <c r="J253" s="22" t="s">
        <v>140</v>
      </c>
      <c r="K253" s="22"/>
      <c r="L253" s="22" t="s">
        <v>1255</v>
      </c>
      <c r="M253" s="26" t="s">
        <v>1256</v>
      </c>
      <c r="N253" s="22"/>
      <c r="O253" s="22" t="s">
        <v>63</v>
      </c>
      <c r="P253" s="25" t="str">
        <f aca="false">IF(OR(O253="",O253="Sin información"),"",IFERROR(INDEX(Listas!$B$2:$B$9,MATCH(O253,Listas!$A$2:$A$9,0)),""))</f>
        <v/>
      </c>
      <c r="Q253" s="25" t="str">
        <f aca="false">IF(OR(O253="",O253="Sin información"),"",IFERROR(INDEX(Listas!$C$2:$C$9,MATCH(O253,Listas!$A$2:$A$9,0)),""))</f>
        <v/>
      </c>
      <c r="R253" s="22"/>
      <c r="S253" s="22"/>
      <c r="T253" s="25" t="str">
        <f aca="false">IF(S253="","",IFERROR(INDEX(Empleadores!$B$2:$B$601,MATCH(S253,Empleadores!$A$2:$A$601,0)),"No encontrado"))</f>
        <v/>
      </c>
      <c r="U253" s="25" t="str">
        <f aca="false">IF(C253="","",IF(V253="","No",IF(Config!$C$4-V253&lt;=Config!$C$15,"Sí","No")))</f>
        <v>No</v>
      </c>
      <c r="V253" s="23"/>
      <c r="W253" s="22"/>
      <c r="X253" s="22"/>
      <c r="Y253" s="22"/>
      <c r="Z253" s="27"/>
      <c r="AA253" s="22"/>
      <c r="AB253" s="22"/>
    </row>
    <row r="254" customFormat="false" ht="15" hidden="false" customHeight="false" outlineLevel="0" collapsed="false">
      <c r="A254" s="22" t="n">
        <v>253</v>
      </c>
      <c r="B254" s="22" t="s">
        <v>1257</v>
      </c>
      <c r="C254" s="22" t="s">
        <v>1258</v>
      </c>
      <c r="D254" s="22" t="s">
        <v>138</v>
      </c>
      <c r="E254" s="22" t="s">
        <v>139</v>
      </c>
      <c r="F254" s="22" t="s">
        <v>102</v>
      </c>
      <c r="G254" s="23" t="n">
        <v>44925</v>
      </c>
      <c r="H254" s="24" t="n">
        <f aca="false">IF(G254="","",ROUND((Config!$C$4-G254)/365.25,2))</f>
        <v>3.75</v>
      </c>
      <c r="I254" s="25" t="str">
        <f aca="false">IF(H254="","",IF(H254&lt;=1,"Tramo 1",IF(H254&lt;=3,"Tramo 2",IF(H254&lt;=5,"Tramo 3","Tramo 4"))))</f>
        <v>Tramo 3</v>
      </c>
      <c r="J254" s="22" t="s">
        <v>140</v>
      </c>
      <c r="K254" s="22"/>
      <c r="L254" s="22" t="s">
        <v>1259</v>
      </c>
      <c r="M254" s="26" t="s">
        <v>1260</v>
      </c>
      <c r="N254" s="22"/>
      <c r="O254" s="22" t="s">
        <v>63</v>
      </c>
      <c r="P254" s="25" t="str">
        <f aca="false">IF(OR(O254="",O254="Sin información"),"",IFERROR(INDEX(Listas!$B$2:$B$9,MATCH(O254,Listas!$A$2:$A$9,0)),""))</f>
        <v/>
      </c>
      <c r="Q254" s="25" t="str">
        <f aca="false">IF(OR(O254="",O254="Sin información"),"",IFERROR(INDEX(Listas!$C$2:$C$9,MATCH(O254,Listas!$A$2:$A$9,0)),""))</f>
        <v/>
      </c>
      <c r="R254" s="22"/>
      <c r="S254" s="22"/>
      <c r="T254" s="25" t="str">
        <f aca="false">IF(S254="","",IFERROR(INDEX(Empleadores!$B$2:$B$601,MATCH(S254,Empleadores!$A$2:$A$601,0)),"No encontrado"))</f>
        <v/>
      </c>
      <c r="U254" s="25" t="str">
        <f aca="false">IF(C254="","",IF(V254="","No",IF(Config!$C$4-V254&lt;=Config!$C$15,"Sí","No")))</f>
        <v>No</v>
      </c>
      <c r="V254" s="23"/>
      <c r="W254" s="22"/>
      <c r="X254" s="22"/>
      <c r="Y254" s="22"/>
      <c r="Z254" s="27"/>
      <c r="AA254" s="22"/>
      <c r="AB254" s="22"/>
    </row>
    <row r="255" customFormat="false" ht="15" hidden="false" customHeight="false" outlineLevel="0" collapsed="false">
      <c r="A255" s="22" t="n">
        <v>254</v>
      </c>
      <c r="B255" s="22" t="s">
        <v>1261</v>
      </c>
      <c r="C255" s="22" t="s">
        <v>1262</v>
      </c>
      <c r="D255" s="22" t="s">
        <v>138</v>
      </c>
      <c r="E255" s="22" t="s">
        <v>139</v>
      </c>
      <c r="F255" s="22" t="s">
        <v>102</v>
      </c>
      <c r="G255" s="23" t="n">
        <v>44925</v>
      </c>
      <c r="H255" s="24" t="n">
        <f aca="false">IF(G255="","",ROUND((Config!$C$4-G255)/365.25,2))</f>
        <v>3.75</v>
      </c>
      <c r="I255" s="25" t="str">
        <f aca="false">IF(H255="","",IF(H255&lt;=1,"Tramo 1",IF(H255&lt;=3,"Tramo 2",IF(H255&lt;=5,"Tramo 3","Tramo 4"))))</f>
        <v>Tramo 3</v>
      </c>
      <c r="J255" s="22" t="s">
        <v>140</v>
      </c>
      <c r="K255" s="22"/>
      <c r="L255" s="22" t="s">
        <v>1263</v>
      </c>
      <c r="M255" s="26" t="s">
        <v>1264</v>
      </c>
      <c r="N255" s="22"/>
      <c r="O255" s="22" t="s">
        <v>63</v>
      </c>
      <c r="P255" s="25" t="str">
        <f aca="false">IF(OR(O255="",O255="Sin información"),"",IFERROR(INDEX(Listas!$B$2:$B$9,MATCH(O255,Listas!$A$2:$A$9,0)),""))</f>
        <v/>
      </c>
      <c r="Q255" s="25" t="str">
        <f aca="false">IF(OR(O255="",O255="Sin información"),"",IFERROR(INDEX(Listas!$C$2:$C$9,MATCH(O255,Listas!$A$2:$A$9,0)),""))</f>
        <v/>
      </c>
      <c r="R255" s="22"/>
      <c r="S255" s="22"/>
      <c r="T255" s="25" t="str">
        <f aca="false">IF(S255="","",IFERROR(INDEX(Empleadores!$B$2:$B$601,MATCH(S255,Empleadores!$A$2:$A$601,0)),"No encontrado"))</f>
        <v/>
      </c>
      <c r="U255" s="25" t="str">
        <f aca="false">IF(C255="","",IF(V255="","No",IF(Config!$C$4-V255&lt;=Config!$C$15,"Sí","No")))</f>
        <v>No</v>
      </c>
      <c r="V255" s="23"/>
      <c r="W255" s="22"/>
      <c r="X255" s="22"/>
      <c r="Y255" s="22"/>
      <c r="Z255" s="27"/>
      <c r="AA255" s="22"/>
      <c r="AB255" s="22"/>
    </row>
    <row r="256" customFormat="false" ht="15" hidden="false" customHeight="false" outlineLevel="0" collapsed="false">
      <c r="A256" s="22" t="n">
        <v>255</v>
      </c>
      <c r="B256" s="22" t="s">
        <v>1265</v>
      </c>
      <c r="C256" s="22" t="s">
        <v>1266</v>
      </c>
      <c r="D256" s="22" t="s">
        <v>138</v>
      </c>
      <c r="E256" s="22" t="s">
        <v>139</v>
      </c>
      <c r="F256" s="22" t="s">
        <v>102</v>
      </c>
      <c r="G256" s="23" t="n">
        <v>44925</v>
      </c>
      <c r="H256" s="24" t="n">
        <f aca="false">IF(G256="","",ROUND((Config!$C$4-G256)/365.25,2))</f>
        <v>3.75</v>
      </c>
      <c r="I256" s="25" t="str">
        <f aca="false">IF(H256="","",IF(H256&lt;=1,"Tramo 1",IF(H256&lt;=3,"Tramo 2",IF(H256&lt;=5,"Tramo 3","Tramo 4"))))</f>
        <v>Tramo 3</v>
      </c>
      <c r="J256" s="22" t="s">
        <v>140</v>
      </c>
      <c r="K256" s="22"/>
      <c r="L256" s="22" t="s">
        <v>1267</v>
      </c>
      <c r="M256" s="26" t="s">
        <v>1268</v>
      </c>
      <c r="N256" s="22"/>
      <c r="O256" s="22" t="s">
        <v>63</v>
      </c>
      <c r="P256" s="25" t="str">
        <f aca="false">IF(OR(O256="",O256="Sin información"),"",IFERROR(INDEX(Listas!$B$2:$B$9,MATCH(O256,Listas!$A$2:$A$9,0)),""))</f>
        <v/>
      </c>
      <c r="Q256" s="25" t="str">
        <f aca="false">IF(OR(O256="",O256="Sin información"),"",IFERROR(INDEX(Listas!$C$2:$C$9,MATCH(O256,Listas!$A$2:$A$9,0)),""))</f>
        <v/>
      </c>
      <c r="R256" s="22"/>
      <c r="S256" s="22"/>
      <c r="T256" s="25" t="str">
        <f aca="false">IF(S256="","",IFERROR(INDEX(Empleadores!$B$2:$B$601,MATCH(S256,Empleadores!$A$2:$A$601,0)),"No encontrado"))</f>
        <v/>
      </c>
      <c r="U256" s="25" t="str">
        <f aca="false">IF(C256="","",IF(V256="","No",IF(Config!$C$4-V256&lt;=Config!$C$15,"Sí","No")))</f>
        <v>No</v>
      </c>
      <c r="V256" s="23"/>
      <c r="W256" s="22"/>
      <c r="X256" s="22"/>
      <c r="Y256" s="22"/>
      <c r="Z256" s="27"/>
      <c r="AA256" s="22"/>
      <c r="AB256" s="22"/>
    </row>
    <row r="257" customFormat="false" ht="15" hidden="false" customHeight="false" outlineLevel="0" collapsed="false">
      <c r="A257" s="22" t="n">
        <v>256</v>
      </c>
      <c r="B257" s="22" t="s">
        <v>1269</v>
      </c>
      <c r="C257" s="22" t="s">
        <v>1270</v>
      </c>
      <c r="D257" s="22" t="s">
        <v>149</v>
      </c>
      <c r="E257" s="22" t="s">
        <v>139</v>
      </c>
      <c r="F257" s="22" t="s">
        <v>102</v>
      </c>
      <c r="G257" s="23" t="n">
        <v>44925</v>
      </c>
      <c r="H257" s="24" t="n">
        <f aca="false">IF(G257="","",ROUND((Config!$C$4-G257)/365.25,2))</f>
        <v>3.75</v>
      </c>
      <c r="I257" s="25" t="str">
        <f aca="false">IF(H257="","",IF(H257&lt;=1,"Tramo 1",IF(H257&lt;=3,"Tramo 2",IF(H257&lt;=5,"Tramo 3","Tramo 4"))))</f>
        <v>Tramo 3</v>
      </c>
      <c r="J257" s="22" t="s">
        <v>140</v>
      </c>
      <c r="K257" s="22"/>
      <c r="L257" s="22" t="s">
        <v>1271</v>
      </c>
      <c r="M257" s="26" t="s">
        <v>1272</v>
      </c>
      <c r="N257" s="22"/>
      <c r="O257" s="22" t="s">
        <v>63</v>
      </c>
      <c r="P257" s="25" t="str">
        <f aca="false">IF(OR(O257="",O257="Sin información"),"",IFERROR(INDEX(Listas!$B$2:$B$9,MATCH(O257,Listas!$A$2:$A$9,0)),""))</f>
        <v/>
      </c>
      <c r="Q257" s="25" t="str">
        <f aca="false">IF(OR(O257="",O257="Sin información"),"",IFERROR(INDEX(Listas!$C$2:$C$9,MATCH(O257,Listas!$A$2:$A$9,0)),""))</f>
        <v/>
      </c>
      <c r="R257" s="22"/>
      <c r="S257" s="22"/>
      <c r="T257" s="25" t="str">
        <f aca="false">IF(S257="","",IFERROR(INDEX(Empleadores!$B$2:$B$601,MATCH(S257,Empleadores!$A$2:$A$601,0)),"No encontrado"))</f>
        <v/>
      </c>
      <c r="U257" s="25" t="str">
        <f aca="false">IF(C257="","",IF(V257="","No",IF(Config!$C$4-V257&lt;=Config!$C$15,"Sí","No")))</f>
        <v>No</v>
      </c>
      <c r="V257" s="23"/>
      <c r="W257" s="22"/>
      <c r="X257" s="22"/>
      <c r="Y257" s="22"/>
      <c r="Z257" s="27"/>
      <c r="AA257" s="22"/>
      <c r="AB257" s="22"/>
    </row>
    <row r="258" customFormat="false" ht="15" hidden="false" customHeight="false" outlineLevel="0" collapsed="false">
      <c r="A258" s="22" t="n">
        <v>257</v>
      </c>
      <c r="B258" s="22" t="s">
        <v>1273</v>
      </c>
      <c r="C258" s="22" t="s">
        <v>1274</v>
      </c>
      <c r="D258" s="22" t="s">
        <v>138</v>
      </c>
      <c r="E258" s="22" t="s">
        <v>139</v>
      </c>
      <c r="F258" s="22" t="s">
        <v>102</v>
      </c>
      <c r="G258" s="23" t="n">
        <v>44925</v>
      </c>
      <c r="H258" s="24" t="n">
        <f aca="false">IF(G258="","",ROUND((Config!$C$4-G258)/365.25,2))</f>
        <v>3.75</v>
      </c>
      <c r="I258" s="25" t="str">
        <f aca="false">IF(H258="","",IF(H258&lt;=1,"Tramo 1",IF(H258&lt;=3,"Tramo 2",IF(H258&lt;=5,"Tramo 3","Tramo 4"))))</f>
        <v>Tramo 3</v>
      </c>
      <c r="J258" s="22" t="s">
        <v>140</v>
      </c>
      <c r="K258" s="22"/>
      <c r="L258" s="22" t="s">
        <v>1275</v>
      </c>
      <c r="M258" s="26" t="s">
        <v>1276</v>
      </c>
      <c r="N258" s="22"/>
      <c r="O258" s="22" t="s">
        <v>63</v>
      </c>
      <c r="P258" s="25" t="str">
        <f aca="false">IF(OR(O258="",O258="Sin información"),"",IFERROR(INDEX(Listas!$B$2:$B$9,MATCH(O258,Listas!$A$2:$A$9,0)),""))</f>
        <v/>
      </c>
      <c r="Q258" s="25" t="str">
        <f aca="false">IF(OR(O258="",O258="Sin información"),"",IFERROR(INDEX(Listas!$C$2:$C$9,MATCH(O258,Listas!$A$2:$A$9,0)),""))</f>
        <v/>
      </c>
      <c r="R258" s="22"/>
      <c r="S258" s="22"/>
      <c r="T258" s="25" t="str">
        <f aca="false">IF(S258="","",IFERROR(INDEX(Empleadores!$B$2:$B$601,MATCH(S258,Empleadores!$A$2:$A$601,0)),"No encontrado"))</f>
        <v/>
      </c>
      <c r="U258" s="25" t="str">
        <f aca="false">IF(C258="","",IF(V258="","No",IF(Config!$C$4-V258&lt;=Config!$C$15,"Sí","No")))</f>
        <v>No</v>
      </c>
      <c r="V258" s="23"/>
      <c r="W258" s="22"/>
      <c r="X258" s="22"/>
      <c r="Y258" s="22"/>
      <c r="Z258" s="27"/>
      <c r="AA258" s="22"/>
      <c r="AB258" s="22"/>
    </row>
    <row r="259" customFormat="false" ht="15" hidden="false" customHeight="false" outlineLevel="0" collapsed="false">
      <c r="A259" s="22" t="n">
        <v>258</v>
      </c>
      <c r="B259" s="22" t="s">
        <v>1277</v>
      </c>
      <c r="C259" s="22" t="s">
        <v>1278</v>
      </c>
      <c r="D259" s="22" t="s">
        <v>149</v>
      </c>
      <c r="E259" s="22" t="s">
        <v>139</v>
      </c>
      <c r="F259" s="22" t="s">
        <v>102</v>
      </c>
      <c r="G259" s="23" t="n">
        <v>44925</v>
      </c>
      <c r="H259" s="24" t="n">
        <f aca="false">IF(G259="","",ROUND((Config!$C$4-G259)/365.25,2))</f>
        <v>3.75</v>
      </c>
      <c r="I259" s="25" t="str">
        <f aca="false">IF(H259="","",IF(H259&lt;=1,"Tramo 1",IF(H259&lt;=3,"Tramo 2",IF(H259&lt;=5,"Tramo 3","Tramo 4"))))</f>
        <v>Tramo 3</v>
      </c>
      <c r="J259" s="22" t="s">
        <v>140</v>
      </c>
      <c r="K259" s="22"/>
      <c r="L259" s="22" t="s">
        <v>1279</v>
      </c>
      <c r="M259" s="26" t="s">
        <v>1280</v>
      </c>
      <c r="N259" s="22"/>
      <c r="O259" s="22" t="s">
        <v>63</v>
      </c>
      <c r="P259" s="25" t="str">
        <f aca="false">IF(OR(O259="",O259="Sin información"),"",IFERROR(INDEX(Listas!$B$2:$B$9,MATCH(O259,Listas!$A$2:$A$9,0)),""))</f>
        <v/>
      </c>
      <c r="Q259" s="25" t="str">
        <f aca="false">IF(OR(O259="",O259="Sin información"),"",IFERROR(INDEX(Listas!$C$2:$C$9,MATCH(O259,Listas!$A$2:$A$9,0)),""))</f>
        <v/>
      </c>
      <c r="R259" s="22"/>
      <c r="S259" s="22"/>
      <c r="T259" s="25" t="str">
        <f aca="false">IF(S259="","",IFERROR(INDEX(Empleadores!$B$2:$B$601,MATCH(S259,Empleadores!$A$2:$A$601,0)),"No encontrado"))</f>
        <v/>
      </c>
      <c r="U259" s="25" t="str">
        <f aca="false">IF(C259="","",IF(V259="","No",IF(Config!$C$4-V259&lt;=Config!$C$15,"Sí","No")))</f>
        <v>No</v>
      </c>
      <c r="V259" s="23"/>
      <c r="W259" s="22"/>
      <c r="X259" s="22"/>
      <c r="Y259" s="22"/>
      <c r="Z259" s="27"/>
      <c r="AA259" s="22"/>
      <c r="AB259" s="22"/>
    </row>
    <row r="260" customFormat="false" ht="15" hidden="false" customHeight="false" outlineLevel="0" collapsed="false">
      <c r="A260" s="22" t="n">
        <v>259</v>
      </c>
      <c r="B260" s="22" t="s">
        <v>1281</v>
      </c>
      <c r="C260" s="22" t="s">
        <v>1282</v>
      </c>
      <c r="D260" s="22" t="s">
        <v>138</v>
      </c>
      <c r="E260" s="22" t="s">
        <v>139</v>
      </c>
      <c r="F260" s="22" t="s">
        <v>102</v>
      </c>
      <c r="G260" s="23" t="n">
        <v>44925</v>
      </c>
      <c r="H260" s="24" t="n">
        <f aca="false">IF(G260="","",ROUND((Config!$C$4-G260)/365.25,2))</f>
        <v>3.75</v>
      </c>
      <c r="I260" s="25" t="str">
        <f aca="false">IF(H260="","",IF(H260&lt;=1,"Tramo 1",IF(H260&lt;=3,"Tramo 2",IF(H260&lt;=5,"Tramo 3","Tramo 4"))))</f>
        <v>Tramo 3</v>
      </c>
      <c r="J260" s="22" t="s">
        <v>140</v>
      </c>
      <c r="K260" s="22"/>
      <c r="L260" s="22" t="s">
        <v>1283</v>
      </c>
      <c r="M260" s="26" t="s">
        <v>1284</v>
      </c>
      <c r="N260" s="22"/>
      <c r="O260" s="22" t="s">
        <v>63</v>
      </c>
      <c r="P260" s="25" t="str">
        <f aca="false">IF(OR(O260="",O260="Sin información"),"",IFERROR(INDEX(Listas!$B$2:$B$9,MATCH(O260,Listas!$A$2:$A$9,0)),""))</f>
        <v/>
      </c>
      <c r="Q260" s="25" t="str">
        <f aca="false">IF(OR(O260="",O260="Sin información"),"",IFERROR(INDEX(Listas!$C$2:$C$9,MATCH(O260,Listas!$A$2:$A$9,0)),""))</f>
        <v/>
      </c>
      <c r="R260" s="22"/>
      <c r="S260" s="22"/>
      <c r="T260" s="25" t="str">
        <f aca="false">IF(S260="","",IFERROR(INDEX(Empleadores!$B$2:$B$601,MATCH(S260,Empleadores!$A$2:$A$601,0)),"No encontrado"))</f>
        <v/>
      </c>
      <c r="U260" s="25" t="str">
        <f aca="false">IF(C260="","",IF(V260="","No",IF(Config!$C$4-V260&lt;=Config!$C$15,"Sí","No")))</f>
        <v>No</v>
      </c>
      <c r="V260" s="23"/>
      <c r="W260" s="22"/>
      <c r="X260" s="22"/>
      <c r="Y260" s="22"/>
      <c r="Z260" s="27"/>
      <c r="AA260" s="22"/>
      <c r="AB260" s="22"/>
    </row>
    <row r="261" customFormat="false" ht="15" hidden="false" customHeight="false" outlineLevel="0" collapsed="false">
      <c r="A261" s="22" t="n">
        <v>260</v>
      </c>
      <c r="B261" s="22" t="s">
        <v>1285</v>
      </c>
      <c r="C261" s="22" t="s">
        <v>1286</v>
      </c>
      <c r="D261" s="22" t="s">
        <v>138</v>
      </c>
      <c r="E261" s="22" t="s">
        <v>139</v>
      </c>
      <c r="F261" s="22" t="s">
        <v>102</v>
      </c>
      <c r="G261" s="23" t="n">
        <v>44925</v>
      </c>
      <c r="H261" s="24" t="n">
        <f aca="false">IF(G261="","",ROUND((Config!$C$4-G261)/365.25,2))</f>
        <v>3.75</v>
      </c>
      <c r="I261" s="25" t="str">
        <f aca="false">IF(H261="","",IF(H261&lt;=1,"Tramo 1",IF(H261&lt;=3,"Tramo 2",IF(H261&lt;=5,"Tramo 3","Tramo 4"))))</f>
        <v>Tramo 3</v>
      </c>
      <c r="J261" s="22" t="s">
        <v>140</v>
      </c>
      <c r="K261" s="22"/>
      <c r="L261" s="22" t="s">
        <v>1287</v>
      </c>
      <c r="M261" s="26" t="s">
        <v>1288</v>
      </c>
      <c r="N261" s="22"/>
      <c r="O261" s="22" t="s">
        <v>63</v>
      </c>
      <c r="P261" s="25" t="str">
        <f aca="false">IF(OR(O261="",O261="Sin información"),"",IFERROR(INDEX(Listas!$B$2:$B$9,MATCH(O261,Listas!$A$2:$A$9,0)),""))</f>
        <v/>
      </c>
      <c r="Q261" s="25" t="str">
        <f aca="false">IF(OR(O261="",O261="Sin información"),"",IFERROR(INDEX(Listas!$C$2:$C$9,MATCH(O261,Listas!$A$2:$A$9,0)),""))</f>
        <v/>
      </c>
      <c r="R261" s="22"/>
      <c r="S261" s="22"/>
      <c r="T261" s="25" t="str">
        <f aca="false">IF(S261="","",IFERROR(INDEX(Empleadores!$B$2:$B$601,MATCH(S261,Empleadores!$A$2:$A$601,0)),"No encontrado"))</f>
        <v/>
      </c>
      <c r="U261" s="25" t="str">
        <f aca="false">IF(C261="","",IF(V261="","No",IF(Config!$C$4-V261&lt;=Config!$C$15,"Sí","No")))</f>
        <v>No</v>
      </c>
      <c r="V261" s="23"/>
      <c r="W261" s="22"/>
      <c r="X261" s="22"/>
      <c r="Y261" s="22"/>
      <c r="Z261" s="27"/>
      <c r="AA261" s="22"/>
      <c r="AB261" s="22"/>
    </row>
    <row r="262" customFormat="false" ht="15" hidden="false" customHeight="false" outlineLevel="0" collapsed="false">
      <c r="A262" s="22" t="n">
        <v>261</v>
      </c>
      <c r="B262" s="22" t="s">
        <v>1289</v>
      </c>
      <c r="C262" s="22" t="s">
        <v>1290</v>
      </c>
      <c r="D262" s="22" t="s">
        <v>149</v>
      </c>
      <c r="E262" s="22" t="s">
        <v>139</v>
      </c>
      <c r="F262" s="22" t="s">
        <v>102</v>
      </c>
      <c r="G262" s="23" t="n">
        <v>44925</v>
      </c>
      <c r="H262" s="24" t="n">
        <f aca="false">IF(G262="","",ROUND((Config!$C$4-G262)/365.25,2))</f>
        <v>3.75</v>
      </c>
      <c r="I262" s="25" t="str">
        <f aca="false">IF(H262="","",IF(H262&lt;=1,"Tramo 1",IF(H262&lt;=3,"Tramo 2",IF(H262&lt;=5,"Tramo 3","Tramo 4"))))</f>
        <v>Tramo 3</v>
      </c>
      <c r="J262" s="22" t="s">
        <v>140</v>
      </c>
      <c r="K262" s="22"/>
      <c r="L262" s="22" t="s">
        <v>1291</v>
      </c>
      <c r="M262" s="26" t="s">
        <v>1292</v>
      </c>
      <c r="N262" s="22"/>
      <c r="O262" s="22" t="s">
        <v>63</v>
      </c>
      <c r="P262" s="25" t="str">
        <f aca="false">IF(OR(O262="",O262="Sin información"),"",IFERROR(INDEX(Listas!$B$2:$B$9,MATCH(O262,Listas!$A$2:$A$9,0)),""))</f>
        <v/>
      </c>
      <c r="Q262" s="25" t="str">
        <f aca="false">IF(OR(O262="",O262="Sin información"),"",IFERROR(INDEX(Listas!$C$2:$C$9,MATCH(O262,Listas!$A$2:$A$9,0)),""))</f>
        <v/>
      </c>
      <c r="R262" s="22"/>
      <c r="S262" s="22"/>
      <c r="T262" s="25" t="str">
        <f aca="false">IF(S262="","",IFERROR(INDEX(Empleadores!$B$2:$B$601,MATCH(S262,Empleadores!$A$2:$A$601,0)),"No encontrado"))</f>
        <v/>
      </c>
      <c r="U262" s="25" t="str">
        <f aca="false">IF(C262="","",IF(V262="","No",IF(Config!$C$4-V262&lt;=Config!$C$15,"Sí","No")))</f>
        <v>No</v>
      </c>
      <c r="V262" s="23"/>
      <c r="W262" s="22"/>
      <c r="X262" s="22"/>
      <c r="Y262" s="22"/>
      <c r="Z262" s="27"/>
      <c r="AA262" s="22"/>
      <c r="AB262" s="22"/>
    </row>
    <row r="263" customFormat="false" ht="15" hidden="false" customHeight="false" outlineLevel="0" collapsed="false">
      <c r="A263" s="22" t="n">
        <v>262</v>
      </c>
      <c r="B263" s="22" t="s">
        <v>1293</v>
      </c>
      <c r="C263" s="22" t="s">
        <v>1294</v>
      </c>
      <c r="D263" s="22" t="s">
        <v>149</v>
      </c>
      <c r="E263" s="22" t="s">
        <v>139</v>
      </c>
      <c r="F263" s="22" t="s">
        <v>102</v>
      </c>
      <c r="G263" s="23" t="n">
        <v>44925</v>
      </c>
      <c r="H263" s="24" t="n">
        <f aca="false">IF(G263="","",ROUND((Config!$C$4-G263)/365.25,2))</f>
        <v>3.75</v>
      </c>
      <c r="I263" s="25" t="str">
        <f aca="false">IF(H263="","",IF(H263&lt;=1,"Tramo 1",IF(H263&lt;=3,"Tramo 2",IF(H263&lt;=5,"Tramo 3","Tramo 4"))))</f>
        <v>Tramo 3</v>
      </c>
      <c r="J263" s="22" t="s">
        <v>140</v>
      </c>
      <c r="K263" s="22"/>
      <c r="L263" s="22" t="s">
        <v>1295</v>
      </c>
      <c r="M263" s="26" t="s">
        <v>1296</v>
      </c>
      <c r="N263" s="22"/>
      <c r="O263" s="22" t="s">
        <v>63</v>
      </c>
      <c r="P263" s="25" t="str">
        <f aca="false">IF(OR(O263="",O263="Sin información"),"",IFERROR(INDEX(Listas!$B$2:$B$9,MATCH(O263,Listas!$A$2:$A$9,0)),""))</f>
        <v/>
      </c>
      <c r="Q263" s="25" t="str">
        <f aca="false">IF(OR(O263="",O263="Sin información"),"",IFERROR(INDEX(Listas!$C$2:$C$9,MATCH(O263,Listas!$A$2:$A$9,0)),""))</f>
        <v/>
      </c>
      <c r="R263" s="22"/>
      <c r="S263" s="22"/>
      <c r="T263" s="25" t="str">
        <f aca="false">IF(S263="","",IFERROR(INDEX(Empleadores!$B$2:$B$601,MATCH(S263,Empleadores!$A$2:$A$601,0)),"No encontrado"))</f>
        <v/>
      </c>
      <c r="U263" s="25" t="str">
        <f aca="false">IF(C263="","",IF(V263="","No",IF(Config!$C$4-V263&lt;=Config!$C$15,"Sí","No")))</f>
        <v>No</v>
      </c>
      <c r="V263" s="23"/>
      <c r="W263" s="22"/>
      <c r="X263" s="22"/>
      <c r="Y263" s="22"/>
      <c r="Z263" s="27"/>
      <c r="AA263" s="22"/>
      <c r="AB263" s="22"/>
    </row>
    <row r="264" customFormat="false" ht="15" hidden="false" customHeight="false" outlineLevel="0" collapsed="false">
      <c r="A264" s="22" t="n">
        <v>263</v>
      </c>
      <c r="B264" s="22" t="s">
        <v>1297</v>
      </c>
      <c r="C264" s="22" t="s">
        <v>1298</v>
      </c>
      <c r="D264" s="22" t="s">
        <v>138</v>
      </c>
      <c r="E264" s="22" t="s">
        <v>139</v>
      </c>
      <c r="F264" s="22" t="s">
        <v>102</v>
      </c>
      <c r="G264" s="23" t="n">
        <v>44925</v>
      </c>
      <c r="H264" s="24" t="n">
        <f aca="false">IF(G264="","",ROUND((Config!$C$4-G264)/365.25,2))</f>
        <v>3.75</v>
      </c>
      <c r="I264" s="25" t="str">
        <f aca="false">IF(H264="","",IF(H264&lt;=1,"Tramo 1",IF(H264&lt;=3,"Tramo 2",IF(H264&lt;=5,"Tramo 3","Tramo 4"))))</f>
        <v>Tramo 3</v>
      </c>
      <c r="J264" s="22" t="s">
        <v>140</v>
      </c>
      <c r="K264" s="22"/>
      <c r="L264" s="22" t="s">
        <v>1299</v>
      </c>
      <c r="M264" s="26" t="s">
        <v>1300</v>
      </c>
      <c r="N264" s="22"/>
      <c r="O264" s="22" t="s">
        <v>63</v>
      </c>
      <c r="P264" s="25" t="str">
        <f aca="false">IF(OR(O264="",O264="Sin información"),"",IFERROR(INDEX(Listas!$B$2:$B$9,MATCH(O264,Listas!$A$2:$A$9,0)),""))</f>
        <v/>
      </c>
      <c r="Q264" s="25" t="str">
        <f aca="false">IF(OR(O264="",O264="Sin información"),"",IFERROR(INDEX(Listas!$C$2:$C$9,MATCH(O264,Listas!$A$2:$A$9,0)),""))</f>
        <v/>
      </c>
      <c r="R264" s="22"/>
      <c r="S264" s="22"/>
      <c r="T264" s="25" t="str">
        <f aca="false">IF(S264="","",IFERROR(INDEX(Empleadores!$B$2:$B$601,MATCH(S264,Empleadores!$A$2:$A$601,0)),"No encontrado"))</f>
        <v/>
      </c>
      <c r="U264" s="25" t="str">
        <f aca="false">IF(C264="","",IF(V264="","No",IF(Config!$C$4-V264&lt;=Config!$C$15,"Sí","No")))</f>
        <v>No</v>
      </c>
      <c r="V264" s="23"/>
      <c r="W264" s="22"/>
      <c r="X264" s="22"/>
      <c r="Y264" s="22"/>
      <c r="Z264" s="27"/>
      <c r="AA264" s="22"/>
      <c r="AB264" s="22"/>
    </row>
    <row r="265" customFormat="false" ht="15" hidden="false" customHeight="false" outlineLevel="0" collapsed="false">
      <c r="A265" s="22" t="n">
        <v>264</v>
      </c>
      <c r="B265" s="22" t="s">
        <v>1301</v>
      </c>
      <c r="C265" s="22" t="s">
        <v>1302</v>
      </c>
      <c r="D265" s="22" t="s">
        <v>138</v>
      </c>
      <c r="E265" s="22" t="s">
        <v>139</v>
      </c>
      <c r="F265" s="22" t="s">
        <v>102</v>
      </c>
      <c r="G265" s="23" t="n">
        <v>44925</v>
      </c>
      <c r="H265" s="24" t="n">
        <f aca="false">IF(G265="","",ROUND((Config!$C$4-G265)/365.25,2))</f>
        <v>3.75</v>
      </c>
      <c r="I265" s="25" t="str">
        <f aca="false">IF(H265="","",IF(H265&lt;=1,"Tramo 1",IF(H265&lt;=3,"Tramo 2",IF(H265&lt;=5,"Tramo 3","Tramo 4"))))</f>
        <v>Tramo 3</v>
      </c>
      <c r="J265" s="22" t="s">
        <v>140</v>
      </c>
      <c r="K265" s="22"/>
      <c r="L265" s="22" t="s">
        <v>1303</v>
      </c>
      <c r="M265" s="26" t="s">
        <v>1304</v>
      </c>
      <c r="N265" s="22"/>
      <c r="O265" s="22" t="s">
        <v>63</v>
      </c>
      <c r="P265" s="25" t="str">
        <f aca="false">IF(OR(O265="",O265="Sin información"),"",IFERROR(INDEX(Listas!$B$2:$B$9,MATCH(O265,Listas!$A$2:$A$9,0)),""))</f>
        <v/>
      </c>
      <c r="Q265" s="25" t="str">
        <f aca="false">IF(OR(O265="",O265="Sin información"),"",IFERROR(INDEX(Listas!$C$2:$C$9,MATCH(O265,Listas!$A$2:$A$9,0)),""))</f>
        <v/>
      </c>
      <c r="R265" s="22"/>
      <c r="S265" s="22"/>
      <c r="T265" s="25" t="str">
        <f aca="false">IF(S265="","",IFERROR(INDEX(Empleadores!$B$2:$B$601,MATCH(S265,Empleadores!$A$2:$A$601,0)),"No encontrado"))</f>
        <v/>
      </c>
      <c r="U265" s="25" t="str">
        <f aca="false">IF(C265="","",IF(V265="","No",IF(Config!$C$4-V265&lt;=Config!$C$15,"Sí","No")))</f>
        <v>No</v>
      </c>
      <c r="V265" s="23"/>
      <c r="W265" s="22"/>
      <c r="X265" s="22"/>
      <c r="Y265" s="22"/>
      <c r="Z265" s="27"/>
      <c r="AA265" s="22"/>
      <c r="AB265" s="22"/>
    </row>
    <row r="266" customFormat="false" ht="15" hidden="false" customHeight="false" outlineLevel="0" collapsed="false">
      <c r="A266" s="22" t="n">
        <v>265</v>
      </c>
      <c r="B266" s="22" t="s">
        <v>1305</v>
      </c>
      <c r="C266" s="22" t="s">
        <v>1306</v>
      </c>
      <c r="D266" s="22" t="s">
        <v>138</v>
      </c>
      <c r="E266" s="22" t="s">
        <v>139</v>
      </c>
      <c r="F266" s="22" t="s">
        <v>102</v>
      </c>
      <c r="G266" s="23" t="n">
        <v>44925</v>
      </c>
      <c r="H266" s="24" t="n">
        <f aca="false">IF(G266="","",ROUND((Config!$C$4-G266)/365.25,2))</f>
        <v>3.75</v>
      </c>
      <c r="I266" s="25" t="str">
        <f aca="false">IF(H266="","",IF(H266&lt;=1,"Tramo 1",IF(H266&lt;=3,"Tramo 2",IF(H266&lt;=5,"Tramo 3","Tramo 4"))))</f>
        <v>Tramo 3</v>
      </c>
      <c r="J266" s="22" t="s">
        <v>140</v>
      </c>
      <c r="K266" s="22"/>
      <c r="L266" s="22" t="s">
        <v>1307</v>
      </c>
      <c r="M266" s="26" t="s">
        <v>1308</v>
      </c>
      <c r="N266" s="22"/>
      <c r="O266" s="22" t="s">
        <v>63</v>
      </c>
      <c r="P266" s="25" t="str">
        <f aca="false">IF(OR(O266="",O266="Sin información"),"",IFERROR(INDEX(Listas!$B$2:$B$9,MATCH(O266,Listas!$A$2:$A$9,0)),""))</f>
        <v/>
      </c>
      <c r="Q266" s="25" t="str">
        <f aca="false">IF(OR(O266="",O266="Sin información"),"",IFERROR(INDEX(Listas!$C$2:$C$9,MATCH(O266,Listas!$A$2:$A$9,0)),""))</f>
        <v/>
      </c>
      <c r="R266" s="22"/>
      <c r="S266" s="22"/>
      <c r="T266" s="25" t="str">
        <f aca="false">IF(S266="","",IFERROR(INDEX(Empleadores!$B$2:$B$601,MATCH(S266,Empleadores!$A$2:$A$601,0)),"No encontrado"))</f>
        <v/>
      </c>
      <c r="U266" s="25" t="str">
        <f aca="false">IF(C266="","",IF(V266="","No",IF(Config!$C$4-V266&lt;=Config!$C$15,"Sí","No")))</f>
        <v>No</v>
      </c>
      <c r="V266" s="23"/>
      <c r="W266" s="22"/>
      <c r="X266" s="22"/>
      <c r="Y266" s="22"/>
      <c r="Z266" s="27"/>
      <c r="AA266" s="22"/>
      <c r="AB266" s="22"/>
    </row>
    <row r="267" customFormat="false" ht="15" hidden="false" customHeight="false" outlineLevel="0" collapsed="false">
      <c r="A267" s="22" t="n">
        <v>266</v>
      </c>
      <c r="B267" s="22" t="s">
        <v>1309</v>
      </c>
      <c r="C267" s="22" t="s">
        <v>1310</v>
      </c>
      <c r="D267" s="22" t="s">
        <v>149</v>
      </c>
      <c r="E267" s="22" t="s">
        <v>139</v>
      </c>
      <c r="F267" s="22" t="s">
        <v>102</v>
      </c>
      <c r="G267" s="23" t="n">
        <v>44925</v>
      </c>
      <c r="H267" s="24" t="n">
        <f aca="false">IF(G267="","",ROUND((Config!$C$4-G267)/365.25,2))</f>
        <v>3.75</v>
      </c>
      <c r="I267" s="25" t="str">
        <f aca="false">IF(H267="","",IF(H267&lt;=1,"Tramo 1",IF(H267&lt;=3,"Tramo 2",IF(H267&lt;=5,"Tramo 3","Tramo 4"))))</f>
        <v>Tramo 3</v>
      </c>
      <c r="J267" s="22" t="s">
        <v>140</v>
      </c>
      <c r="K267" s="22"/>
      <c r="L267" s="22" t="s">
        <v>1311</v>
      </c>
      <c r="M267" s="26" t="s">
        <v>1312</v>
      </c>
      <c r="N267" s="22"/>
      <c r="O267" s="22" t="s">
        <v>63</v>
      </c>
      <c r="P267" s="25" t="str">
        <f aca="false">IF(OR(O267="",O267="Sin información"),"",IFERROR(INDEX(Listas!$B$2:$B$9,MATCH(O267,Listas!$A$2:$A$9,0)),""))</f>
        <v/>
      </c>
      <c r="Q267" s="25" t="str">
        <f aca="false">IF(OR(O267="",O267="Sin información"),"",IFERROR(INDEX(Listas!$C$2:$C$9,MATCH(O267,Listas!$A$2:$A$9,0)),""))</f>
        <v/>
      </c>
      <c r="R267" s="22"/>
      <c r="S267" s="22"/>
      <c r="T267" s="25" t="str">
        <f aca="false">IF(S267="","",IFERROR(INDEX(Empleadores!$B$2:$B$601,MATCH(S267,Empleadores!$A$2:$A$601,0)),"No encontrado"))</f>
        <v/>
      </c>
      <c r="U267" s="25" t="str">
        <f aca="false">IF(C267="","",IF(V267="","No",IF(Config!$C$4-V267&lt;=Config!$C$15,"Sí","No")))</f>
        <v>No</v>
      </c>
      <c r="V267" s="23"/>
      <c r="W267" s="22"/>
      <c r="X267" s="22"/>
      <c r="Y267" s="22"/>
      <c r="Z267" s="27"/>
      <c r="AA267" s="22"/>
      <c r="AB267" s="22"/>
    </row>
    <row r="268" customFormat="false" ht="15" hidden="false" customHeight="false" outlineLevel="0" collapsed="false">
      <c r="A268" s="22" t="n">
        <v>267</v>
      </c>
      <c r="B268" s="22" t="s">
        <v>1313</v>
      </c>
      <c r="C268" s="22" t="s">
        <v>1314</v>
      </c>
      <c r="D268" s="22" t="s">
        <v>138</v>
      </c>
      <c r="E268" s="22" t="s">
        <v>139</v>
      </c>
      <c r="F268" s="22" t="s">
        <v>102</v>
      </c>
      <c r="G268" s="23" t="n">
        <v>44925</v>
      </c>
      <c r="H268" s="24" t="n">
        <f aca="false">IF(G268="","",ROUND((Config!$C$4-G268)/365.25,2))</f>
        <v>3.75</v>
      </c>
      <c r="I268" s="25" t="str">
        <f aca="false">IF(H268="","",IF(H268&lt;=1,"Tramo 1",IF(H268&lt;=3,"Tramo 2",IF(H268&lt;=5,"Tramo 3","Tramo 4"))))</f>
        <v>Tramo 3</v>
      </c>
      <c r="J268" s="22" t="s">
        <v>140</v>
      </c>
      <c r="K268" s="22"/>
      <c r="L268" s="22" t="s">
        <v>1315</v>
      </c>
      <c r="M268" s="26" t="s">
        <v>1316</v>
      </c>
      <c r="N268" s="22"/>
      <c r="O268" s="22" t="s">
        <v>63</v>
      </c>
      <c r="P268" s="25" t="str">
        <f aca="false">IF(OR(O268="",O268="Sin información"),"",IFERROR(INDEX(Listas!$B$2:$B$9,MATCH(O268,Listas!$A$2:$A$9,0)),""))</f>
        <v/>
      </c>
      <c r="Q268" s="25" t="str">
        <f aca="false">IF(OR(O268="",O268="Sin información"),"",IFERROR(INDEX(Listas!$C$2:$C$9,MATCH(O268,Listas!$A$2:$A$9,0)),""))</f>
        <v/>
      </c>
      <c r="R268" s="22"/>
      <c r="S268" s="22"/>
      <c r="T268" s="25" t="str">
        <f aca="false">IF(S268="","",IFERROR(INDEX(Empleadores!$B$2:$B$601,MATCH(S268,Empleadores!$A$2:$A$601,0)),"No encontrado"))</f>
        <v/>
      </c>
      <c r="U268" s="25" t="str">
        <f aca="false">IF(C268="","",IF(V268="","No",IF(Config!$C$4-V268&lt;=Config!$C$15,"Sí","No")))</f>
        <v>No</v>
      </c>
      <c r="V268" s="23"/>
      <c r="W268" s="22"/>
      <c r="X268" s="22"/>
      <c r="Y268" s="22"/>
      <c r="Z268" s="27"/>
      <c r="AA268" s="22"/>
      <c r="AB268" s="22"/>
    </row>
    <row r="269" customFormat="false" ht="15" hidden="false" customHeight="false" outlineLevel="0" collapsed="false">
      <c r="A269" s="22" t="n">
        <v>268</v>
      </c>
      <c r="B269" s="22" t="s">
        <v>1317</v>
      </c>
      <c r="C269" s="22" t="s">
        <v>1318</v>
      </c>
      <c r="D269" s="22" t="s">
        <v>149</v>
      </c>
      <c r="E269" s="22" t="s">
        <v>139</v>
      </c>
      <c r="F269" s="22" t="s">
        <v>102</v>
      </c>
      <c r="G269" s="23" t="n">
        <v>44925</v>
      </c>
      <c r="H269" s="24" t="n">
        <f aca="false">IF(G269="","",ROUND((Config!$C$4-G269)/365.25,2))</f>
        <v>3.75</v>
      </c>
      <c r="I269" s="25" t="str">
        <f aca="false">IF(H269="","",IF(H269&lt;=1,"Tramo 1",IF(H269&lt;=3,"Tramo 2",IF(H269&lt;=5,"Tramo 3","Tramo 4"))))</f>
        <v>Tramo 3</v>
      </c>
      <c r="J269" s="22" t="s">
        <v>140</v>
      </c>
      <c r="K269" s="22"/>
      <c r="L269" s="22" t="s">
        <v>1319</v>
      </c>
      <c r="M269" s="26" t="s">
        <v>1320</v>
      </c>
      <c r="N269" s="22"/>
      <c r="O269" s="22" t="s">
        <v>63</v>
      </c>
      <c r="P269" s="25" t="str">
        <f aca="false">IF(OR(O269="",O269="Sin información"),"",IFERROR(INDEX(Listas!$B$2:$B$9,MATCH(O269,Listas!$A$2:$A$9,0)),""))</f>
        <v/>
      </c>
      <c r="Q269" s="25" t="str">
        <f aca="false">IF(OR(O269="",O269="Sin información"),"",IFERROR(INDEX(Listas!$C$2:$C$9,MATCH(O269,Listas!$A$2:$A$9,0)),""))</f>
        <v/>
      </c>
      <c r="R269" s="22"/>
      <c r="S269" s="22"/>
      <c r="T269" s="25" t="str">
        <f aca="false">IF(S269="","",IFERROR(INDEX(Empleadores!$B$2:$B$601,MATCH(S269,Empleadores!$A$2:$A$601,0)),"No encontrado"))</f>
        <v/>
      </c>
      <c r="U269" s="25" t="str">
        <f aca="false">IF(C269="","",IF(V269="","No",IF(Config!$C$4-V269&lt;=Config!$C$15,"Sí","No")))</f>
        <v>No</v>
      </c>
      <c r="V269" s="23"/>
      <c r="W269" s="22"/>
      <c r="X269" s="22"/>
      <c r="Y269" s="22"/>
      <c r="Z269" s="27"/>
      <c r="AA269" s="22"/>
      <c r="AB269" s="22"/>
    </row>
    <row r="270" customFormat="false" ht="15" hidden="false" customHeight="false" outlineLevel="0" collapsed="false">
      <c r="A270" s="22" t="n">
        <v>269</v>
      </c>
      <c r="B270" s="22" t="s">
        <v>1321</v>
      </c>
      <c r="C270" s="22" t="s">
        <v>1322</v>
      </c>
      <c r="D270" s="22" t="s">
        <v>149</v>
      </c>
      <c r="E270" s="22" t="s">
        <v>139</v>
      </c>
      <c r="F270" s="22" t="s">
        <v>102</v>
      </c>
      <c r="G270" s="23" t="n">
        <v>44925</v>
      </c>
      <c r="H270" s="24" t="n">
        <f aca="false">IF(G270="","",ROUND((Config!$C$4-G270)/365.25,2))</f>
        <v>3.75</v>
      </c>
      <c r="I270" s="25" t="str">
        <f aca="false">IF(H270="","",IF(H270&lt;=1,"Tramo 1",IF(H270&lt;=3,"Tramo 2",IF(H270&lt;=5,"Tramo 3","Tramo 4"))))</f>
        <v>Tramo 3</v>
      </c>
      <c r="J270" s="22" t="s">
        <v>140</v>
      </c>
      <c r="K270" s="22"/>
      <c r="L270" s="22" t="s">
        <v>1323</v>
      </c>
      <c r="M270" s="26" t="s">
        <v>1324</v>
      </c>
      <c r="N270" s="22"/>
      <c r="O270" s="22" t="s">
        <v>63</v>
      </c>
      <c r="P270" s="25" t="str">
        <f aca="false">IF(OR(O270="",O270="Sin información"),"",IFERROR(INDEX(Listas!$B$2:$B$9,MATCH(O270,Listas!$A$2:$A$9,0)),""))</f>
        <v/>
      </c>
      <c r="Q270" s="25" t="str">
        <f aca="false">IF(OR(O270="",O270="Sin información"),"",IFERROR(INDEX(Listas!$C$2:$C$9,MATCH(O270,Listas!$A$2:$A$9,0)),""))</f>
        <v/>
      </c>
      <c r="R270" s="22"/>
      <c r="S270" s="22"/>
      <c r="T270" s="25" t="str">
        <f aca="false">IF(S270="","",IFERROR(INDEX(Empleadores!$B$2:$B$601,MATCH(S270,Empleadores!$A$2:$A$601,0)),"No encontrado"))</f>
        <v/>
      </c>
      <c r="U270" s="25" t="str">
        <f aca="false">IF(C270="","",IF(V270="","No",IF(Config!$C$4-V270&lt;=Config!$C$15,"Sí","No")))</f>
        <v>No</v>
      </c>
      <c r="V270" s="23"/>
      <c r="W270" s="22"/>
      <c r="X270" s="22"/>
      <c r="Y270" s="22"/>
      <c r="Z270" s="27"/>
      <c r="AA270" s="22"/>
      <c r="AB270" s="22"/>
    </row>
    <row r="271" customFormat="false" ht="15" hidden="false" customHeight="false" outlineLevel="0" collapsed="false">
      <c r="A271" s="22" t="n">
        <v>270</v>
      </c>
      <c r="B271" s="22" t="s">
        <v>1325</v>
      </c>
      <c r="C271" s="22" t="s">
        <v>1326</v>
      </c>
      <c r="D271" s="22" t="s">
        <v>138</v>
      </c>
      <c r="E271" s="22" t="s">
        <v>139</v>
      </c>
      <c r="F271" s="22" t="s">
        <v>102</v>
      </c>
      <c r="G271" s="23" t="n">
        <v>44925</v>
      </c>
      <c r="H271" s="24" t="n">
        <f aca="false">IF(G271="","",ROUND((Config!$C$4-G271)/365.25,2))</f>
        <v>3.75</v>
      </c>
      <c r="I271" s="25" t="str">
        <f aca="false">IF(H271="","",IF(H271&lt;=1,"Tramo 1",IF(H271&lt;=3,"Tramo 2",IF(H271&lt;=5,"Tramo 3","Tramo 4"))))</f>
        <v>Tramo 3</v>
      </c>
      <c r="J271" s="22" t="s">
        <v>140</v>
      </c>
      <c r="K271" s="22"/>
      <c r="L271" s="22" t="s">
        <v>1327</v>
      </c>
      <c r="M271" s="26" t="s">
        <v>1328</v>
      </c>
      <c r="N271" s="22"/>
      <c r="O271" s="22" t="s">
        <v>63</v>
      </c>
      <c r="P271" s="25" t="str">
        <f aca="false">IF(OR(O271="",O271="Sin información"),"",IFERROR(INDEX(Listas!$B$2:$B$9,MATCH(O271,Listas!$A$2:$A$9,0)),""))</f>
        <v/>
      </c>
      <c r="Q271" s="25" t="str">
        <f aca="false">IF(OR(O271="",O271="Sin información"),"",IFERROR(INDEX(Listas!$C$2:$C$9,MATCH(O271,Listas!$A$2:$A$9,0)),""))</f>
        <v/>
      </c>
      <c r="R271" s="22"/>
      <c r="S271" s="22"/>
      <c r="T271" s="25" t="str">
        <f aca="false">IF(S271="","",IFERROR(INDEX(Empleadores!$B$2:$B$601,MATCH(S271,Empleadores!$A$2:$A$601,0)),"No encontrado"))</f>
        <v/>
      </c>
      <c r="U271" s="25" t="str">
        <f aca="false">IF(C271="","",IF(V271="","No",IF(Config!$C$4-V271&lt;=Config!$C$15,"Sí","No")))</f>
        <v>No</v>
      </c>
      <c r="V271" s="23"/>
      <c r="W271" s="22"/>
      <c r="X271" s="22"/>
      <c r="Y271" s="22"/>
      <c r="Z271" s="27"/>
      <c r="AA271" s="22"/>
      <c r="AB271" s="22"/>
    </row>
    <row r="272" customFormat="false" ht="15" hidden="false" customHeight="false" outlineLevel="0" collapsed="false">
      <c r="A272" s="22" t="n">
        <v>271</v>
      </c>
      <c r="B272" s="22" t="s">
        <v>1329</v>
      </c>
      <c r="C272" s="22" t="s">
        <v>1330</v>
      </c>
      <c r="D272" s="22" t="s">
        <v>138</v>
      </c>
      <c r="E272" s="22" t="s">
        <v>139</v>
      </c>
      <c r="F272" s="22" t="s">
        <v>102</v>
      </c>
      <c r="G272" s="23" t="n">
        <v>44925</v>
      </c>
      <c r="H272" s="24" t="n">
        <f aca="false">IF(G272="","",ROUND((Config!$C$4-G272)/365.25,2))</f>
        <v>3.75</v>
      </c>
      <c r="I272" s="25" t="str">
        <f aca="false">IF(H272="","",IF(H272&lt;=1,"Tramo 1",IF(H272&lt;=3,"Tramo 2",IF(H272&lt;=5,"Tramo 3","Tramo 4"))))</f>
        <v>Tramo 3</v>
      </c>
      <c r="J272" s="22" t="s">
        <v>140</v>
      </c>
      <c r="K272" s="22"/>
      <c r="L272" s="22" t="s">
        <v>1331</v>
      </c>
      <c r="M272" s="26" t="s">
        <v>1332</v>
      </c>
      <c r="N272" s="22"/>
      <c r="O272" s="22" t="s">
        <v>63</v>
      </c>
      <c r="P272" s="25" t="str">
        <f aca="false">IF(OR(O272="",O272="Sin información"),"",IFERROR(INDEX(Listas!$B$2:$B$9,MATCH(O272,Listas!$A$2:$A$9,0)),""))</f>
        <v/>
      </c>
      <c r="Q272" s="25" t="str">
        <f aca="false">IF(OR(O272="",O272="Sin información"),"",IFERROR(INDEX(Listas!$C$2:$C$9,MATCH(O272,Listas!$A$2:$A$9,0)),""))</f>
        <v/>
      </c>
      <c r="R272" s="22"/>
      <c r="S272" s="22"/>
      <c r="T272" s="25" t="str">
        <f aca="false">IF(S272="","",IFERROR(INDEX(Empleadores!$B$2:$B$601,MATCH(S272,Empleadores!$A$2:$A$601,0)),"No encontrado"))</f>
        <v/>
      </c>
      <c r="U272" s="25" t="str">
        <f aca="false">IF(C272="","",IF(V272="","No",IF(Config!$C$4-V272&lt;=Config!$C$15,"Sí","No")))</f>
        <v>No</v>
      </c>
      <c r="V272" s="23"/>
      <c r="W272" s="22"/>
      <c r="X272" s="22"/>
      <c r="Y272" s="22"/>
      <c r="Z272" s="27"/>
      <c r="AA272" s="22"/>
      <c r="AB272" s="22"/>
    </row>
    <row r="273" customFormat="false" ht="15" hidden="false" customHeight="false" outlineLevel="0" collapsed="false">
      <c r="A273" s="22" t="n">
        <v>272</v>
      </c>
      <c r="B273" s="22" t="s">
        <v>1333</v>
      </c>
      <c r="C273" s="22" t="s">
        <v>1334</v>
      </c>
      <c r="D273" s="22" t="s">
        <v>149</v>
      </c>
      <c r="E273" s="22" t="s">
        <v>139</v>
      </c>
      <c r="F273" s="22" t="s">
        <v>102</v>
      </c>
      <c r="G273" s="23" t="n">
        <v>44925</v>
      </c>
      <c r="H273" s="24" t="n">
        <f aca="false">IF(G273="","",ROUND((Config!$C$4-G273)/365.25,2))</f>
        <v>3.75</v>
      </c>
      <c r="I273" s="25" t="str">
        <f aca="false">IF(H273="","",IF(H273&lt;=1,"Tramo 1",IF(H273&lt;=3,"Tramo 2",IF(H273&lt;=5,"Tramo 3","Tramo 4"))))</f>
        <v>Tramo 3</v>
      </c>
      <c r="J273" s="22" t="s">
        <v>140</v>
      </c>
      <c r="K273" s="22"/>
      <c r="L273" s="22" t="s">
        <v>1335</v>
      </c>
      <c r="M273" s="26" t="s">
        <v>1336</v>
      </c>
      <c r="N273" s="22"/>
      <c r="O273" s="22" t="s">
        <v>63</v>
      </c>
      <c r="P273" s="25" t="str">
        <f aca="false">IF(OR(O273="",O273="Sin información"),"",IFERROR(INDEX(Listas!$B$2:$B$9,MATCH(O273,Listas!$A$2:$A$9,0)),""))</f>
        <v/>
      </c>
      <c r="Q273" s="25" t="str">
        <f aca="false">IF(OR(O273="",O273="Sin información"),"",IFERROR(INDEX(Listas!$C$2:$C$9,MATCH(O273,Listas!$A$2:$A$9,0)),""))</f>
        <v/>
      </c>
      <c r="R273" s="22"/>
      <c r="S273" s="22"/>
      <c r="T273" s="25" t="str">
        <f aca="false">IF(S273="","",IFERROR(INDEX(Empleadores!$B$2:$B$601,MATCH(S273,Empleadores!$A$2:$A$601,0)),"No encontrado"))</f>
        <v/>
      </c>
      <c r="U273" s="25" t="str">
        <f aca="false">IF(C273="","",IF(V273="","No",IF(Config!$C$4-V273&lt;=Config!$C$15,"Sí","No")))</f>
        <v>No</v>
      </c>
      <c r="V273" s="23"/>
      <c r="W273" s="22"/>
      <c r="X273" s="22"/>
      <c r="Y273" s="22"/>
      <c r="Z273" s="27"/>
      <c r="AA273" s="22"/>
      <c r="AB273" s="22"/>
    </row>
    <row r="274" customFormat="false" ht="15" hidden="false" customHeight="false" outlineLevel="0" collapsed="false">
      <c r="A274" s="22" t="n">
        <v>273</v>
      </c>
      <c r="B274" s="22" t="s">
        <v>1337</v>
      </c>
      <c r="C274" s="22" t="s">
        <v>1338</v>
      </c>
      <c r="D274" s="22" t="s">
        <v>149</v>
      </c>
      <c r="E274" s="22" t="s">
        <v>139</v>
      </c>
      <c r="F274" s="22" t="s">
        <v>102</v>
      </c>
      <c r="G274" s="23" t="n">
        <v>44925</v>
      </c>
      <c r="H274" s="24" t="n">
        <f aca="false">IF(G274="","",ROUND((Config!$C$4-G274)/365.25,2))</f>
        <v>3.75</v>
      </c>
      <c r="I274" s="25" t="str">
        <f aca="false">IF(H274="","",IF(H274&lt;=1,"Tramo 1",IF(H274&lt;=3,"Tramo 2",IF(H274&lt;=5,"Tramo 3","Tramo 4"))))</f>
        <v>Tramo 3</v>
      </c>
      <c r="J274" s="22" t="s">
        <v>140</v>
      </c>
      <c r="K274" s="22"/>
      <c r="L274" s="22" t="s">
        <v>1339</v>
      </c>
      <c r="M274" s="26" t="s">
        <v>1340</v>
      </c>
      <c r="N274" s="22"/>
      <c r="O274" s="22" t="s">
        <v>63</v>
      </c>
      <c r="P274" s="25" t="str">
        <f aca="false">IF(OR(O274="",O274="Sin información"),"",IFERROR(INDEX(Listas!$B$2:$B$9,MATCH(O274,Listas!$A$2:$A$9,0)),""))</f>
        <v/>
      </c>
      <c r="Q274" s="25" t="str">
        <f aca="false">IF(OR(O274="",O274="Sin información"),"",IFERROR(INDEX(Listas!$C$2:$C$9,MATCH(O274,Listas!$A$2:$A$9,0)),""))</f>
        <v/>
      </c>
      <c r="R274" s="22"/>
      <c r="S274" s="22"/>
      <c r="T274" s="25" t="str">
        <f aca="false">IF(S274="","",IFERROR(INDEX(Empleadores!$B$2:$B$601,MATCH(S274,Empleadores!$A$2:$A$601,0)),"No encontrado"))</f>
        <v/>
      </c>
      <c r="U274" s="25" t="str">
        <f aca="false">IF(C274="","",IF(V274="","No",IF(Config!$C$4-V274&lt;=Config!$C$15,"Sí","No")))</f>
        <v>No</v>
      </c>
      <c r="V274" s="23"/>
      <c r="W274" s="22"/>
      <c r="X274" s="22"/>
      <c r="Y274" s="22"/>
      <c r="Z274" s="27"/>
      <c r="AA274" s="22"/>
      <c r="AB274" s="22"/>
    </row>
    <row r="275" customFormat="false" ht="15" hidden="false" customHeight="false" outlineLevel="0" collapsed="false">
      <c r="A275" s="22" t="n">
        <v>274</v>
      </c>
      <c r="B275" s="22" t="s">
        <v>1341</v>
      </c>
      <c r="C275" s="22" t="s">
        <v>1342</v>
      </c>
      <c r="D275" s="22" t="s">
        <v>138</v>
      </c>
      <c r="E275" s="22" t="s">
        <v>139</v>
      </c>
      <c r="F275" s="22" t="s">
        <v>102</v>
      </c>
      <c r="G275" s="23" t="n">
        <v>44925</v>
      </c>
      <c r="H275" s="24" t="n">
        <f aca="false">IF(G275="","",ROUND((Config!$C$4-G275)/365.25,2))</f>
        <v>3.75</v>
      </c>
      <c r="I275" s="25" t="str">
        <f aca="false">IF(H275="","",IF(H275&lt;=1,"Tramo 1",IF(H275&lt;=3,"Tramo 2",IF(H275&lt;=5,"Tramo 3","Tramo 4"))))</f>
        <v>Tramo 3</v>
      </c>
      <c r="J275" s="22" t="s">
        <v>140</v>
      </c>
      <c r="K275" s="22"/>
      <c r="L275" s="22" t="s">
        <v>1343</v>
      </c>
      <c r="M275" s="26" t="s">
        <v>1344</v>
      </c>
      <c r="N275" s="22"/>
      <c r="O275" s="22" t="s">
        <v>63</v>
      </c>
      <c r="P275" s="25" t="str">
        <f aca="false">IF(OR(O275="",O275="Sin información"),"",IFERROR(INDEX(Listas!$B$2:$B$9,MATCH(O275,Listas!$A$2:$A$9,0)),""))</f>
        <v/>
      </c>
      <c r="Q275" s="25" t="str">
        <f aca="false">IF(OR(O275="",O275="Sin información"),"",IFERROR(INDEX(Listas!$C$2:$C$9,MATCH(O275,Listas!$A$2:$A$9,0)),""))</f>
        <v/>
      </c>
      <c r="R275" s="22"/>
      <c r="S275" s="22"/>
      <c r="T275" s="25" t="str">
        <f aca="false">IF(S275="","",IFERROR(INDEX(Empleadores!$B$2:$B$601,MATCH(S275,Empleadores!$A$2:$A$601,0)),"No encontrado"))</f>
        <v/>
      </c>
      <c r="U275" s="25" t="str">
        <f aca="false">IF(C275="","",IF(V275="","No",IF(Config!$C$4-V275&lt;=Config!$C$15,"Sí","No")))</f>
        <v>No</v>
      </c>
      <c r="V275" s="23"/>
      <c r="W275" s="22"/>
      <c r="X275" s="22"/>
      <c r="Y275" s="22"/>
      <c r="Z275" s="27"/>
      <c r="AA275" s="22"/>
      <c r="AB275" s="22"/>
    </row>
    <row r="276" customFormat="false" ht="15" hidden="false" customHeight="false" outlineLevel="0" collapsed="false">
      <c r="A276" s="22" t="n">
        <v>275</v>
      </c>
      <c r="B276" s="22" t="s">
        <v>1345</v>
      </c>
      <c r="C276" s="22" t="s">
        <v>1346</v>
      </c>
      <c r="D276" s="22" t="s">
        <v>138</v>
      </c>
      <c r="E276" s="22" t="s">
        <v>139</v>
      </c>
      <c r="F276" s="22" t="s">
        <v>102</v>
      </c>
      <c r="G276" s="23" t="n">
        <v>44925</v>
      </c>
      <c r="H276" s="24" t="n">
        <f aca="false">IF(G276="","",ROUND((Config!$C$4-G276)/365.25,2))</f>
        <v>3.75</v>
      </c>
      <c r="I276" s="25" t="str">
        <f aca="false">IF(H276="","",IF(H276&lt;=1,"Tramo 1",IF(H276&lt;=3,"Tramo 2",IF(H276&lt;=5,"Tramo 3","Tramo 4"))))</f>
        <v>Tramo 3</v>
      </c>
      <c r="J276" s="22" t="s">
        <v>140</v>
      </c>
      <c r="K276" s="22"/>
      <c r="L276" s="22" t="s">
        <v>1347</v>
      </c>
      <c r="M276" s="26" t="s">
        <v>1348</v>
      </c>
      <c r="N276" s="22"/>
      <c r="O276" s="22" t="s">
        <v>63</v>
      </c>
      <c r="P276" s="25" t="str">
        <f aca="false">IF(OR(O276="",O276="Sin información"),"",IFERROR(INDEX(Listas!$B$2:$B$9,MATCH(O276,Listas!$A$2:$A$9,0)),""))</f>
        <v/>
      </c>
      <c r="Q276" s="25" t="str">
        <f aca="false">IF(OR(O276="",O276="Sin información"),"",IFERROR(INDEX(Listas!$C$2:$C$9,MATCH(O276,Listas!$A$2:$A$9,0)),""))</f>
        <v/>
      </c>
      <c r="R276" s="22"/>
      <c r="S276" s="22"/>
      <c r="T276" s="25" t="str">
        <f aca="false">IF(S276="","",IFERROR(INDEX(Empleadores!$B$2:$B$601,MATCH(S276,Empleadores!$A$2:$A$601,0)),"No encontrado"))</f>
        <v/>
      </c>
      <c r="U276" s="25" t="str">
        <f aca="false">IF(C276="","",IF(V276="","No",IF(Config!$C$4-V276&lt;=Config!$C$15,"Sí","No")))</f>
        <v>No</v>
      </c>
      <c r="V276" s="23"/>
      <c r="W276" s="22"/>
      <c r="X276" s="22"/>
      <c r="Y276" s="22"/>
      <c r="Z276" s="27"/>
      <c r="AA276" s="22"/>
      <c r="AB276" s="22"/>
    </row>
    <row r="277" customFormat="false" ht="15" hidden="false" customHeight="false" outlineLevel="0" collapsed="false">
      <c r="A277" s="22" t="n">
        <v>276</v>
      </c>
      <c r="B277" s="22" t="s">
        <v>1349</v>
      </c>
      <c r="C277" s="22" t="s">
        <v>1350</v>
      </c>
      <c r="D277" s="22" t="s">
        <v>138</v>
      </c>
      <c r="E277" s="22" t="s">
        <v>139</v>
      </c>
      <c r="F277" s="22" t="s">
        <v>102</v>
      </c>
      <c r="G277" s="23" t="n">
        <v>44925</v>
      </c>
      <c r="H277" s="24" t="n">
        <f aca="false">IF(G277="","",ROUND((Config!$C$4-G277)/365.25,2))</f>
        <v>3.75</v>
      </c>
      <c r="I277" s="25" t="str">
        <f aca="false">IF(H277="","",IF(H277&lt;=1,"Tramo 1",IF(H277&lt;=3,"Tramo 2",IF(H277&lt;=5,"Tramo 3","Tramo 4"))))</f>
        <v>Tramo 3</v>
      </c>
      <c r="J277" s="22" t="s">
        <v>140</v>
      </c>
      <c r="K277" s="22"/>
      <c r="L277" s="22" t="s">
        <v>1351</v>
      </c>
      <c r="M277" s="26" t="s">
        <v>1352</v>
      </c>
      <c r="N277" s="22"/>
      <c r="O277" s="22" t="s">
        <v>63</v>
      </c>
      <c r="P277" s="25" t="str">
        <f aca="false">IF(OR(O277="",O277="Sin información"),"",IFERROR(INDEX(Listas!$B$2:$B$9,MATCH(O277,Listas!$A$2:$A$9,0)),""))</f>
        <v/>
      </c>
      <c r="Q277" s="25" t="str">
        <f aca="false">IF(OR(O277="",O277="Sin información"),"",IFERROR(INDEX(Listas!$C$2:$C$9,MATCH(O277,Listas!$A$2:$A$9,0)),""))</f>
        <v/>
      </c>
      <c r="R277" s="22"/>
      <c r="S277" s="22"/>
      <c r="T277" s="25" t="str">
        <f aca="false">IF(S277="","",IFERROR(INDEX(Empleadores!$B$2:$B$601,MATCH(S277,Empleadores!$A$2:$A$601,0)),"No encontrado"))</f>
        <v/>
      </c>
      <c r="U277" s="25" t="str">
        <f aca="false">IF(C277="","",IF(V277="","No",IF(Config!$C$4-V277&lt;=Config!$C$15,"Sí","No")))</f>
        <v>No</v>
      </c>
      <c r="V277" s="23"/>
      <c r="W277" s="22"/>
      <c r="X277" s="22"/>
      <c r="Y277" s="22"/>
      <c r="Z277" s="27"/>
      <c r="AA277" s="22"/>
      <c r="AB277" s="22"/>
    </row>
    <row r="278" customFormat="false" ht="15" hidden="false" customHeight="false" outlineLevel="0" collapsed="false">
      <c r="A278" s="22" t="n">
        <v>277</v>
      </c>
      <c r="B278" s="22" t="s">
        <v>1353</v>
      </c>
      <c r="C278" s="22" t="s">
        <v>1354</v>
      </c>
      <c r="D278" s="22" t="s">
        <v>149</v>
      </c>
      <c r="E278" s="22" t="s">
        <v>139</v>
      </c>
      <c r="F278" s="22" t="s">
        <v>102</v>
      </c>
      <c r="G278" s="23" t="n">
        <v>44925</v>
      </c>
      <c r="H278" s="24" t="n">
        <f aca="false">IF(G278="","",ROUND((Config!$C$4-G278)/365.25,2))</f>
        <v>3.75</v>
      </c>
      <c r="I278" s="25" t="str">
        <f aca="false">IF(H278="","",IF(H278&lt;=1,"Tramo 1",IF(H278&lt;=3,"Tramo 2",IF(H278&lt;=5,"Tramo 3","Tramo 4"))))</f>
        <v>Tramo 3</v>
      </c>
      <c r="J278" s="22" t="s">
        <v>140</v>
      </c>
      <c r="K278" s="22"/>
      <c r="L278" s="22" t="s">
        <v>1355</v>
      </c>
      <c r="M278" s="26" t="s">
        <v>1356</v>
      </c>
      <c r="N278" s="22"/>
      <c r="O278" s="22" t="s">
        <v>63</v>
      </c>
      <c r="P278" s="25" t="str">
        <f aca="false">IF(OR(O278="",O278="Sin información"),"",IFERROR(INDEX(Listas!$B$2:$B$9,MATCH(O278,Listas!$A$2:$A$9,0)),""))</f>
        <v/>
      </c>
      <c r="Q278" s="25" t="str">
        <f aca="false">IF(OR(O278="",O278="Sin información"),"",IFERROR(INDEX(Listas!$C$2:$C$9,MATCH(O278,Listas!$A$2:$A$9,0)),""))</f>
        <v/>
      </c>
      <c r="R278" s="22"/>
      <c r="S278" s="22"/>
      <c r="T278" s="25" t="str">
        <f aca="false">IF(S278="","",IFERROR(INDEX(Empleadores!$B$2:$B$601,MATCH(S278,Empleadores!$A$2:$A$601,0)),"No encontrado"))</f>
        <v/>
      </c>
      <c r="U278" s="25" t="str">
        <f aca="false">IF(C278="","",IF(V278="","No",IF(Config!$C$4-V278&lt;=Config!$C$15,"Sí","No")))</f>
        <v>No</v>
      </c>
      <c r="V278" s="23"/>
      <c r="W278" s="22"/>
      <c r="X278" s="22"/>
      <c r="Y278" s="22"/>
      <c r="Z278" s="27"/>
      <c r="AA278" s="22"/>
      <c r="AB278" s="22"/>
    </row>
    <row r="279" customFormat="false" ht="15" hidden="false" customHeight="false" outlineLevel="0" collapsed="false">
      <c r="A279" s="22" t="n">
        <v>278</v>
      </c>
      <c r="B279" s="22" t="s">
        <v>1357</v>
      </c>
      <c r="C279" s="22" t="s">
        <v>1358</v>
      </c>
      <c r="D279" s="22" t="s">
        <v>149</v>
      </c>
      <c r="E279" s="22" t="s">
        <v>139</v>
      </c>
      <c r="F279" s="22" t="s">
        <v>102</v>
      </c>
      <c r="G279" s="23" t="n">
        <v>44925</v>
      </c>
      <c r="H279" s="24" t="n">
        <f aca="false">IF(G279="","",ROUND((Config!$C$4-G279)/365.25,2))</f>
        <v>3.75</v>
      </c>
      <c r="I279" s="25" t="str">
        <f aca="false">IF(H279="","",IF(H279&lt;=1,"Tramo 1",IF(H279&lt;=3,"Tramo 2",IF(H279&lt;=5,"Tramo 3","Tramo 4"))))</f>
        <v>Tramo 3</v>
      </c>
      <c r="J279" s="22" t="s">
        <v>140</v>
      </c>
      <c r="K279" s="22"/>
      <c r="L279" s="22" t="s">
        <v>1359</v>
      </c>
      <c r="M279" s="26" t="s">
        <v>1360</v>
      </c>
      <c r="N279" s="22"/>
      <c r="O279" s="22" t="s">
        <v>63</v>
      </c>
      <c r="P279" s="25" t="str">
        <f aca="false">IF(OR(O279="",O279="Sin información"),"",IFERROR(INDEX(Listas!$B$2:$B$9,MATCH(O279,Listas!$A$2:$A$9,0)),""))</f>
        <v/>
      </c>
      <c r="Q279" s="25" t="str">
        <f aca="false">IF(OR(O279="",O279="Sin información"),"",IFERROR(INDEX(Listas!$C$2:$C$9,MATCH(O279,Listas!$A$2:$A$9,0)),""))</f>
        <v/>
      </c>
      <c r="R279" s="22"/>
      <c r="S279" s="22"/>
      <c r="T279" s="25" t="str">
        <f aca="false">IF(S279="","",IFERROR(INDEX(Empleadores!$B$2:$B$601,MATCH(S279,Empleadores!$A$2:$A$601,0)),"No encontrado"))</f>
        <v/>
      </c>
      <c r="U279" s="25" t="str">
        <f aca="false">IF(C279="","",IF(V279="","No",IF(Config!$C$4-V279&lt;=Config!$C$15,"Sí","No")))</f>
        <v>No</v>
      </c>
      <c r="V279" s="23"/>
      <c r="W279" s="22"/>
      <c r="X279" s="22"/>
      <c r="Y279" s="22"/>
      <c r="Z279" s="27"/>
      <c r="AA279" s="22"/>
      <c r="AB279" s="22"/>
    </row>
    <row r="280" customFormat="false" ht="15" hidden="false" customHeight="false" outlineLevel="0" collapsed="false">
      <c r="A280" s="22" t="n">
        <v>279</v>
      </c>
      <c r="B280" s="22" t="s">
        <v>1361</v>
      </c>
      <c r="C280" s="22" t="s">
        <v>1362</v>
      </c>
      <c r="D280" s="22" t="s">
        <v>138</v>
      </c>
      <c r="E280" s="22" t="s">
        <v>139</v>
      </c>
      <c r="F280" s="22" t="s">
        <v>102</v>
      </c>
      <c r="G280" s="23" t="n">
        <v>44925</v>
      </c>
      <c r="H280" s="24" t="n">
        <f aca="false">IF(G280="","",ROUND((Config!$C$4-G280)/365.25,2))</f>
        <v>3.75</v>
      </c>
      <c r="I280" s="25" t="str">
        <f aca="false">IF(H280="","",IF(H280&lt;=1,"Tramo 1",IF(H280&lt;=3,"Tramo 2",IF(H280&lt;=5,"Tramo 3","Tramo 4"))))</f>
        <v>Tramo 3</v>
      </c>
      <c r="J280" s="22" t="s">
        <v>140</v>
      </c>
      <c r="K280" s="22"/>
      <c r="L280" s="22" t="s">
        <v>1363</v>
      </c>
      <c r="M280" s="26" t="s">
        <v>1364</v>
      </c>
      <c r="N280" s="22"/>
      <c r="O280" s="22" t="s">
        <v>63</v>
      </c>
      <c r="P280" s="25" t="str">
        <f aca="false">IF(OR(O280="",O280="Sin información"),"",IFERROR(INDEX(Listas!$B$2:$B$9,MATCH(O280,Listas!$A$2:$A$9,0)),""))</f>
        <v/>
      </c>
      <c r="Q280" s="25" t="str">
        <f aca="false">IF(OR(O280="",O280="Sin información"),"",IFERROR(INDEX(Listas!$C$2:$C$9,MATCH(O280,Listas!$A$2:$A$9,0)),""))</f>
        <v/>
      </c>
      <c r="R280" s="22"/>
      <c r="S280" s="22"/>
      <c r="T280" s="25" t="str">
        <f aca="false">IF(S280="","",IFERROR(INDEX(Empleadores!$B$2:$B$601,MATCH(S280,Empleadores!$A$2:$A$601,0)),"No encontrado"))</f>
        <v/>
      </c>
      <c r="U280" s="25" t="str">
        <f aca="false">IF(C280="","",IF(V280="","No",IF(Config!$C$4-V280&lt;=Config!$C$15,"Sí","No")))</f>
        <v>No</v>
      </c>
      <c r="V280" s="23"/>
      <c r="W280" s="22"/>
      <c r="X280" s="22"/>
      <c r="Y280" s="22"/>
      <c r="Z280" s="27"/>
      <c r="AA280" s="22"/>
      <c r="AB280" s="22"/>
    </row>
    <row r="281" customFormat="false" ht="15" hidden="false" customHeight="false" outlineLevel="0" collapsed="false">
      <c r="A281" s="22" t="n">
        <v>280</v>
      </c>
      <c r="B281" s="22" t="s">
        <v>1365</v>
      </c>
      <c r="C281" s="22" t="s">
        <v>1366</v>
      </c>
      <c r="D281" s="22" t="s">
        <v>149</v>
      </c>
      <c r="E281" s="22" t="s">
        <v>139</v>
      </c>
      <c r="F281" s="22" t="s">
        <v>102</v>
      </c>
      <c r="G281" s="23" t="n">
        <v>44925</v>
      </c>
      <c r="H281" s="24" t="n">
        <f aca="false">IF(G281="","",ROUND((Config!$C$4-G281)/365.25,2))</f>
        <v>3.75</v>
      </c>
      <c r="I281" s="25" t="str">
        <f aca="false">IF(H281="","",IF(H281&lt;=1,"Tramo 1",IF(H281&lt;=3,"Tramo 2",IF(H281&lt;=5,"Tramo 3","Tramo 4"))))</f>
        <v>Tramo 3</v>
      </c>
      <c r="J281" s="22" t="s">
        <v>140</v>
      </c>
      <c r="K281" s="22"/>
      <c r="L281" s="22" t="s">
        <v>1367</v>
      </c>
      <c r="M281" s="26" t="s">
        <v>1368</v>
      </c>
      <c r="N281" s="22"/>
      <c r="O281" s="22" t="s">
        <v>63</v>
      </c>
      <c r="P281" s="25" t="str">
        <f aca="false">IF(OR(O281="",O281="Sin información"),"",IFERROR(INDEX(Listas!$B$2:$B$9,MATCH(O281,Listas!$A$2:$A$9,0)),""))</f>
        <v/>
      </c>
      <c r="Q281" s="25" t="str">
        <f aca="false">IF(OR(O281="",O281="Sin información"),"",IFERROR(INDEX(Listas!$C$2:$C$9,MATCH(O281,Listas!$A$2:$A$9,0)),""))</f>
        <v/>
      </c>
      <c r="R281" s="22"/>
      <c r="S281" s="22"/>
      <c r="T281" s="25" t="str">
        <f aca="false">IF(S281="","",IFERROR(INDEX(Empleadores!$B$2:$B$601,MATCH(S281,Empleadores!$A$2:$A$601,0)),"No encontrado"))</f>
        <v/>
      </c>
      <c r="U281" s="25" t="str">
        <f aca="false">IF(C281="","",IF(V281="","No",IF(Config!$C$4-V281&lt;=Config!$C$15,"Sí","No")))</f>
        <v>No</v>
      </c>
      <c r="V281" s="23"/>
      <c r="W281" s="22"/>
      <c r="X281" s="22"/>
      <c r="Y281" s="22"/>
      <c r="Z281" s="27"/>
      <c r="AA281" s="22"/>
      <c r="AB281" s="22"/>
    </row>
    <row r="282" customFormat="false" ht="15" hidden="false" customHeight="false" outlineLevel="0" collapsed="false">
      <c r="A282" s="22" t="n">
        <v>281</v>
      </c>
      <c r="B282" s="22" t="s">
        <v>1369</v>
      </c>
      <c r="C282" s="22" t="s">
        <v>1370</v>
      </c>
      <c r="D282" s="22" t="s">
        <v>138</v>
      </c>
      <c r="E282" s="22" t="s">
        <v>139</v>
      </c>
      <c r="F282" s="22" t="s">
        <v>102</v>
      </c>
      <c r="G282" s="23" t="n">
        <v>44925</v>
      </c>
      <c r="H282" s="24" t="n">
        <f aca="false">IF(G282="","",ROUND((Config!$C$4-G282)/365.25,2))</f>
        <v>3.75</v>
      </c>
      <c r="I282" s="25" t="str">
        <f aca="false">IF(H282="","",IF(H282&lt;=1,"Tramo 1",IF(H282&lt;=3,"Tramo 2",IF(H282&lt;=5,"Tramo 3","Tramo 4"))))</f>
        <v>Tramo 3</v>
      </c>
      <c r="J282" s="22" t="s">
        <v>140</v>
      </c>
      <c r="K282" s="22"/>
      <c r="L282" s="22" t="s">
        <v>1371</v>
      </c>
      <c r="M282" s="26" t="s">
        <v>1372</v>
      </c>
      <c r="N282" s="22"/>
      <c r="O282" s="22" t="s">
        <v>63</v>
      </c>
      <c r="P282" s="25" t="str">
        <f aca="false">IF(OR(O282="",O282="Sin información"),"",IFERROR(INDEX(Listas!$B$2:$B$9,MATCH(O282,Listas!$A$2:$A$9,0)),""))</f>
        <v/>
      </c>
      <c r="Q282" s="25" t="str">
        <f aca="false">IF(OR(O282="",O282="Sin información"),"",IFERROR(INDEX(Listas!$C$2:$C$9,MATCH(O282,Listas!$A$2:$A$9,0)),""))</f>
        <v/>
      </c>
      <c r="R282" s="22"/>
      <c r="S282" s="22"/>
      <c r="T282" s="25" t="str">
        <f aca="false">IF(S282="","",IFERROR(INDEX(Empleadores!$B$2:$B$601,MATCH(S282,Empleadores!$A$2:$A$601,0)),"No encontrado"))</f>
        <v/>
      </c>
      <c r="U282" s="25" t="str">
        <f aca="false">IF(C282="","",IF(V282="","No",IF(Config!$C$4-V282&lt;=Config!$C$15,"Sí","No")))</f>
        <v>No</v>
      </c>
      <c r="V282" s="23"/>
      <c r="W282" s="22"/>
      <c r="X282" s="22"/>
      <c r="Y282" s="22"/>
      <c r="Z282" s="27"/>
      <c r="AA282" s="22"/>
      <c r="AB282" s="22"/>
    </row>
    <row r="283" customFormat="false" ht="15" hidden="false" customHeight="false" outlineLevel="0" collapsed="false">
      <c r="A283" s="22" t="n">
        <v>282</v>
      </c>
      <c r="B283" s="22" t="s">
        <v>1373</v>
      </c>
      <c r="C283" s="22" t="s">
        <v>1374</v>
      </c>
      <c r="D283" s="22" t="s">
        <v>138</v>
      </c>
      <c r="E283" s="22" t="s">
        <v>139</v>
      </c>
      <c r="F283" s="22" t="s">
        <v>102</v>
      </c>
      <c r="G283" s="23" t="n">
        <v>44925</v>
      </c>
      <c r="H283" s="24" t="n">
        <f aca="false">IF(G283="","",ROUND((Config!$C$4-G283)/365.25,2))</f>
        <v>3.75</v>
      </c>
      <c r="I283" s="25" t="str">
        <f aca="false">IF(H283="","",IF(H283&lt;=1,"Tramo 1",IF(H283&lt;=3,"Tramo 2",IF(H283&lt;=5,"Tramo 3","Tramo 4"))))</f>
        <v>Tramo 3</v>
      </c>
      <c r="J283" s="22" t="s">
        <v>140</v>
      </c>
      <c r="K283" s="22"/>
      <c r="L283" s="22" t="s">
        <v>1375</v>
      </c>
      <c r="M283" s="26" t="s">
        <v>1376</v>
      </c>
      <c r="N283" s="22"/>
      <c r="O283" s="22" t="s">
        <v>63</v>
      </c>
      <c r="P283" s="25" t="str">
        <f aca="false">IF(OR(O283="",O283="Sin información"),"",IFERROR(INDEX(Listas!$B$2:$B$9,MATCH(O283,Listas!$A$2:$A$9,0)),""))</f>
        <v/>
      </c>
      <c r="Q283" s="25" t="str">
        <f aca="false">IF(OR(O283="",O283="Sin información"),"",IFERROR(INDEX(Listas!$C$2:$C$9,MATCH(O283,Listas!$A$2:$A$9,0)),""))</f>
        <v/>
      </c>
      <c r="R283" s="22"/>
      <c r="S283" s="22"/>
      <c r="T283" s="25" t="str">
        <f aca="false">IF(S283="","",IFERROR(INDEX(Empleadores!$B$2:$B$601,MATCH(S283,Empleadores!$A$2:$A$601,0)),"No encontrado"))</f>
        <v/>
      </c>
      <c r="U283" s="25" t="str">
        <f aca="false">IF(C283="","",IF(V283="","No",IF(Config!$C$4-V283&lt;=Config!$C$15,"Sí","No")))</f>
        <v>No</v>
      </c>
      <c r="V283" s="23"/>
      <c r="W283" s="22"/>
      <c r="X283" s="22"/>
      <c r="Y283" s="22"/>
      <c r="Z283" s="27"/>
      <c r="AA283" s="22"/>
      <c r="AB283" s="22"/>
    </row>
    <row r="284" customFormat="false" ht="15" hidden="false" customHeight="false" outlineLevel="0" collapsed="false">
      <c r="A284" s="22" t="n">
        <v>283</v>
      </c>
      <c r="B284" s="22" t="s">
        <v>1377</v>
      </c>
      <c r="C284" s="22" t="s">
        <v>1378</v>
      </c>
      <c r="D284" s="22" t="s">
        <v>138</v>
      </c>
      <c r="E284" s="22" t="s">
        <v>139</v>
      </c>
      <c r="F284" s="22" t="s">
        <v>102</v>
      </c>
      <c r="G284" s="23" t="n">
        <v>44925</v>
      </c>
      <c r="H284" s="24" t="n">
        <f aca="false">IF(G284="","",ROUND((Config!$C$4-G284)/365.25,2))</f>
        <v>3.75</v>
      </c>
      <c r="I284" s="25" t="str">
        <f aca="false">IF(H284="","",IF(H284&lt;=1,"Tramo 1",IF(H284&lt;=3,"Tramo 2",IF(H284&lt;=5,"Tramo 3","Tramo 4"))))</f>
        <v>Tramo 3</v>
      </c>
      <c r="J284" s="22" t="s">
        <v>140</v>
      </c>
      <c r="K284" s="22"/>
      <c r="L284" s="22" t="s">
        <v>1379</v>
      </c>
      <c r="M284" s="26" t="s">
        <v>1380</v>
      </c>
      <c r="N284" s="22"/>
      <c r="O284" s="22" t="s">
        <v>63</v>
      </c>
      <c r="P284" s="25" t="str">
        <f aca="false">IF(OR(O284="",O284="Sin información"),"",IFERROR(INDEX(Listas!$B$2:$B$9,MATCH(O284,Listas!$A$2:$A$9,0)),""))</f>
        <v/>
      </c>
      <c r="Q284" s="25" t="str">
        <f aca="false">IF(OR(O284="",O284="Sin información"),"",IFERROR(INDEX(Listas!$C$2:$C$9,MATCH(O284,Listas!$A$2:$A$9,0)),""))</f>
        <v/>
      </c>
      <c r="R284" s="22"/>
      <c r="S284" s="22"/>
      <c r="T284" s="25" t="str">
        <f aca="false">IF(S284="","",IFERROR(INDEX(Empleadores!$B$2:$B$601,MATCH(S284,Empleadores!$A$2:$A$601,0)),"No encontrado"))</f>
        <v/>
      </c>
      <c r="U284" s="25" t="str">
        <f aca="false">IF(C284="","",IF(V284="","No",IF(Config!$C$4-V284&lt;=Config!$C$15,"Sí","No")))</f>
        <v>No</v>
      </c>
      <c r="V284" s="23"/>
      <c r="W284" s="22"/>
      <c r="X284" s="22"/>
      <c r="Y284" s="22"/>
      <c r="Z284" s="27"/>
      <c r="AA284" s="22"/>
      <c r="AB284" s="22"/>
    </row>
    <row r="285" customFormat="false" ht="15" hidden="false" customHeight="false" outlineLevel="0" collapsed="false">
      <c r="A285" s="22" t="n">
        <v>284</v>
      </c>
      <c r="B285" s="22" t="s">
        <v>1381</v>
      </c>
      <c r="C285" s="22" t="s">
        <v>1382</v>
      </c>
      <c r="D285" s="22" t="s">
        <v>138</v>
      </c>
      <c r="E285" s="22" t="s">
        <v>139</v>
      </c>
      <c r="F285" s="22" t="s">
        <v>102</v>
      </c>
      <c r="G285" s="23" t="n">
        <v>44925</v>
      </c>
      <c r="H285" s="24" t="n">
        <f aca="false">IF(G285="","",ROUND((Config!$C$4-G285)/365.25,2))</f>
        <v>3.75</v>
      </c>
      <c r="I285" s="25" t="str">
        <f aca="false">IF(H285="","",IF(H285&lt;=1,"Tramo 1",IF(H285&lt;=3,"Tramo 2",IF(H285&lt;=5,"Tramo 3","Tramo 4"))))</f>
        <v>Tramo 3</v>
      </c>
      <c r="J285" s="22" t="s">
        <v>140</v>
      </c>
      <c r="K285" s="22"/>
      <c r="L285" s="22" t="s">
        <v>1383</v>
      </c>
      <c r="M285" s="26" t="s">
        <v>1384</v>
      </c>
      <c r="N285" s="22"/>
      <c r="O285" s="22" t="s">
        <v>63</v>
      </c>
      <c r="P285" s="25" t="str">
        <f aca="false">IF(OR(O285="",O285="Sin información"),"",IFERROR(INDEX(Listas!$B$2:$B$9,MATCH(O285,Listas!$A$2:$A$9,0)),""))</f>
        <v/>
      </c>
      <c r="Q285" s="25" t="str">
        <f aca="false">IF(OR(O285="",O285="Sin información"),"",IFERROR(INDEX(Listas!$C$2:$C$9,MATCH(O285,Listas!$A$2:$A$9,0)),""))</f>
        <v/>
      </c>
      <c r="R285" s="22"/>
      <c r="S285" s="22"/>
      <c r="T285" s="25" t="str">
        <f aca="false">IF(S285="","",IFERROR(INDEX(Empleadores!$B$2:$B$601,MATCH(S285,Empleadores!$A$2:$A$601,0)),"No encontrado"))</f>
        <v/>
      </c>
      <c r="U285" s="25" t="str">
        <f aca="false">IF(C285="","",IF(V285="","No",IF(Config!$C$4-V285&lt;=Config!$C$15,"Sí","No")))</f>
        <v>No</v>
      </c>
      <c r="V285" s="23"/>
      <c r="W285" s="22"/>
      <c r="X285" s="22"/>
      <c r="Y285" s="22"/>
      <c r="Z285" s="27"/>
      <c r="AA285" s="22"/>
      <c r="AB285" s="22"/>
    </row>
    <row r="286" customFormat="false" ht="15" hidden="false" customHeight="false" outlineLevel="0" collapsed="false">
      <c r="A286" s="22" t="n">
        <v>285</v>
      </c>
      <c r="B286" s="22" t="s">
        <v>1385</v>
      </c>
      <c r="C286" s="22" t="s">
        <v>1386</v>
      </c>
      <c r="D286" s="22" t="s">
        <v>149</v>
      </c>
      <c r="E286" s="22" t="s">
        <v>139</v>
      </c>
      <c r="F286" s="22" t="s">
        <v>102</v>
      </c>
      <c r="G286" s="23" t="n">
        <v>44925</v>
      </c>
      <c r="H286" s="24" t="n">
        <f aca="false">IF(G286="","",ROUND((Config!$C$4-G286)/365.25,2))</f>
        <v>3.75</v>
      </c>
      <c r="I286" s="25" t="str">
        <f aca="false">IF(H286="","",IF(H286&lt;=1,"Tramo 1",IF(H286&lt;=3,"Tramo 2",IF(H286&lt;=5,"Tramo 3","Tramo 4"))))</f>
        <v>Tramo 3</v>
      </c>
      <c r="J286" s="22" t="s">
        <v>140</v>
      </c>
      <c r="K286" s="22"/>
      <c r="L286" s="22" t="s">
        <v>1387</v>
      </c>
      <c r="M286" s="26" t="s">
        <v>1388</v>
      </c>
      <c r="N286" s="22"/>
      <c r="O286" s="22" t="s">
        <v>63</v>
      </c>
      <c r="P286" s="25" t="str">
        <f aca="false">IF(OR(O286="",O286="Sin información"),"",IFERROR(INDEX(Listas!$B$2:$B$9,MATCH(O286,Listas!$A$2:$A$9,0)),""))</f>
        <v/>
      </c>
      <c r="Q286" s="25" t="str">
        <f aca="false">IF(OR(O286="",O286="Sin información"),"",IFERROR(INDEX(Listas!$C$2:$C$9,MATCH(O286,Listas!$A$2:$A$9,0)),""))</f>
        <v/>
      </c>
      <c r="R286" s="22"/>
      <c r="S286" s="22"/>
      <c r="T286" s="25" t="str">
        <f aca="false">IF(S286="","",IFERROR(INDEX(Empleadores!$B$2:$B$601,MATCH(S286,Empleadores!$A$2:$A$601,0)),"No encontrado"))</f>
        <v/>
      </c>
      <c r="U286" s="25" t="str">
        <f aca="false">IF(C286="","",IF(V286="","No",IF(Config!$C$4-V286&lt;=Config!$C$15,"Sí","No")))</f>
        <v>No</v>
      </c>
      <c r="V286" s="23"/>
      <c r="W286" s="22"/>
      <c r="X286" s="22"/>
      <c r="Y286" s="22"/>
      <c r="Z286" s="27"/>
      <c r="AA286" s="22"/>
      <c r="AB286" s="22"/>
    </row>
    <row r="287" customFormat="false" ht="15" hidden="false" customHeight="false" outlineLevel="0" collapsed="false">
      <c r="A287" s="22" t="n">
        <v>286</v>
      </c>
      <c r="B287" s="22" t="s">
        <v>1389</v>
      </c>
      <c r="C287" s="22" t="s">
        <v>1390</v>
      </c>
      <c r="D287" s="22" t="s">
        <v>138</v>
      </c>
      <c r="E287" s="22" t="s">
        <v>139</v>
      </c>
      <c r="F287" s="22" t="s">
        <v>102</v>
      </c>
      <c r="G287" s="23" t="n">
        <v>44925</v>
      </c>
      <c r="H287" s="24" t="n">
        <f aca="false">IF(G287="","",ROUND((Config!$C$4-G287)/365.25,2))</f>
        <v>3.75</v>
      </c>
      <c r="I287" s="25" t="str">
        <f aca="false">IF(H287="","",IF(H287&lt;=1,"Tramo 1",IF(H287&lt;=3,"Tramo 2",IF(H287&lt;=5,"Tramo 3","Tramo 4"))))</f>
        <v>Tramo 3</v>
      </c>
      <c r="J287" s="22" t="s">
        <v>140</v>
      </c>
      <c r="K287" s="22"/>
      <c r="L287" s="22" t="s">
        <v>1391</v>
      </c>
      <c r="M287" s="26" t="s">
        <v>1392</v>
      </c>
      <c r="N287" s="22"/>
      <c r="O287" s="22" t="s">
        <v>63</v>
      </c>
      <c r="P287" s="25" t="str">
        <f aca="false">IF(OR(O287="",O287="Sin información"),"",IFERROR(INDEX(Listas!$B$2:$B$9,MATCH(O287,Listas!$A$2:$A$9,0)),""))</f>
        <v/>
      </c>
      <c r="Q287" s="25" t="str">
        <f aca="false">IF(OR(O287="",O287="Sin información"),"",IFERROR(INDEX(Listas!$C$2:$C$9,MATCH(O287,Listas!$A$2:$A$9,0)),""))</f>
        <v/>
      </c>
      <c r="R287" s="22"/>
      <c r="S287" s="22"/>
      <c r="T287" s="25" t="str">
        <f aca="false">IF(S287="","",IFERROR(INDEX(Empleadores!$B$2:$B$601,MATCH(S287,Empleadores!$A$2:$A$601,0)),"No encontrado"))</f>
        <v/>
      </c>
      <c r="U287" s="25" t="str">
        <f aca="false">IF(C287="","",IF(V287="","No",IF(Config!$C$4-V287&lt;=Config!$C$15,"Sí","No")))</f>
        <v>No</v>
      </c>
      <c r="V287" s="23"/>
      <c r="W287" s="22"/>
      <c r="X287" s="22"/>
      <c r="Y287" s="22"/>
      <c r="Z287" s="27"/>
      <c r="AA287" s="22"/>
      <c r="AB287" s="22"/>
    </row>
    <row r="288" customFormat="false" ht="15" hidden="false" customHeight="false" outlineLevel="0" collapsed="false">
      <c r="A288" s="22" t="n">
        <v>287</v>
      </c>
      <c r="B288" s="22" t="s">
        <v>1393</v>
      </c>
      <c r="C288" s="22" t="s">
        <v>1394</v>
      </c>
      <c r="D288" s="22" t="s">
        <v>138</v>
      </c>
      <c r="E288" s="22" t="s">
        <v>139</v>
      </c>
      <c r="F288" s="22" t="s">
        <v>102</v>
      </c>
      <c r="G288" s="23" t="n">
        <v>44925</v>
      </c>
      <c r="H288" s="24" t="n">
        <f aca="false">IF(G288="","",ROUND((Config!$C$4-G288)/365.25,2))</f>
        <v>3.75</v>
      </c>
      <c r="I288" s="25" t="str">
        <f aca="false">IF(H288="","",IF(H288&lt;=1,"Tramo 1",IF(H288&lt;=3,"Tramo 2",IF(H288&lt;=5,"Tramo 3","Tramo 4"))))</f>
        <v>Tramo 3</v>
      </c>
      <c r="J288" s="22" t="s">
        <v>140</v>
      </c>
      <c r="K288" s="22"/>
      <c r="L288" s="22" t="s">
        <v>1395</v>
      </c>
      <c r="M288" s="26" t="s">
        <v>1396</v>
      </c>
      <c r="N288" s="22"/>
      <c r="O288" s="22" t="s">
        <v>63</v>
      </c>
      <c r="P288" s="25" t="str">
        <f aca="false">IF(OR(O288="",O288="Sin información"),"",IFERROR(INDEX(Listas!$B$2:$B$9,MATCH(O288,Listas!$A$2:$A$9,0)),""))</f>
        <v/>
      </c>
      <c r="Q288" s="25" t="str">
        <f aca="false">IF(OR(O288="",O288="Sin información"),"",IFERROR(INDEX(Listas!$C$2:$C$9,MATCH(O288,Listas!$A$2:$A$9,0)),""))</f>
        <v/>
      </c>
      <c r="R288" s="22"/>
      <c r="S288" s="22"/>
      <c r="T288" s="25" t="str">
        <f aca="false">IF(S288="","",IFERROR(INDEX(Empleadores!$B$2:$B$601,MATCH(S288,Empleadores!$A$2:$A$601,0)),"No encontrado"))</f>
        <v/>
      </c>
      <c r="U288" s="25" t="str">
        <f aca="false">IF(C288="","",IF(V288="","No",IF(Config!$C$4-V288&lt;=Config!$C$15,"Sí","No")))</f>
        <v>No</v>
      </c>
      <c r="V288" s="23"/>
      <c r="W288" s="22"/>
      <c r="X288" s="22"/>
      <c r="Y288" s="22"/>
      <c r="Z288" s="27"/>
      <c r="AA288" s="22"/>
      <c r="AB288" s="22"/>
    </row>
    <row r="289" customFormat="false" ht="15" hidden="false" customHeight="false" outlineLevel="0" collapsed="false">
      <c r="A289" s="22" t="n">
        <v>288</v>
      </c>
      <c r="B289" s="22" t="s">
        <v>1397</v>
      </c>
      <c r="C289" s="22" t="s">
        <v>1398</v>
      </c>
      <c r="D289" s="22" t="s">
        <v>138</v>
      </c>
      <c r="E289" s="22" t="s">
        <v>139</v>
      </c>
      <c r="F289" s="22" t="s">
        <v>102</v>
      </c>
      <c r="G289" s="23" t="n">
        <v>44925</v>
      </c>
      <c r="H289" s="24" t="n">
        <f aca="false">IF(G289="","",ROUND((Config!$C$4-G289)/365.25,2))</f>
        <v>3.75</v>
      </c>
      <c r="I289" s="25" t="str">
        <f aca="false">IF(H289="","",IF(H289&lt;=1,"Tramo 1",IF(H289&lt;=3,"Tramo 2",IF(H289&lt;=5,"Tramo 3","Tramo 4"))))</f>
        <v>Tramo 3</v>
      </c>
      <c r="J289" s="22" t="s">
        <v>140</v>
      </c>
      <c r="K289" s="22"/>
      <c r="L289" s="22" t="s">
        <v>1399</v>
      </c>
      <c r="M289" s="26" t="s">
        <v>1400</v>
      </c>
      <c r="N289" s="22"/>
      <c r="O289" s="22" t="s">
        <v>63</v>
      </c>
      <c r="P289" s="25" t="str">
        <f aca="false">IF(OR(O289="",O289="Sin información"),"",IFERROR(INDEX(Listas!$B$2:$B$9,MATCH(O289,Listas!$A$2:$A$9,0)),""))</f>
        <v/>
      </c>
      <c r="Q289" s="25" t="str">
        <f aca="false">IF(OR(O289="",O289="Sin información"),"",IFERROR(INDEX(Listas!$C$2:$C$9,MATCH(O289,Listas!$A$2:$A$9,0)),""))</f>
        <v/>
      </c>
      <c r="R289" s="22"/>
      <c r="S289" s="22"/>
      <c r="T289" s="25" t="str">
        <f aca="false">IF(S289="","",IFERROR(INDEX(Empleadores!$B$2:$B$601,MATCH(S289,Empleadores!$A$2:$A$601,0)),"No encontrado"))</f>
        <v/>
      </c>
      <c r="U289" s="25" t="str">
        <f aca="false">IF(C289="","",IF(V289="","No",IF(Config!$C$4-V289&lt;=Config!$C$15,"Sí","No")))</f>
        <v>No</v>
      </c>
      <c r="V289" s="23"/>
      <c r="W289" s="22"/>
      <c r="X289" s="22"/>
      <c r="Y289" s="22"/>
      <c r="Z289" s="27"/>
      <c r="AA289" s="22"/>
      <c r="AB289" s="22"/>
    </row>
    <row r="290" customFormat="false" ht="15" hidden="false" customHeight="false" outlineLevel="0" collapsed="false">
      <c r="A290" s="22" t="n">
        <v>289</v>
      </c>
      <c r="B290" s="22" t="s">
        <v>1401</v>
      </c>
      <c r="C290" s="22" t="s">
        <v>1402</v>
      </c>
      <c r="D290" s="22" t="s">
        <v>138</v>
      </c>
      <c r="E290" s="22" t="s">
        <v>139</v>
      </c>
      <c r="F290" s="22" t="s">
        <v>102</v>
      </c>
      <c r="G290" s="23" t="n">
        <v>44925</v>
      </c>
      <c r="H290" s="24" t="n">
        <f aca="false">IF(G290="","",ROUND((Config!$C$4-G290)/365.25,2))</f>
        <v>3.75</v>
      </c>
      <c r="I290" s="25" t="str">
        <f aca="false">IF(H290="","",IF(H290&lt;=1,"Tramo 1",IF(H290&lt;=3,"Tramo 2",IF(H290&lt;=5,"Tramo 3","Tramo 4"))))</f>
        <v>Tramo 3</v>
      </c>
      <c r="J290" s="22" t="s">
        <v>140</v>
      </c>
      <c r="K290" s="22"/>
      <c r="L290" s="22" t="s">
        <v>1403</v>
      </c>
      <c r="M290" s="26" t="s">
        <v>1404</v>
      </c>
      <c r="N290" s="22"/>
      <c r="O290" s="22" t="s">
        <v>90</v>
      </c>
      <c r="P290" s="25" t="str">
        <f aca="false">IF(OR(O290="",O290="Sin información"),"",IFERROR(INDEX(Listas!$B$2:$B$9,MATCH(O290,Listas!$A$2:$A$9,0)),""))</f>
        <v>No</v>
      </c>
      <c r="Q290" s="25" t="str">
        <f aca="false">IF(OR(O290="",O290="Sin información"),"",IFERROR(INDEX(Listas!$C$2:$C$9,MATCH(O290,Listas!$A$2:$A$9,0)),""))</f>
        <v>No</v>
      </c>
      <c r="R290" s="22"/>
      <c r="S290" s="22"/>
      <c r="T290" s="25" t="str">
        <f aca="false">IF(S290="","",IFERROR(INDEX(Empleadores!$B$2:$B$601,MATCH(S290,Empleadores!$A$2:$A$601,0)),"No encontrado"))</f>
        <v/>
      </c>
      <c r="U290" s="25" t="str">
        <f aca="false">IF(C290="","",IF(V290="","No",IF(Config!$C$4-V290&lt;=Config!$C$15,"Sí","No")))</f>
        <v>Sí</v>
      </c>
      <c r="V290" s="23" t="n">
        <v>45971</v>
      </c>
      <c r="W290" s="22"/>
      <c r="X290" s="22"/>
      <c r="Y290" s="22" t="s">
        <v>181</v>
      </c>
      <c r="Z290" s="27" t="s">
        <v>1405</v>
      </c>
      <c r="AA290" s="22"/>
      <c r="AB290" s="22" t="s">
        <v>183</v>
      </c>
    </row>
    <row r="291" customFormat="false" ht="15" hidden="false" customHeight="false" outlineLevel="0" collapsed="false">
      <c r="A291" s="22" t="n">
        <v>290</v>
      </c>
      <c r="B291" s="22" t="s">
        <v>1406</v>
      </c>
      <c r="C291" s="22" t="s">
        <v>1407</v>
      </c>
      <c r="D291" s="22" t="s">
        <v>149</v>
      </c>
      <c r="E291" s="22" t="s">
        <v>139</v>
      </c>
      <c r="F291" s="22" t="s">
        <v>102</v>
      </c>
      <c r="G291" s="23" t="n">
        <v>44925</v>
      </c>
      <c r="H291" s="24" t="n">
        <f aca="false">IF(G291="","",ROUND((Config!$C$4-G291)/365.25,2))</f>
        <v>3.75</v>
      </c>
      <c r="I291" s="25" t="str">
        <f aca="false">IF(H291="","",IF(H291&lt;=1,"Tramo 1",IF(H291&lt;=3,"Tramo 2",IF(H291&lt;=5,"Tramo 3","Tramo 4"))))</f>
        <v>Tramo 3</v>
      </c>
      <c r="J291" s="22" t="s">
        <v>140</v>
      </c>
      <c r="K291" s="22"/>
      <c r="L291" s="22" t="s">
        <v>1408</v>
      </c>
      <c r="M291" s="26" t="s">
        <v>1409</v>
      </c>
      <c r="N291" s="22"/>
      <c r="O291" s="22" t="s">
        <v>63</v>
      </c>
      <c r="P291" s="25" t="str">
        <f aca="false">IF(OR(O291="",O291="Sin información"),"",IFERROR(INDEX(Listas!$B$2:$B$9,MATCH(O291,Listas!$A$2:$A$9,0)),""))</f>
        <v/>
      </c>
      <c r="Q291" s="25" t="str">
        <f aca="false">IF(OR(O291="",O291="Sin información"),"",IFERROR(INDEX(Listas!$C$2:$C$9,MATCH(O291,Listas!$A$2:$A$9,0)),""))</f>
        <v/>
      </c>
      <c r="R291" s="22"/>
      <c r="S291" s="22"/>
      <c r="T291" s="25" t="str">
        <f aca="false">IF(S291="","",IFERROR(INDEX(Empleadores!$B$2:$B$601,MATCH(S291,Empleadores!$A$2:$A$601,0)),"No encontrado"))</f>
        <v/>
      </c>
      <c r="U291" s="25" t="str">
        <f aca="false">IF(C291="","",IF(V291="","No",IF(Config!$C$4-V291&lt;=Config!$C$15,"Sí","No")))</f>
        <v>No</v>
      </c>
      <c r="V291" s="23"/>
      <c r="W291" s="22"/>
      <c r="X291" s="22"/>
      <c r="Y291" s="22"/>
      <c r="Z291" s="27"/>
      <c r="AA291" s="22"/>
      <c r="AB291" s="22"/>
    </row>
    <row r="292" customFormat="false" ht="15" hidden="false" customHeight="false" outlineLevel="0" collapsed="false">
      <c r="A292" s="22" t="n">
        <v>291</v>
      </c>
      <c r="B292" s="22" t="s">
        <v>1410</v>
      </c>
      <c r="C292" s="22" t="s">
        <v>1411</v>
      </c>
      <c r="D292" s="22" t="s">
        <v>149</v>
      </c>
      <c r="E292" s="22" t="s">
        <v>139</v>
      </c>
      <c r="F292" s="22" t="s">
        <v>102</v>
      </c>
      <c r="G292" s="23" t="n">
        <v>44925</v>
      </c>
      <c r="H292" s="24" t="n">
        <f aca="false">IF(G292="","",ROUND((Config!$C$4-G292)/365.25,2))</f>
        <v>3.75</v>
      </c>
      <c r="I292" s="25" t="str">
        <f aca="false">IF(H292="","",IF(H292&lt;=1,"Tramo 1",IF(H292&lt;=3,"Tramo 2",IF(H292&lt;=5,"Tramo 3","Tramo 4"))))</f>
        <v>Tramo 3</v>
      </c>
      <c r="J292" s="22" t="s">
        <v>140</v>
      </c>
      <c r="K292" s="22"/>
      <c r="L292" s="22" t="s">
        <v>1412</v>
      </c>
      <c r="M292" s="26" t="s">
        <v>1413</v>
      </c>
      <c r="N292" s="22"/>
      <c r="O292" s="22" t="s">
        <v>63</v>
      </c>
      <c r="P292" s="25" t="str">
        <f aca="false">IF(OR(O292="",O292="Sin información"),"",IFERROR(INDEX(Listas!$B$2:$B$9,MATCH(O292,Listas!$A$2:$A$9,0)),""))</f>
        <v/>
      </c>
      <c r="Q292" s="25" t="str">
        <f aca="false">IF(OR(O292="",O292="Sin información"),"",IFERROR(INDEX(Listas!$C$2:$C$9,MATCH(O292,Listas!$A$2:$A$9,0)),""))</f>
        <v/>
      </c>
      <c r="R292" s="22"/>
      <c r="S292" s="22"/>
      <c r="T292" s="25" t="str">
        <f aca="false">IF(S292="","",IFERROR(INDEX(Empleadores!$B$2:$B$601,MATCH(S292,Empleadores!$A$2:$A$601,0)),"No encontrado"))</f>
        <v/>
      </c>
      <c r="U292" s="25" t="str">
        <f aca="false">IF(C292="","",IF(V292="","No",IF(Config!$C$4-V292&lt;=Config!$C$15,"Sí","No")))</f>
        <v>No</v>
      </c>
      <c r="V292" s="23"/>
      <c r="W292" s="22"/>
      <c r="X292" s="22"/>
      <c r="Y292" s="22"/>
      <c r="Z292" s="27"/>
      <c r="AA292" s="22"/>
      <c r="AB292" s="22"/>
    </row>
    <row r="293" customFormat="false" ht="15" hidden="false" customHeight="false" outlineLevel="0" collapsed="false">
      <c r="A293" s="22" t="n">
        <v>292</v>
      </c>
      <c r="B293" s="22" t="s">
        <v>1414</v>
      </c>
      <c r="C293" s="22" t="s">
        <v>1415</v>
      </c>
      <c r="D293" s="22" t="s">
        <v>138</v>
      </c>
      <c r="E293" s="22" t="s">
        <v>139</v>
      </c>
      <c r="F293" s="22" t="s">
        <v>102</v>
      </c>
      <c r="G293" s="23" t="n">
        <v>44925</v>
      </c>
      <c r="H293" s="24" t="n">
        <f aca="false">IF(G293="","",ROUND((Config!$C$4-G293)/365.25,2))</f>
        <v>3.75</v>
      </c>
      <c r="I293" s="25" t="str">
        <f aca="false">IF(H293="","",IF(H293&lt;=1,"Tramo 1",IF(H293&lt;=3,"Tramo 2",IF(H293&lt;=5,"Tramo 3","Tramo 4"))))</f>
        <v>Tramo 3</v>
      </c>
      <c r="J293" s="22" t="s">
        <v>140</v>
      </c>
      <c r="K293" s="22"/>
      <c r="L293" s="22" t="s">
        <v>1416</v>
      </c>
      <c r="M293" s="26" t="s">
        <v>1417</v>
      </c>
      <c r="N293" s="22"/>
      <c r="O293" s="22" t="s">
        <v>63</v>
      </c>
      <c r="P293" s="25" t="str">
        <f aca="false">IF(OR(O293="",O293="Sin información"),"",IFERROR(INDEX(Listas!$B$2:$B$9,MATCH(O293,Listas!$A$2:$A$9,0)),""))</f>
        <v/>
      </c>
      <c r="Q293" s="25" t="str">
        <f aca="false">IF(OR(O293="",O293="Sin información"),"",IFERROR(INDEX(Listas!$C$2:$C$9,MATCH(O293,Listas!$A$2:$A$9,0)),""))</f>
        <v/>
      </c>
      <c r="R293" s="22"/>
      <c r="S293" s="22"/>
      <c r="T293" s="25" t="str">
        <f aca="false">IF(S293="","",IFERROR(INDEX(Empleadores!$B$2:$B$601,MATCH(S293,Empleadores!$A$2:$A$601,0)),"No encontrado"))</f>
        <v/>
      </c>
      <c r="U293" s="25" t="str">
        <f aca="false">IF(C293="","",IF(V293="","No",IF(Config!$C$4-V293&lt;=Config!$C$15,"Sí","No")))</f>
        <v>No</v>
      </c>
      <c r="V293" s="23"/>
      <c r="W293" s="22"/>
      <c r="X293" s="22"/>
      <c r="Y293" s="22"/>
      <c r="Z293" s="27"/>
      <c r="AA293" s="22"/>
      <c r="AB293" s="22"/>
    </row>
    <row r="294" customFormat="false" ht="15" hidden="false" customHeight="false" outlineLevel="0" collapsed="false">
      <c r="A294" s="22" t="n">
        <v>293</v>
      </c>
      <c r="B294" s="22" t="s">
        <v>1418</v>
      </c>
      <c r="C294" s="22" t="s">
        <v>1419</v>
      </c>
      <c r="D294" s="22" t="s">
        <v>149</v>
      </c>
      <c r="E294" s="22" t="s">
        <v>139</v>
      </c>
      <c r="F294" s="22" t="s">
        <v>102</v>
      </c>
      <c r="G294" s="23" t="n">
        <v>44925</v>
      </c>
      <c r="H294" s="24" t="n">
        <f aca="false">IF(G294="","",ROUND((Config!$C$4-G294)/365.25,2))</f>
        <v>3.75</v>
      </c>
      <c r="I294" s="25" t="str">
        <f aca="false">IF(H294="","",IF(H294&lt;=1,"Tramo 1",IF(H294&lt;=3,"Tramo 2",IF(H294&lt;=5,"Tramo 3","Tramo 4"))))</f>
        <v>Tramo 3</v>
      </c>
      <c r="J294" s="22" t="s">
        <v>140</v>
      </c>
      <c r="K294" s="22"/>
      <c r="L294" s="22" t="s">
        <v>1420</v>
      </c>
      <c r="M294" s="26" t="s">
        <v>1421</v>
      </c>
      <c r="N294" s="22"/>
      <c r="O294" s="22" t="s">
        <v>63</v>
      </c>
      <c r="P294" s="25" t="str">
        <f aca="false">IF(OR(O294="",O294="Sin información"),"",IFERROR(INDEX(Listas!$B$2:$B$9,MATCH(O294,Listas!$A$2:$A$9,0)),""))</f>
        <v/>
      </c>
      <c r="Q294" s="25" t="str">
        <f aca="false">IF(OR(O294="",O294="Sin información"),"",IFERROR(INDEX(Listas!$C$2:$C$9,MATCH(O294,Listas!$A$2:$A$9,0)),""))</f>
        <v/>
      </c>
      <c r="R294" s="22"/>
      <c r="S294" s="22"/>
      <c r="T294" s="25" t="str">
        <f aca="false">IF(S294="","",IFERROR(INDEX(Empleadores!$B$2:$B$601,MATCH(S294,Empleadores!$A$2:$A$601,0)),"No encontrado"))</f>
        <v/>
      </c>
      <c r="U294" s="25" t="str">
        <f aca="false">IF(C294="","",IF(V294="","No",IF(Config!$C$4-V294&lt;=Config!$C$15,"Sí","No")))</f>
        <v>No</v>
      </c>
      <c r="V294" s="23"/>
      <c r="W294" s="22"/>
      <c r="X294" s="22"/>
      <c r="Y294" s="22"/>
      <c r="Z294" s="27"/>
      <c r="AA294" s="22"/>
      <c r="AB294" s="22"/>
    </row>
    <row r="295" customFormat="false" ht="15" hidden="false" customHeight="false" outlineLevel="0" collapsed="false">
      <c r="A295" s="22" t="n">
        <v>294</v>
      </c>
      <c r="B295" s="22" t="s">
        <v>1422</v>
      </c>
      <c r="C295" s="22" t="s">
        <v>1423</v>
      </c>
      <c r="D295" s="22" t="s">
        <v>149</v>
      </c>
      <c r="E295" s="22" t="s">
        <v>139</v>
      </c>
      <c r="F295" s="22" t="s">
        <v>102</v>
      </c>
      <c r="G295" s="23" t="n">
        <v>44925</v>
      </c>
      <c r="H295" s="24" t="n">
        <f aca="false">IF(G295="","",ROUND((Config!$C$4-G295)/365.25,2))</f>
        <v>3.75</v>
      </c>
      <c r="I295" s="25" t="str">
        <f aca="false">IF(H295="","",IF(H295&lt;=1,"Tramo 1",IF(H295&lt;=3,"Tramo 2",IF(H295&lt;=5,"Tramo 3","Tramo 4"))))</f>
        <v>Tramo 3</v>
      </c>
      <c r="J295" s="22" t="s">
        <v>140</v>
      </c>
      <c r="K295" s="22"/>
      <c r="L295" s="22" t="s">
        <v>1424</v>
      </c>
      <c r="M295" s="26" t="s">
        <v>1425</v>
      </c>
      <c r="N295" s="22"/>
      <c r="O295" s="22" t="s">
        <v>63</v>
      </c>
      <c r="P295" s="25" t="str">
        <f aca="false">IF(OR(O295="",O295="Sin información"),"",IFERROR(INDEX(Listas!$B$2:$B$9,MATCH(O295,Listas!$A$2:$A$9,0)),""))</f>
        <v/>
      </c>
      <c r="Q295" s="25" t="str">
        <f aca="false">IF(OR(O295="",O295="Sin información"),"",IFERROR(INDEX(Listas!$C$2:$C$9,MATCH(O295,Listas!$A$2:$A$9,0)),""))</f>
        <v/>
      </c>
      <c r="R295" s="22"/>
      <c r="S295" s="22"/>
      <c r="T295" s="25" t="str">
        <f aca="false">IF(S295="","",IFERROR(INDEX(Empleadores!$B$2:$B$601,MATCH(S295,Empleadores!$A$2:$A$601,0)),"No encontrado"))</f>
        <v/>
      </c>
      <c r="U295" s="25" t="str">
        <f aca="false">IF(C295="","",IF(V295="","No",IF(Config!$C$4-V295&lt;=Config!$C$15,"Sí","No")))</f>
        <v>No</v>
      </c>
      <c r="V295" s="23"/>
      <c r="W295" s="22"/>
      <c r="X295" s="22"/>
      <c r="Y295" s="22"/>
      <c r="Z295" s="27"/>
      <c r="AA295" s="22"/>
      <c r="AB295" s="22"/>
    </row>
    <row r="296" customFormat="false" ht="15" hidden="false" customHeight="false" outlineLevel="0" collapsed="false">
      <c r="A296" s="22" t="n">
        <v>295</v>
      </c>
      <c r="B296" s="22" t="s">
        <v>1426</v>
      </c>
      <c r="C296" s="22" t="s">
        <v>1427</v>
      </c>
      <c r="D296" s="22" t="s">
        <v>138</v>
      </c>
      <c r="E296" s="22" t="s">
        <v>139</v>
      </c>
      <c r="F296" s="22" t="s">
        <v>102</v>
      </c>
      <c r="G296" s="23" t="n">
        <v>44925</v>
      </c>
      <c r="H296" s="24" t="n">
        <f aca="false">IF(G296="","",ROUND((Config!$C$4-G296)/365.25,2))</f>
        <v>3.75</v>
      </c>
      <c r="I296" s="25" t="str">
        <f aca="false">IF(H296="","",IF(H296&lt;=1,"Tramo 1",IF(H296&lt;=3,"Tramo 2",IF(H296&lt;=5,"Tramo 3","Tramo 4"))))</f>
        <v>Tramo 3</v>
      </c>
      <c r="J296" s="22" t="s">
        <v>140</v>
      </c>
      <c r="K296" s="22"/>
      <c r="L296" s="22" t="s">
        <v>1428</v>
      </c>
      <c r="M296" s="26" t="s">
        <v>1429</v>
      </c>
      <c r="N296" s="22"/>
      <c r="O296" s="22" t="s">
        <v>63</v>
      </c>
      <c r="P296" s="25" t="str">
        <f aca="false">IF(OR(O296="",O296="Sin información"),"",IFERROR(INDEX(Listas!$B$2:$B$9,MATCH(O296,Listas!$A$2:$A$9,0)),""))</f>
        <v/>
      </c>
      <c r="Q296" s="25" t="str">
        <f aca="false">IF(OR(O296="",O296="Sin información"),"",IFERROR(INDEX(Listas!$C$2:$C$9,MATCH(O296,Listas!$A$2:$A$9,0)),""))</f>
        <v/>
      </c>
      <c r="R296" s="22"/>
      <c r="S296" s="22"/>
      <c r="T296" s="25" t="str">
        <f aca="false">IF(S296="","",IFERROR(INDEX(Empleadores!$B$2:$B$601,MATCH(S296,Empleadores!$A$2:$A$601,0)),"No encontrado"))</f>
        <v/>
      </c>
      <c r="U296" s="25" t="str">
        <f aca="false">IF(C296="","",IF(V296="","No",IF(Config!$C$4-V296&lt;=Config!$C$15,"Sí","No")))</f>
        <v>No</v>
      </c>
      <c r="V296" s="23"/>
      <c r="W296" s="22"/>
      <c r="X296" s="22"/>
      <c r="Y296" s="22"/>
      <c r="Z296" s="27"/>
      <c r="AA296" s="22"/>
      <c r="AB296" s="22"/>
    </row>
    <row r="297" customFormat="false" ht="15" hidden="false" customHeight="false" outlineLevel="0" collapsed="false">
      <c r="A297" s="22" t="n">
        <v>296</v>
      </c>
      <c r="B297" s="22" t="s">
        <v>1430</v>
      </c>
      <c r="C297" s="22" t="s">
        <v>1431</v>
      </c>
      <c r="D297" s="22" t="s">
        <v>138</v>
      </c>
      <c r="E297" s="22" t="s">
        <v>139</v>
      </c>
      <c r="F297" s="22" t="s">
        <v>102</v>
      </c>
      <c r="G297" s="23" t="n">
        <v>44925</v>
      </c>
      <c r="H297" s="24" t="n">
        <f aca="false">IF(G297="","",ROUND((Config!$C$4-G297)/365.25,2))</f>
        <v>3.75</v>
      </c>
      <c r="I297" s="25" t="str">
        <f aca="false">IF(H297="","",IF(H297&lt;=1,"Tramo 1",IF(H297&lt;=3,"Tramo 2",IF(H297&lt;=5,"Tramo 3","Tramo 4"))))</f>
        <v>Tramo 3</v>
      </c>
      <c r="J297" s="22" t="s">
        <v>140</v>
      </c>
      <c r="K297" s="22"/>
      <c r="L297" s="22" t="s">
        <v>1432</v>
      </c>
      <c r="M297" s="26" t="s">
        <v>1433</v>
      </c>
      <c r="N297" s="22"/>
      <c r="O297" s="22" t="s">
        <v>63</v>
      </c>
      <c r="P297" s="25" t="str">
        <f aca="false">IF(OR(O297="",O297="Sin información"),"",IFERROR(INDEX(Listas!$B$2:$B$9,MATCH(O297,Listas!$A$2:$A$9,0)),""))</f>
        <v/>
      </c>
      <c r="Q297" s="25" t="str">
        <f aca="false">IF(OR(O297="",O297="Sin información"),"",IFERROR(INDEX(Listas!$C$2:$C$9,MATCH(O297,Listas!$A$2:$A$9,0)),""))</f>
        <v/>
      </c>
      <c r="R297" s="22"/>
      <c r="S297" s="22"/>
      <c r="T297" s="25" t="str">
        <f aca="false">IF(S297="","",IFERROR(INDEX(Empleadores!$B$2:$B$601,MATCH(S297,Empleadores!$A$2:$A$601,0)),"No encontrado"))</f>
        <v/>
      </c>
      <c r="U297" s="25" t="str">
        <f aca="false">IF(C297="","",IF(V297="","No",IF(Config!$C$4-V297&lt;=Config!$C$15,"Sí","No")))</f>
        <v>No</v>
      </c>
      <c r="V297" s="23"/>
      <c r="W297" s="22"/>
      <c r="X297" s="22"/>
      <c r="Y297" s="22"/>
      <c r="Z297" s="27"/>
      <c r="AA297" s="22"/>
      <c r="AB297" s="22"/>
    </row>
    <row r="298" customFormat="false" ht="15" hidden="false" customHeight="false" outlineLevel="0" collapsed="false">
      <c r="A298" s="22" t="n">
        <v>297</v>
      </c>
      <c r="B298" s="22" t="s">
        <v>1434</v>
      </c>
      <c r="C298" s="22" t="s">
        <v>1435</v>
      </c>
      <c r="D298" s="22" t="s">
        <v>138</v>
      </c>
      <c r="E298" s="22" t="s">
        <v>139</v>
      </c>
      <c r="F298" s="22" t="s">
        <v>102</v>
      </c>
      <c r="G298" s="23" t="n">
        <v>44925</v>
      </c>
      <c r="H298" s="24" t="n">
        <f aca="false">IF(G298="","",ROUND((Config!$C$4-G298)/365.25,2))</f>
        <v>3.75</v>
      </c>
      <c r="I298" s="25" t="str">
        <f aca="false">IF(H298="","",IF(H298&lt;=1,"Tramo 1",IF(H298&lt;=3,"Tramo 2",IF(H298&lt;=5,"Tramo 3","Tramo 4"))))</f>
        <v>Tramo 3</v>
      </c>
      <c r="J298" s="22" t="s">
        <v>140</v>
      </c>
      <c r="K298" s="22"/>
      <c r="L298" s="22" t="s">
        <v>1436</v>
      </c>
      <c r="M298" s="26" t="s">
        <v>1437</v>
      </c>
      <c r="N298" s="22"/>
      <c r="O298" s="22" t="s">
        <v>63</v>
      </c>
      <c r="P298" s="25" t="str">
        <f aca="false">IF(OR(O298="",O298="Sin información"),"",IFERROR(INDEX(Listas!$B$2:$B$9,MATCH(O298,Listas!$A$2:$A$9,0)),""))</f>
        <v/>
      </c>
      <c r="Q298" s="25" t="str">
        <f aca="false">IF(OR(O298="",O298="Sin información"),"",IFERROR(INDEX(Listas!$C$2:$C$9,MATCH(O298,Listas!$A$2:$A$9,0)),""))</f>
        <v/>
      </c>
      <c r="R298" s="22"/>
      <c r="S298" s="22"/>
      <c r="T298" s="25" t="str">
        <f aca="false">IF(S298="","",IFERROR(INDEX(Empleadores!$B$2:$B$601,MATCH(S298,Empleadores!$A$2:$A$601,0)),"No encontrado"))</f>
        <v/>
      </c>
      <c r="U298" s="25" t="str">
        <f aca="false">IF(C298="","",IF(V298="","No",IF(Config!$C$4-V298&lt;=Config!$C$15,"Sí","No")))</f>
        <v>No</v>
      </c>
      <c r="V298" s="23"/>
      <c r="W298" s="22"/>
      <c r="X298" s="22"/>
      <c r="Y298" s="22"/>
      <c r="Z298" s="27"/>
      <c r="AA298" s="22"/>
      <c r="AB298" s="22"/>
    </row>
    <row r="299" customFormat="false" ht="15" hidden="false" customHeight="false" outlineLevel="0" collapsed="false">
      <c r="A299" s="22" t="n">
        <v>298</v>
      </c>
      <c r="B299" s="22" t="s">
        <v>1438</v>
      </c>
      <c r="C299" s="22" t="s">
        <v>1439</v>
      </c>
      <c r="D299" s="22" t="s">
        <v>138</v>
      </c>
      <c r="E299" s="22" t="s">
        <v>139</v>
      </c>
      <c r="F299" s="22" t="s">
        <v>102</v>
      </c>
      <c r="G299" s="23" t="n">
        <v>44925</v>
      </c>
      <c r="H299" s="24" t="n">
        <f aca="false">IF(G299="","",ROUND((Config!$C$4-G299)/365.25,2))</f>
        <v>3.75</v>
      </c>
      <c r="I299" s="25" t="str">
        <f aca="false">IF(H299="","",IF(H299&lt;=1,"Tramo 1",IF(H299&lt;=3,"Tramo 2",IF(H299&lt;=5,"Tramo 3","Tramo 4"))))</f>
        <v>Tramo 3</v>
      </c>
      <c r="J299" s="22" t="s">
        <v>140</v>
      </c>
      <c r="K299" s="22"/>
      <c r="L299" s="22" t="s">
        <v>1440</v>
      </c>
      <c r="M299" s="26" t="s">
        <v>1441</v>
      </c>
      <c r="N299" s="22"/>
      <c r="O299" s="22" t="s">
        <v>85</v>
      </c>
      <c r="P299" s="25" t="str">
        <f aca="false">IF(OR(O299="",O299="Sin información"),"",IFERROR(INDEX(Listas!$B$2:$B$9,MATCH(O299,Listas!$A$2:$A$9,0)),""))</f>
        <v>Sí</v>
      </c>
      <c r="Q299" s="25" t="str">
        <f aca="false">IF(OR(O299="",O299="Sin información"),"",IFERROR(INDEX(Listas!$C$2:$C$9,MATCH(O299,Listas!$A$2:$A$9,0)),""))</f>
        <v>Sí</v>
      </c>
      <c r="R299" s="22"/>
      <c r="S299" s="22"/>
      <c r="T299" s="25" t="str">
        <f aca="false">IF(S299="","",IFERROR(INDEX(Empleadores!$B$2:$B$601,MATCH(S299,Empleadores!$A$2:$A$601,0)),"No encontrado"))</f>
        <v/>
      </c>
      <c r="U299" s="25" t="str">
        <f aca="false">IF(C299="","",IF(V299="","No",IF(Config!$C$4-V299&lt;=Config!$C$15,"Sí","No")))</f>
        <v>Sí</v>
      </c>
      <c r="V299" s="23" t="n">
        <v>45970</v>
      </c>
      <c r="W299" s="22"/>
      <c r="X299" s="22"/>
      <c r="Y299" s="22" t="s">
        <v>181</v>
      </c>
      <c r="Z299" s="27" t="s">
        <v>1442</v>
      </c>
      <c r="AA299" s="22"/>
      <c r="AB299" s="22" t="s">
        <v>183</v>
      </c>
    </row>
    <row r="300" customFormat="false" ht="15" hidden="false" customHeight="false" outlineLevel="0" collapsed="false">
      <c r="A300" s="22" t="n">
        <v>299</v>
      </c>
      <c r="B300" s="22" t="s">
        <v>1443</v>
      </c>
      <c r="C300" s="22" t="s">
        <v>1444</v>
      </c>
      <c r="D300" s="22" t="s">
        <v>149</v>
      </c>
      <c r="E300" s="22" t="s">
        <v>139</v>
      </c>
      <c r="F300" s="22" t="s">
        <v>102</v>
      </c>
      <c r="G300" s="23" t="n">
        <v>44925</v>
      </c>
      <c r="H300" s="24" t="n">
        <f aca="false">IF(G300="","",ROUND((Config!$C$4-G300)/365.25,2))</f>
        <v>3.75</v>
      </c>
      <c r="I300" s="25" t="str">
        <f aca="false">IF(H300="","",IF(H300&lt;=1,"Tramo 1",IF(H300&lt;=3,"Tramo 2",IF(H300&lt;=5,"Tramo 3","Tramo 4"))))</f>
        <v>Tramo 3</v>
      </c>
      <c r="J300" s="22" t="s">
        <v>140</v>
      </c>
      <c r="K300" s="22"/>
      <c r="L300" s="22" t="s">
        <v>1445</v>
      </c>
      <c r="M300" s="26" t="s">
        <v>1446</v>
      </c>
      <c r="N300" s="22"/>
      <c r="O300" s="22" t="s">
        <v>63</v>
      </c>
      <c r="P300" s="25" t="str">
        <f aca="false">IF(OR(O300="",O300="Sin información"),"",IFERROR(INDEX(Listas!$B$2:$B$9,MATCH(O300,Listas!$A$2:$A$9,0)),""))</f>
        <v/>
      </c>
      <c r="Q300" s="25" t="str">
        <f aca="false">IF(OR(O300="",O300="Sin información"),"",IFERROR(INDEX(Listas!$C$2:$C$9,MATCH(O300,Listas!$A$2:$A$9,0)),""))</f>
        <v/>
      </c>
      <c r="R300" s="22"/>
      <c r="S300" s="22"/>
      <c r="T300" s="25" t="str">
        <f aca="false">IF(S300="","",IFERROR(INDEX(Empleadores!$B$2:$B$601,MATCH(S300,Empleadores!$A$2:$A$601,0)),"No encontrado"))</f>
        <v/>
      </c>
      <c r="U300" s="25" t="str">
        <f aca="false">IF(C300="","",IF(V300="","No",IF(Config!$C$4-V300&lt;=Config!$C$15,"Sí","No")))</f>
        <v>No</v>
      </c>
      <c r="V300" s="23"/>
      <c r="W300" s="22"/>
      <c r="X300" s="22"/>
      <c r="Y300" s="22"/>
      <c r="Z300" s="27"/>
      <c r="AA300" s="22"/>
      <c r="AB300" s="22"/>
    </row>
    <row r="301" customFormat="false" ht="15" hidden="false" customHeight="false" outlineLevel="0" collapsed="false">
      <c r="A301" s="22" t="n">
        <v>300</v>
      </c>
      <c r="B301" s="22" t="s">
        <v>1447</v>
      </c>
      <c r="C301" s="22" t="s">
        <v>1448</v>
      </c>
      <c r="D301" s="22" t="s">
        <v>138</v>
      </c>
      <c r="E301" s="22" t="s">
        <v>139</v>
      </c>
      <c r="F301" s="22" t="s">
        <v>102</v>
      </c>
      <c r="G301" s="23" t="n">
        <v>44925</v>
      </c>
      <c r="H301" s="24" t="n">
        <f aca="false">IF(G301="","",ROUND((Config!$C$4-G301)/365.25,2))</f>
        <v>3.75</v>
      </c>
      <c r="I301" s="25" t="str">
        <f aca="false">IF(H301="","",IF(H301&lt;=1,"Tramo 1",IF(H301&lt;=3,"Tramo 2",IF(H301&lt;=5,"Tramo 3","Tramo 4"))))</f>
        <v>Tramo 3</v>
      </c>
      <c r="J301" s="22" t="s">
        <v>140</v>
      </c>
      <c r="K301" s="22"/>
      <c r="L301" s="22" t="s">
        <v>1449</v>
      </c>
      <c r="M301" s="26" t="s">
        <v>1450</v>
      </c>
      <c r="N301" s="22"/>
      <c r="O301" s="22" t="s">
        <v>63</v>
      </c>
      <c r="P301" s="25" t="str">
        <f aca="false">IF(OR(O301="",O301="Sin información"),"",IFERROR(INDEX(Listas!$B$2:$B$9,MATCH(O301,Listas!$A$2:$A$9,0)),""))</f>
        <v/>
      </c>
      <c r="Q301" s="25" t="str">
        <f aca="false">IF(OR(O301="",O301="Sin información"),"",IFERROR(INDEX(Listas!$C$2:$C$9,MATCH(O301,Listas!$A$2:$A$9,0)),""))</f>
        <v/>
      </c>
      <c r="R301" s="22"/>
      <c r="S301" s="22"/>
      <c r="T301" s="25" t="str">
        <f aca="false">IF(S301="","",IFERROR(INDEX(Empleadores!$B$2:$B$601,MATCH(S301,Empleadores!$A$2:$A$601,0)),"No encontrado"))</f>
        <v/>
      </c>
      <c r="U301" s="25" t="str">
        <f aca="false">IF(C301="","",IF(V301="","No",IF(Config!$C$4-V301&lt;=Config!$C$15,"Sí","No")))</f>
        <v>No</v>
      </c>
      <c r="V301" s="23"/>
      <c r="W301" s="22"/>
      <c r="X301" s="22"/>
      <c r="Y301" s="22"/>
      <c r="Z301" s="27"/>
      <c r="AA301" s="22"/>
      <c r="AB301" s="22"/>
    </row>
    <row r="302" customFormat="false" ht="15" hidden="false" customHeight="false" outlineLevel="0" collapsed="false">
      <c r="A302" s="22" t="n">
        <v>301</v>
      </c>
      <c r="B302" s="22" t="s">
        <v>1451</v>
      </c>
      <c r="C302" s="22" t="s">
        <v>1452</v>
      </c>
      <c r="D302" s="22" t="s">
        <v>149</v>
      </c>
      <c r="E302" s="22" t="s">
        <v>139</v>
      </c>
      <c r="F302" s="22" t="s">
        <v>102</v>
      </c>
      <c r="G302" s="23" t="n">
        <v>44925</v>
      </c>
      <c r="H302" s="24" t="n">
        <f aca="false">IF(G302="","",ROUND((Config!$C$4-G302)/365.25,2))</f>
        <v>3.75</v>
      </c>
      <c r="I302" s="25" t="str">
        <f aca="false">IF(H302="","",IF(H302&lt;=1,"Tramo 1",IF(H302&lt;=3,"Tramo 2",IF(H302&lt;=5,"Tramo 3","Tramo 4"))))</f>
        <v>Tramo 3</v>
      </c>
      <c r="J302" s="22" t="s">
        <v>140</v>
      </c>
      <c r="K302" s="22"/>
      <c r="L302" s="22" t="s">
        <v>1453</v>
      </c>
      <c r="M302" s="26" t="s">
        <v>1454</v>
      </c>
      <c r="N302" s="22"/>
      <c r="O302" s="22" t="s">
        <v>63</v>
      </c>
      <c r="P302" s="25" t="str">
        <f aca="false">IF(OR(O302="",O302="Sin información"),"",IFERROR(INDEX(Listas!$B$2:$B$9,MATCH(O302,Listas!$A$2:$A$9,0)),""))</f>
        <v/>
      </c>
      <c r="Q302" s="25" t="str">
        <f aca="false">IF(OR(O302="",O302="Sin información"),"",IFERROR(INDEX(Listas!$C$2:$C$9,MATCH(O302,Listas!$A$2:$A$9,0)),""))</f>
        <v/>
      </c>
      <c r="R302" s="22"/>
      <c r="S302" s="22"/>
      <c r="T302" s="25" t="str">
        <f aca="false">IF(S302="","",IFERROR(INDEX(Empleadores!$B$2:$B$601,MATCH(S302,Empleadores!$A$2:$A$601,0)),"No encontrado"))</f>
        <v/>
      </c>
      <c r="U302" s="25" t="str">
        <f aca="false">IF(C302="","",IF(V302="","No",IF(Config!$C$4-V302&lt;=Config!$C$15,"Sí","No")))</f>
        <v>No</v>
      </c>
      <c r="V302" s="23"/>
      <c r="W302" s="22"/>
      <c r="X302" s="22"/>
      <c r="Y302" s="22"/>
      <c r="Z302" s="27"/>
      <c r="AA302" s="22"/>
      <c r="AB302" s="22"/>
    </row>
    <row r="303" customFormat="false" ht="15" hidden="false" customHeight="false" outlineLevel="0" collapsed="false">
      <c r="A303" s="22" t="n">
        <v>302</v>
      </c>
      <c r="B303" s="22" t="s">
        <v>1455</v>
      </c>
      <c r="C303" s="22" t="s">
        <v>1456</v>
      </c>
      <c r="D303" s="22" t="s">
        <v>149</v>
      </c>
      <c r="E303" s="22" t="s">
        <v>139</v>
      </c>
      <c r="F303" s="22" t="s">
        <v>102</v>
      </c>
      <c r="G303" s="23" t="n">
        <v>44925</v>
      </c>
      <c r="H303" s="24" t="n">
        <f aca="false">IF(G303="","",ROUND((Config!$C$4-G303)/365.25,2))</f>
        <v>3.75</v>
      </c>
      <c r="I303" s="25" t="str">
        <f aca="false">IF(H303="","",IF(H303&lt;=1,"Tramo 1",IF(H303&lt;=3,"Tramo 2",IF(H303&lt;=5,"Tramo 3","Tramo 4"))))</f>
        <v>Tramo 3</v>
      </c>
      <c r="J303" s="22" t="s">
        <v>140</v>
      </c>
      <c r="K303" s="22"/>
      <c r="L303" s="22" t="s">
        <v>1457</v>
      </c>
      <c r="M303" s="26" t="s">
        <v>1458</v>
      </c>
      <c r="N303" s="22"/>
      <c r="O303" s="22" t="s">
        <v>63</v>
      </c>
      <c r="P303" s="25" t="str">
        <f aca="false">IF(OR(O303="",O303="Sin información"),"",IFERROR(INDEX(Listas!$B$2:$B$9,MATCH(O303,Listas!$A$2:$A$9,0)),""))</f>
        <v/>
      </c>
      <c r="Q303" s="25" t="str">
        <f aca="false">IF(OR(O303="",O303="Sin información"),"",IFERROR(INDEX(Listas!$C$2:$C$9,MATCH(O303,Listas!$A$2:$A$9,0)),""))</f>
        <v/>
      </c>
      <c r="R303" s="22"/>
      <c r="S303" s="22"/>
      <c r="T303" s="25" t="str">
        <f aca="false">IF(S303="","",IFERROR(INDEX(Empleadores!$B$2:$B$601,MATCH(S303,Empleadores!$A$2:$A$601,0)),"No encontrado"))</f>
        <v/>
      </c>
      <c r="U303" s="25" t="str">
        <f aca="false">IF(C303="","",IF(V303="","No",IF(Config!$C$4-V303&lt;=Config!$C$15,"Sí","No")))</f>
        <v>No</v>
      </c>
      <c r="V303" s="23"/>
      <c r="W303" s="22"/>
      <c r="X303" s="22"/>
      <c r="Y303" s="22"/>
      <c r="Z303" s="27"/>
      <c r="AA303" s="22"/>
      <c r="AB303" s="22"/>
    </row>
    <row r="304" customFormat="false" ht="15" hidden="false" customHeight="false" outlineLevel="0" collapsed="false">
      <c r="A304" s="22" t="n">
        <v>303</v>
      </c>
      <c r="B304" s="22" t="s">
        <v>1459</v>
      </c>
      <c r="C304" s="22" t="s">
        <v>1460</v>
      </c>
      <c r="D304" s="22" t="s">
        <v>138</v>
      </c>
      <c r="E304" s="22" t="s">
        <v>139</v>
      </c>
      <c r="F304" s="22" t="s">
        <v>102</v>
      </c>
      <c r="G304" s="23" t="n">
        <v>44925</v>
      </c>
      <c r="H304" s="24" t="n">
        <f aca="false">IF(G304="","",ROUND((Config!$C$4-G304)/365.25,2))</f>
        <v>3.75</v>
      </c>
      <c r="I304" s="25" t="str">
        <f aca="false">IF(H304="","",IF(H304&lt;=1,"Tramo 1",IF(H304&lt;=3,"Tramo 2",IF(H304&lt;=5,"Tramo 3","Tramo 4"))))</f>
        <v>Tramo 3</v>
      </c>
      <c r="J304" s="22" t="s">
        <v>140</v>
      </c>
      <c r="K304" s="22"/>
      <c r="L304" s="22" t="s">
        <v>1461</v>
      </c>
      <c r="M304" s="26" t="s">
        <v>1462</v>
      </c>
      <c r="N304" s="22"/>
      <c r="O304" s="22" t="s">
        <v>63</v>
      </c>
      <c r="P304" s="25" t="str">
        <f aca="false">IF(OR(O304="",O304="Sin información"),"",IFERROR(INDEX(Listas!$B$2:$B$9,MATCH(O304,Listas!$A$2:$A$9,0)),""))</f>
        <v/>
      </c>
      <c r="Q304" s="25" t="str">
        <f aca="false">IF(OR(O304="",O304="Sin información"),"",IFERROR(INDEX(Listas!$C$2:$C$9,MATCH(O304,Listas!$A$2:$A$9,0)),""))</f>
        <v/>
      </c>
      <c r="R304" s="22"/>
      <c r="S304" s="22"/>
      <c r="T304" s="25" t="str">
        <f aca="false">IF(S304="","",IFERROR(INDEX(Empleadores!$B$2:$B$601,MATCH(S304,Empleadores!$A$2:$A$601,0)),"No encontrado"))</f>
        <v/>
      </c>
      <c r="U304" s="25" t="str">
        <f aca="false">IF(C304="","",IF(V304="","No",IF(Config!$C$4-V304&lt;=Config!$C$15,"Sí","No")))</f>
        <v>No</v>
      </c>
      <c r="V304" s="23"/>
      <c r="W304" s="22"/>
      <c r="X304" s="22"/>
      <c r="Y304" s="22"/>
      <c r="Z304" s="27"/>
      <c r="AA304" s="22"/>
      <c r="AB304" s="22"/>
    </row>
    <row r="305" customFormat="false" ht="15" hidden="false" customHeight="false" outlineLevel="0" collapsed="false">
      <c r="A305" s="22" t="n">
        <v>304</v>
      </c>
      <c r="B305" s="22" t="s">
        <v>1463</v>
      </c>
      <c r="C305" s="22" t="s">
        <v>1464</v>
      </c>
      <c r="D305" s="22" t="s">
        <v>138</v>
      </c>
      <c r="E305" s="22" t="s">
        <v>139</v>
      </c>
      <c r="F305" s="22" t="s">
        <v>102</v>
      </c>
      <c r="G305" s="23" t="n">
        <v>44925</v>
      </c>
      <c r="H305" s="24" t="n">
        <f aca="false">IF(G305="","",ROUND((Config!$C$4-G305)/365.25,2))</f>
        <v>3.75</v>
      </c>
      <c r="I305" s="25" t="str">
        <f aca="false">IF(H305="","",IF(H305&lt;=1,"Tramo 1",IF(H305&lt;=3,"Tramo 2",IF(H305&lt;=5,"Tramo 3","Tramo 4"))))</f>
        <v>Tramo 3</v>
      </c>
      <c r="J305" s="22" t="s">
        <v>140</v>
      </c>
      <c r="K305" s="22"/>
      <c r="L305" s="22" t="s">
        <v>1465</v>
      </c>
      <c r="M305" s="26" t="s">
        <v>1466</v>
      </c>
      <c r="N305" s="22"/>
      <c r="O305" s="22" t="s">
        <v>63</v>
      </c>
      <c r="P305" s="25" t="str">
        <f aca="false">IF(OR(O305="",O305="Sin información"),"",IFERROR(INDEX(Listas!$B$2:$B$9,MATCH(O305,Listas!$A$2:$A$9,0)),""))</f>
        <v/>
      </c>
      <c r="Q305" s="25" t="str">
        <f aca="false">IF(OR(O305="",O305="Sin información"),"",IFERROR(INDEX(Listas!$C$2:$C$9,MATCH(O305,Listas!$A$2:$A$9,0)),""))</f>
        <v/>
      </c>
      <c r="R305" s="22"/>
      <c r="S305" s="22"/>
      <c r="T305" s="25" t="str">
        <f aca="false">IF(S305="","",IFERROR(INDEX(Empleadores!$B$2:$B$601,MATCH(S305,Empleadores!$A$2:$A$601,0)),"No encontrado"))</f>
        <v/>
      </c>
      <c r="U305" s="25" t="str">
        <f aca="false">IF(C305="","",IF(V305="","No",IF(Config!$C$4-V305&lt;=Config!$C$15,"Sí","No")))</f>
        <v>No</v>
      </c>
      <c r="V305" s="23"/>
      <c r="W305" s="22"/>
      <c r="X305" s="22"/>
      <c r="Y305" s="22"/>
      <c r="Z305" s="27"/>
      <c r="AA305" s="22"/>
      <c r="AB305" s="22"/>
    </row>
    <row r="306" customFormat="false" ht="15" hidden="false" customHeight="false" outlineLevel="0" collapsed="false">
      <c r="A306" s="22" t="n">
        <v>305</v>
      </c>
      <c r="B306" s="22" t="s">
        <v>1467</v>
      </c>
      <c r="C306" s="22" t="s">
        <v>1468</v>
      </c>
      <c r="D306" s="22" t="s">
        <v>149</v>
      </c>
      <c r="E306" s="22" t="s">
        <v>139</v>
      </c>
      <c r="F306" s="22" t="s">
        <v>102</v>
      </c>
      <c r="G306" s="23" t="n">
        <v>44925</v>
      </c>
      <c r="H306" s="24" t="n">
        <f aca="false">IF(G306="","",ROUND((Config!$C$4-G306)/365.25,2))</f>
        <v>3.75</v>
      </c>
      <c r="I306" s="25" t="str">
        <f aca="false">IF(H306="","",IF(H306&lt;=1,"Tramo 1",IF(H306&lt;=3,"Tramo 2",IF(H306&lt;=5,"Tramo 3","Tramo 4"))))</f>
        <v>Tramo 3</v>
      </c>
      <c r="J306" s="22" t="s">
        <v>140</v>
      </c>
      <c r="K306" s="22"/>
      <c r="L306" s="22" t="s">
        <v>1469</v>
      </c>
      <c r="M306" s="26" t="s">
        <v>1470</v>
      </c>
      <c r="N306" s="22"/>
      <c r="O306" s="22" t="s">
        <v>63</v>
      </c>
      <c r="P306" s="25" t="str">
        <f aca="false">IF(OR(O306="",O306="Sin información"),"",IFERROR(INDEX(Listas!$B$2:$B$9,MATCH(O306,Listas!$A$2:$A$9,0)),""))</f>
        <v/>
      </c>
      <c r="Q306" s="25" t="str">
        <f aca="false">IF(OR(O306="",O306="Sin información"),"",IFERROR(INDEX(Listas!$C$2:$C$9,MATCH(O306,Listas!$A$2:$A$9,0)),""))</f>
        <v/>
      </c>
      <c r="R306" s="22"/>
      <c r="S306" s="22"/>
      <c r="T306" s="25" t="str">
        <f aca="false">IF(S306="","",IFERROR(INDEX(Empleadores!$B$2:$B$601,MATCH(S306,Empleadores!$A$2:$A$601,0)),"No encontrado"))</f>
        <v/>
      </c>
      <c r="U306" s="25" t="str">
        <f aca="false">IF(C306="","",IF(V306="","No",IF(Config!$C$4-V306&lt;=Config!$C$15,"Sí","No")))</f>
        <v>No</v>
      </c>
      <c r="V306" s="23"/>
      <c r="W306" s="22"/>
      <c r="X306" s="22"/>
      <c r="Y306" s="22"/>
      <c r="Z306" s="27"/>
      <c r="AA306" s="22"/>
      <c r="AB306" s="22"/>
    </row>
    <row r="307" customFormat="false" ht="15" hidden="false" customHeight="false" outlineLevel="0" collapsed="false">
      <c r="A307" s="22" t="n">
        <v>306</v>
      </c>
      <c r="B307" s="22" t="s">
        <v>1471</v>
      </c>
      <c r="C307" s="22" t="s">
        <v>1472</v>
      </c>
      <c r="D307" s="22" t="s">
        <v>149</v>
      </c>
      <c r="E307" s="22" t="s">
        <v>139</v>
      </c>
      <c r="F307" s="22" t="s">
        <v>102</v>
      </c>
      <c r="G307" s="23" t="n">
        <v>44925</v>
      </c>
      <c r="H307" s="24" t="n">
        <f aca="false">IF(G307="","",ROUND((Config!$C$4-G307)/365.25,2))</f>
        <v>3.75</v>
      </c>
      <c r="I307" s="25" t="str">
        <f aca="false">IF(H307="","",IF(H307&lt;=1,"Tramo 1",IF(H307&lt;=3,"Tramo 2",IF(H307&lt;=5,"Tramo 3","Tramo 4"))))</f>
        <v>Tramo 3</v>
      </c>
      <c r="J307" s="22" t="s">
        <v>140</v>
      </c>
      <c r="K307" s="22"/>
      <c r="L307" s="22" t="s">
        <v>1473</v>
      </c>
      <c r="M307" s="26" t="s">
        <v>1474</v>
      </c>
      <c r="N307" s="22"/>
      <c r="O307" s="22" t="s">
        <v>63</v>
      </c>
      <c r="P307" s="25" t="str">
        <f aca="false">IF(OR(O307="",O307="Sin información"),"",IFERROR(INDEX(Listas!$B$2:$B$9,MATCH(O307,Listas!$A$2:$A$9,0)),""))</f>
        <v/>
      </c>
      <c r="Q307" s="25" t="str">
        <f aca="false">IF(OR(O307="",O307="Sin información"),"",IFERROR(INDEX(Listas!$C$2:$C$9,MATCH(O307,Listas!$A$2:$A$9,0)),""))</f>
        <v/>
      </c>
      <c r="R307" s="22"/>
      <c r="S307" s="22"/>
      <c r="T307" s="25" t="str">
        <f aca="false">IF(S307="","",IFERROR(INDEX(Empleadores!$B$2:$B$601,MATCH(S307,Empleadores!$A$2:$A$601,0)),"No encontrado"))</f>
        <v/>
      </c>
      <c r="U307" s="25" t="str">
        <f aca="false">IF(C307="","",IF(V307="","No",IF(Config!$C$4-V307&lt;=Config!$C$15,"Sí","No")))</f>
        <v>No</v>
      </c>
      <c r="V307" s="23"/>
      <c r="W307" s="22"/>
      <c r="X307" s="22"/>
      <c r="Y307" s="22"/>
      <c r="Z307" s="27"/>
      <c r="AA307" s="22"/>
      <c r="AB307" s="22"/>
    </row>
    <row r="308" customFormat="false" ht="15" hidden="false" customHeight="false" outlineLevel="0" collapsed="false">
      <c r="A308" s="22" t="n">
        <v>307</v>
      </c>
      <c r="B308" s="22" t="s">
        <v>1475</v>
      </c>
      <c r="C308" s="22" t="s">
        <v>1476</v>
      </c>
      <c r="D308" s="22" t="s">
        <v>138</v>
      </c>
      <c r="E308" s="22" t="s">
        <v>139</v>
      </c>
      <c r="F308" s="22" t="s">
        <v>102</v>
      </c>
      <c r="G308" s="23" t="n">
        <v>44925</v>
      </c>
      <c r="H308" s="24" t="n">
        <f aca="false">IF(G308="","",ROUND((Config!$C$4-G308)/365.25,2))</f>
        <v>3.75</v>
      </c>
      <c r="I308" s="25" t="str">
        <f aca="false">IF(H308="","",IF(H308&lt;=1,"Tramo 1",IF(H308&lt;=3,"Tramo 2",IF(H308&lt;=5,"Tramo 3","Tramo 4"))))</f>
        <v>Tramo 3</v>
      </c>
      <c r="J308" s="22" t="s">
        <v>140</v>
      </c>
      <c r="K308" s="22"/>
      <c r="L308" s="22" t="s">
        <v>1477</v>
      </c>
      <c r="M308" s="26" t="s">
        <v>1478</v>
      </c>
      <c r="N308" s="22"/>
      <c r="O308" s="22" t="s">
        <v>63</v>
      </c>
      <c r="P308" s="25" t="str">
        <f aca="false">IF(OR(O308="",O308="Sin información"),"",IFERROR(INDEX(Listas!$B$2:$B$9,MATCH(O308,Listas!$A$2:$A$9,0)),""))</f>
        <v/>
      </c>
      <c r="Q308" s="25" t="str">
        <f aca="false">IF(OR(O308="",O308="Sin información"),"",IFERROR(INDEX(Listas!$C$2:$C$9,MATCH(O308,Listas!$A$2:$A$9,0)),""))</f>
        <v/>
      </c>
      <c r="R308" s="22"/>
      <c r="S308" s="22"/>
      <c r="T308" s="25" t="str">
        <f aca="false">IF(S308="","",IFERROR(INDEX(Empleadores!$B$2:$B$601,MATCH(S308,Empleadores!$A$2:$A$601,0)),"No encontrado"))</f>
        <v/>
      </c>
      <c r="U308" s="25" t="str">
        <f aca="false">IF(C308="","",IF(V308="","No",IF(Config!$C$4-V308&lt;=Config!$C$15,"Sí","No")))</f>
        <v>No</v>
      </c>
      <c r="V308" s="23"/>
      <c r="W308" s="22"/>
      <c r="X308" s="22"/>
      <c r="Y308" s="22"/>
      <c r="Z308" s="27"/>
      <c r="AA308" s="22"/>
      <c r="AB308" s="22"/>
    </row>
    <row r="309" customFormat="false" ht="15" hidden="false" customHeight="false" outlineLevel="0" collapsed="false">
      <c r="A309" s="22" t="n">
        <v>308</v>
      </c>
      <c r="B309" s="22" t="s">
        <v>1479</v>
      </c>
      <c r="C309" s="22" t="s">
        <v>1480</v>
      </c>
      <c r="D309" s="22" t="s">
        <v>149</v>
      </c>
      <c r="E309" s="22" t="s">
        <v>139</v>
      </c>
      <c r="F309" s="22" t="s">
        <v>102</v>
      </c>
      <c r="G309" s="23" t="n">
        <v>44925</v>
      </c>
      <c r="H309" s="24" t="n">
        <f aca="false">IF(G309="","",ROUND((Config!$C$4-G309)/365.25,2))</f>
        <v>3.75</v>
      </c>
      <c r="I309" s="25" t="str">
        <f aca="false">IF(H309="","",IF(H309&lt;=1,"Tramo 1",IF(H309&lt;=3,"Tramo 2",IF(H309&lt;=5,"Tramo 3","Tramo 4"))))</f>
        <v>Tramo 3</v>
      </c>
      <c r="J309" s="22" t="s">
        <v>140</v>
      </c>
      <c r="K309" s="22"/>
      <c r="L309" s="22" t="s">
        <v>1481</v>
      </c>
      <c r="M309" s="26" t="s">
        <v>1482</v>
      </c>
      <c r="N309" s="22"/>
      <c r="O309" s="22" t="s">
        <v>63</v>
      </c>
      <c r="P309" s="25" t="str">
        <f aca="false">IF(OR(O309="",O309="Sin información"),"",IFERROR(INDEX(Listas!$B$2:$B$9,MATCH(O309,Listas!$A$2:$A$9,0)),""))</f>
        <v/>
      </c>
      <c r="Q309" s="25" t="str">
        <f aca="false">IF(OR(O309="",O309="Sin información"),"",IFERROR(INDEX(Listas!$C$2:$C$9,MATCH(O309,Listas!$A$2:$A$9,0)),""))</f>
        <v/>
      </c>
      <c r="R309" s="22"/>
      <c r="S309" s="22"/>
      <c r="T309" s="25" t="str">
        <f aca="false">IF(S309="","",IFERROR(INDEX(Empleadores!$B$2:$B$601,MATCH(S309,Empleadores!$A$2:$A$601,0)),"No encontrado"))</f>
        <v/>
      </c>
      <c r="U309" s="25" t="str">
        <f aca="false">IF(C309="","",IF(V309="","No",IF(Config!$C$4-V309&lt;=Config!$C$15,"Sí","No")))</f>
        <v>No</v>
      </c>
      <c r="V309" s="23"/>
      <c r="W309" s="22"/>
      <c r="X309" s="22"/>
      <c r="Y309" s="22"/>
      <c r="Z309" s="27"/>
      <c r="AA309" s="22"/>
      <c r="AB309" s="22"/>
    </row>
    <row r="310" customFormat="false" ht="15" hidden="false" customHeight="false" outlineLevel="0" collapsed="false">
      <c r="A310" s="22" t="n">
        <v>309</v>
      </c>
      <c r="B310" s="22" t="s">
        <v>1483</v>
      </c>
      <c r="C310" s="22" t="s">
        <v>1484</v>
      </c>
      <c r="D310" s="22" t="s">
        <v>149</v>
      </c>
      <c r="E310" s="22" t="s">
        <v>139</v>
      </c>
      <c r="F310" s="22" t="s">
        <v>102</v>
      </c>
      <c r="G310" s="23" t="n">
        <v>44925</v>
      </c>
      <c r="H310" s="24" t="n">
        <f aca="false">IF(G310="","",ROUND((Config!$C$4-G310)/365.25,2))</f>
        <v>3.75</v>
      </c>
      <c r="I310" s="25" t="str">
        <f aca="false">IF(H310="","",IF(H310&lt;=1,"Tramo 1",IF(H310&lt;=3,"Tramo 2",IF(H310&lt;=5,"Tramo 3","Tramo 4"))))</f>
        <v>Tramo 3</v>
      </c>
      <c r="J310" s="22" t="s">
        <v>140</v>
      </c>
      <c r="K310" s="22"/>
      <c r="L310" s="22" t="s">
        <v>1485</v>
      </c>
      <c r="M310" s="26" t="s">
        <v>1486</v>
      </c>
      <c r="N310" s="22"/>
      <c r="O310" s="22" t="s">
        <v>63</v>
      </c>
      <c r="P310" s="25" t="str">
        <f aca="false">IF(OR(O310="",O310="Sin información"),"",IFERROR(INDEX(Listas!$B$2:$B$9,MATCH(O310,Listas!$A$2:$A$9,0)),""))</f>
        <v/>
      </c>
      <c r="Q310" s="25" t="str">
        <f aca="false">IF(OR(O310="",O310="Sin información"),"",IFERROR(INDEX(Listas!$C$2:$C$9,MATCH(O310,Listas!$A$2:$A$9,0)),""))</f>
        <v/>
      </c>
      <c r="R310" s="22"/>
      <c r="S310" s="22"/>
      <c r="T310" s="25" t="str">
        <f aca="false">IF(S310="","",IFERROR(INDEX(Empleadores!$B$2:$B$601,MATCH(S310,Empleadores!$A$2:$A$601,0)),"No encontrado"))</f>
        <v/>
      </c>
      <c r="U310" s="25" t="str">
        <f aca="false">IF(C310="","",IF(V310="","No",IF(Config!$C$4-V310&lt;=Config!$C$15,"Sí","No")))</f>
        <v>No</v>
      </c>
      <c r="V310" s="23"/>
      <c r="W310" s="22"/>
      <c r="X310" s="22"/>
      <c r="Y310" s="22"/>
      <c r="Z310" s="27"/>
      <c r="AA310" s="22"/>
      <c r="AB310" s="22"/>
    </row>
    <row r="311" customFormat="false" ht="15" hidden="false" customHeight="false" outlineLevel="0" collapsed="false">
      <c r="A311" s="22" t="n">
        <v>310</v>
      </c>
      <c r="B311" s="22" t="s">
        <v>1487</v>
      </c>
      <c r="C311" s="22" t="s">
        <v>1488</v>
      </c>
      <c r="D311" s="22" t="s">
        <v>149</v>
      </c>
      <c r="E311" s="22" t="s">
        <v>139</v>
      </c>
      <c r="F311" s="22" t="s">
        <v>102</v>
      </c>
      <c r="G311" s="23" t="n">
        <v>44925</v>
      </c>
      <c r="H311" s="24" t="n">
        <f aca="false">IF(G311="","",ROUND((Config!$C$4-G311)/365.25,2))</f>
        <v>3.75</v>
      </c>
      <c r="I311" s="25" t="str">
        <f aca="false">IF(H311="","",IF(H311&lt;=1,"Tramo 1",IF(H311&lt;=3,"Tramo 2",IF(H311&lt;=5,"Tramo 3","Tramo 4"))))</f>
        <v>Tramo 3</v>
      </c>
      <c r="J311" s="22" t="s">
        <v>140</v>
      </c>
      <c r="K311" s="22"/>
      <c r="L311" s="22" t="s">
        <v>1489</v>
      </c>
      <c r="M311" s="26" t="s">
        <v>1490</v>
      </c>
      <c r="N311" s="22"/>
      <c r="O311" s="22" t="s">
        <v>63</v>
      </c>
      <c r="P311" s="25" t="str">
        <f aca="false">IF(OR(O311="",O311="Sin información"),"",IFERROR(INDEX(Listas!$B$2:$B$9,MATCH(O311,Listas!$A$2:$A$9,0)),""))</f>
        <v/>
      </c>
      <c r="Q311" s="25" t="str">
        <f aca="false">IF(OR(O311="",O311="Sin información"),"",IFERROR(INDEX(Listas!$C$2:$C$9,MATCH(O311,Listas!$A$2:$A$9,0)),""))</f>
        <v/>
      </c>
      <c r="R311" s="22"/>
      <c r="S311" s="22"/>
      <c r="T311" s="25" t="str">
        <f aca="false">IF(S311="","",IFERROR(INDEX(Empleadores!$B$2:$B$601,MATCH(S311,Empleadores!$A$2:$A$601,0)),"No encontrado"))</f>
        <v/>
      </c>
      <c r="U311" s="25" t="str">
        <f aca="false">IF(C311="","",IF(V311="","No",IF(Config!$C$4-V311&lt;=Config!$C$15,"Sí","No")))</f>
        <v>No</v>
      </c>
      <c r="V311" s="23"/>
      <c r="W311" s="22"/>
      <c r="X311" s="22"/>
      <c r="Y311" s="22"/>
      <c r="Z311" s="27"/>
      <c r="AA311" s="22"/>
      <c r="AB311" s="22"/>
    </row>
    <row r="312" customFormat="false" ht="15" hidden="false" customHeight="false" outlineLevel="0" collapsed="false">
      <c r="A312" s="22" t="n">
        <v>311</v>
      </c>
      <c r="B312" s="22" t="s">
        <v>1491</v>
      </c>
      <c r="C312" s="22" t="s">
        <v>1492</v>
      </c>
      <c r="D312" s="22" t="s">
        <v>138</v>
      </c>
      <c r="E312" s="22" t="s">
        <v>139</v>
      </c>
      <c r="F312" s="22" t="s">
        <v>102</v>
      </c>
      <c r="G312" s="23" t="n">
        <v>44925</v>
      </c>
      <c r="H312" s="24" t="n">
        <f aca="false">IF(G312="","",ROUND((Config!$C$4-G312)/365.25,2))</f>
        <v>3.75</v>
      </c>
      <c r="I312" s="25" t="str">
        <f aca="false">IF(H312="","",IF(H312&lt;=1,"Tramo 1",IF(H312&lt;=3,"Tramo 2",IF(H312&lt;=5,"Tramo 3","Tramo 4"))))</f>
        <v>Tramo 3</v>
      </c>
      <c r="J312" s="22" t="s">
        <v>140</v>
      </c>
      <c r="K312" s="22"/>
      <c r="L312" s="22" t="s">
        <v>1493</v>
      </c>
      <c r="M312" s="26" t="s">
        <v>1494</v>
      </c>
      <c r="N312" s="22"/>
      <c r="O312" s="22" t="s">
        <v>63</v>
      </c>
      <c r="P312" s="25" t="str">
        <f aca="false">IF(OR(O312="",O312="Sin información"),"",IFERROR(INDEX(Listas!$B$2:$B$9,MATCH(O312,Listas!$A$2:$A$9,0)),""))</f>
        <v/>
      </c>
      <c r="Q312" s="25" t="str">
        <f aca="false">IF(OR(O312="",O312="Sin información"),"",IFERROR(INDEX(Listas!$C$2:$C$9,MATCH(O312,Listas!$A$2:$A$9,0)),""))</f>
        <v/>
      </c>
      <c r="R312" s="22"/>
      <c r="S312" s="22"/>
      <c r="T312" s="25" t="str">
        <f aca="false">IF(S312="","",IFERROR(INDEX(Empleadores!$B$2:$B$601,MATCH(S312,Empleadores!$A$2:$A$601,0)),"No encontrado"))</f>
        <v/>
      </c>
      <c r="U312" s="25" t="str">
        <f aca="false">IF(C312="","",IF(V312="","No",IF(Config!$C$4-V312&lt;=Config!$C$15,"Sí","No")))</f>
        <v>No</v>
      </c>
      <c r="V312" s="23"/>
      <c r="W312" s="22"/>
      <c r="X312" s="22"/>
      <c r="Y312" s="22"/>
      <c r="Z312" s="27"/>
      <c r="AA312" s="22"/>
      <c r="AB312" s="22"/>
    </row>
    <row r="313" customFormat="false" ht="15" hidden="false" customHeight="false" outlineLevel="0" collapsed="false">
      <c r="A313" s="22" t="n">
        <v>312</v>
      </c>
      <c r="B313" s="22" t="s">
        <v>1495</v>
      </c>
      <c r="C313" s="22" t="s">
        <v>1496</v>
      </c>
      <c r="D313" s="22" t="s">
        <v>138</v>
      </c>
      <c r="E313" s="22" t="s">
        <v>139</v>
      </c>
      <c r="F313" s="22" t="s">
        <v>102</v>
      </c>
      <c r="G313" s="23" t="n">
        <v>44925</v>
      </c>
      <c r="H313" s="24" t="n">
        <f aca="false">IF(G313="","",ROUND((Config!$C$4-G313)/365.25,2))</f>
        <v>3.75</v>
      </c>
      <c r="I313" s="25" t="str">
        <f aca="false">IF(H313="","",IF(H313&lt;=1,"Tramo 1",IF(H313&lt;=3,"Tramo 2",IF(H313&lt;=5,"Tramo 3","Tramo 4"))))</f>
        <v>Tramo 3</v>
      </c>
      <c r="J313" s="22" t="s">
        <v>140</v>
      </c>
      <c r="K313" s="22"/>
      <c r="L313" s="22" t="s">
        <v>1497</v>
      </c>
      <c r="M313" s="26" t="s">
        <v>1498</v>
      </c>
      <c r="N313" s="22"/>
      <c r="O313" s="22" t="s">
        <v>63</v>
      </c>
      <c r="P313" s="25" t="str">
        <f aca="false">IF(OR(O313="",O313="Sin información"),"",IFERROR(INDEX(Listas!$B$2:$B$9,MATCH(O313,Listas!$A$2:$A$9,0)),""))</f>
        <v/>
      </c>
      <c r="Q313" s="25" t="str">
        <f aca="false">IF(OR(O313="",O313="Sin información"),"",IFERROR(INDEX(Listas!$C$2:$C$9,MATCH(O313,Listas!$A$2:$A$9,0)),""))</f>
        <v/>
      </c>
      <c r="R313" s="22"/>
      <c r="S313" s="22"/>
      <c r="T313" s="25" t="str">
        <f aca="false">IF(S313="","",IFERROR(INDEX(Empleadores!$B$2:$B$601,MATCH(S313,Empleadores!$A$2:$A$601,0)),"No encontrado"))</f>
        <v/>
      </c>
      <c r="U313" s="25" t="str">
        <f aca="false">IF(C313="","",IF(V313="","No",IF(Config!$C$4-V313&lt;=Config!$C$15,"Sí","No")))</f>
        <v>No</v>
      </c>
      <c r="V313" s="23"/>
      <c r="W313" s="22"/>
      <c r="X313" s="22"/>
      <c r="Y313" s="22"/>
      <c r="Z313" s="27"/>
      <c r="AA313" s="22"/>
      <c r="AB313" s="22"/>
    </row>
    <row r="314" customFormat="false" ht="15" hidden="false" customHeight="false" outlineLevel="0" collapsed="false">
      <c r="A314" s="22" t="n">
        <v>313</v>
      </c>
      <c r="B314" s="22" t="s">
        <v>1499</v>
      </c>
      <c r="C314" s="22" t="s">
        <v>1500</v>
      </c>
      <c r="D314" s="22" t="s">
        <v>138</v>
      </c>
      <c r="E314" s="22" t="s">
        <v>139</v>
      </c>
      <c r="F314" s="22" t="s">
        <v>102</v>
      </c>
      <c r="G314" s="23" t="n">
        <v>44925</v>
      </c>
      <c r="H314" s="24" t="n">
        <f aca="false">IF(G314="","",ROUND((Config!$C$4-G314)/365.25,2))</f>
        <v>3.75</v>
      </c>
      <c r="I314" s="25" t="str">
        <f aca="false">IF(H314="","",IF(H314&lt;=1,"Tramo 1",IF(H314&lt;=3,"Tramo 2",IF(H314&lt;=5,"Tramo 3","Tramo 4"))))</f>
        <v>Tramo 3</v>
      </c>
      <c r="J314" s="22" t="s">
        <v>140</v>
      </c>
      <c r="K314" s="22"/>
      <c r="L314" s="22" t="s">
        <v>1501</v>
      </c>
      <c r="M314" s="26" t="s">
        <v>1502</v>
      </c>
      <c r="N314" s="22"/>
      <c r="O314" s="22" t="s">
        <v>63</v>
      </c>
      <c r="P314" s="25" t="str">
        <f aca="false">IF(OR(O314="",O314="Sin información"),"",IFERROR(INDEX(Listas!$B$2:$B$9,MATCH(O314,Listas!$A$2:$A$9,0)),""))</f>
        <v/>
      </c>
      <c r="Q314" s="25" t="str">
        <f aca="false">IF(OR(O314="",O314="Sin información"),"",IFERROR(INDEX(Listas!$C$2:$C$9,MATCH(O314,Listas!$A$2:$A$9,0)),""))</f>
        <v/>
      </c>
      <c r="R314" s="22"/>
      <c r="S314" s="22"/>
      <c r="T314" s="25" t="str">
        <f aca="false">IF(S314="","",IFERROR(INDEX(Empleadores!$B$2:$B$601,MATCH(S314,Empleadores!$A$2:$A$601,0)),"No encontrado"))</f>
        <v/>
      </c>
      <c r="U314" s="25" t="str">
        <f aca="false">IF(C314="","",IF(V314="","No",IF(Config!$C$4-V314&lt;=Config!$C$15,"Sí","No")))</f>
        <v>No</v>
      </c>
      <c r="V314" s="23"/>
      <c r="W314" s="22"/>
      <c r="X314" s="22"/>
      <c r="Y314" s="22"/>
      <c r="Z314" s="27"/>
      <c r="AA314" s="22"/>
      <c r="AB314" s="22"/>
    </row>
    <row r="315" customFormat="false" ht="15" hidden="false" customHeight="false" outlineLevel="0" collapsed="false">
      <c r="A315" s="22" t="n">
        <v>314</v>
      </c>
      <c r="B315" s="22" t="s">
        <v>1503</v>
      </c>
      <c r="C315" s="22" t="s">
        <v>1504</v>
      </c>
      <c r="D315" s="22" t="s">
        <v>138</v>
      </c>
      <c r="E315" s="22" t="s">
        <v>139</v>
      </c>
      <c r="F315" s="22" t="s">
        <v>102</v>
      </c>
      <c r="G315" s="23" t="n">
        <v>44925</v>
      </c>
      <c r="H315" s="24" t="n">
        <f aca="false">IF(G315="","",ROUND((Config!$C$4-G315)/365.25,2))</f>
        <v>3.75</v>
      </c>
      <c r="I315" s="25" t="str">
        <f aca="false">IF(H315="","",IF(H315&lt;=1,"Tramo 1",IF(H315&lt;=3,"Tramo 2",IF(H315&lt;=5,"Tramo 3","Tramo 4"))))</f>
        <v>Tramo 3</v>
      </c>
      <c r="J315" s="22" t="s">
        <v>140</v>
      </c>
      <c r="K315" s="22"/>
      <c r="L315" s="22" t="s">
        <v>1505</v>
      </c>
      <c r="M315" s="26" t="s">
        <v>1506</v>
      </c>
      <c r="N315" s="22"/>
      <c r="O315" s="22" t="s">
        <v>63</v>
      </c>
      <c r="P315" s="25" t="str">
        <f aca="false">IF(OR(O315="",O315="Sin información"),"",IFERROR(INDEX(Listas!$B$2:$B$9,MATCH(O315,Listas!$A$2:$A$9,0)),""))</f>
        <v/>
      </c>
      <c r="Q315" s="25" t="str">
        <f aca="false">IF(OR(O315="",O315="Sin información"),"",IFERROR(INDEX(Listas!$C$2:$C$9,MATCH(O315,Listas!$A$2:$A$9,0)),""))</f>
        <v/>
      </c>
      <c r="R315" s="22"/>
      <c r="S315" s="22"/>
      <c r="T315" s="25" t="str">
        <f aca="false">IF(S315="","",IFERROR(INDEX(Empleadores!$B$2:$B$601,MATCH(S315,Empleadores!$A$2:$A$601,0)),"No encontrado"))</f>
        <v/>
      </c>
      <c r="U315" s="25" t="str">
        <f aca="false">IF(C315="","",IF(V315="","No",IF(Config!$C$4-V315&lt;=Config!$C$15,"Sí","No")))</f>
        <v>No</v>
      </c>
      <c r="V315" s="23"/>
      <c r="W315" s="22"/>
      <c r="X315" s="22"/>
      <c r="Y315" s="22"/>
      <c r="Z315" s="27"/>
      <c r="AA315" s="22"/>
      <c r="AB315" s="22"/>
    </row>
    <row r="316" customFormat="false" ht="15" hidden="false" customHeight="false" outlineLevel="0" collapsed="false">
      <c r="A316" s="22" t="n">
        <v>315</v>
      </c>
      <c r="B316" s="22" t="s">
        <v>1507</v>
      </c>
      <c r="C316" s="22" t="s">
        <v>1508</v>
      </c>
      <c r="D316" s="22" t="s">
        <v>149</v>
      </c>
      <c r="E316" s="22" t="s">
        <v>139</v>
      </c>
      <c r="F316" s="22" t="s">
        <v>102</v>
      </c>
      <c r="G316" s="23" t="n">
        <v>44925</v>
      </c>
      <c r="H316" s="24" t="n">
        <f aca="false">IF(G316="","",ROUND((Config!$C$4-G316)/365.25,2))</f>
        <v>3.75</v>
      </c>
      <c r="I316" s="25" t="str">
        <f aca="false">IF(H316="","",IF(H316&lt;=1,"Tramo 1",IF(H316&lt;=3,"Tramo 2",IF(H316&lt;=5,"Tramo 3","Tramo 4"))))</f>
        <v>Tramo 3</v>
      </c>
      <c r="J316" s="22" t="s">
        <v>140</v>
      </c>
      <c r="K316" s="22"/>
      <c r="L316" s="22" t="s">
        <v>1509</v>
      </c>
      <c r="M316" s="26" t="s">
        <v>1510</v>
      </c>
      <c r="N316" s="22"/>
      <c r="O316" s="22" t="s">
        <v>63</v>
      </c>
      <c r="P316" s="25" t="str">
        <f aca="false">IF(OR(O316="",O316="Sin información"),"",IFERROR(INDEX(Listas!$B$2:$B$9,MATCH(O316,Listas!$A$2:$A$9,0)),""))</f>
        <v/>
      </c>
      <c r="Q316" s="25" t="str">
        <f aca="false">IF(OR(O316="",O316="Sin información"),"",IFERROR(INDEX(Listas!$C$2:$C$9,MATCH(O316,Listas!$A$2:$A$9,0)),""))</f>
        <v/>
      </c>
      <c r="R316" s="22"/>
      <c r="S316" s="22"/>
      <c r="T316" s="25" t="str">
        <f aca="false">IF(S316="","",IFERROR(INDEX(Empleadores!$B$2:$B$601,MATCH(S316,Empleadores!$A$2:$A$601,0)),"No encontrado"))</f>
        <v/>
      </c>
      <c r="U316" s="25" t="str">
        <f aca="false">IF(C316="","",IF(V316="","No",IF(Config!$C$4-V316&lt;=Config!$C$15,"Sí","No")))</f>
        <v>No</v>
      </c>
      <c r="V316" s="23"/>
      <c r="W316" s="22"/>
      <c r="X316" s="22"/>
      <c r="Y316" s="22"/>
      <c r="Z316" s="27"/>
      <c r="AA316" s="22"/>
      <c r="AB316" s="22"/>
    </row>
    <row r="317" customFormat="false" ht="15" hidden="false" customHeight="false" outlineLevel="0" collapsed="false">
      <c r="A317" s="22" t="n">
        <v>316</v>
      </c>
      <c r="B317" s="22" t="s">
        <v>1511</v>
      </c>
      <c r="C317" s="22" t="s">
        <v>1512</v>
      </c>
      <c r="D317" s="22" t="s">
        <v>149</v>
      </c>
      <c r="E317" s="22" t="s">
        <v>139</v>
      </c>
      <c r="F317" s="22" t="s">
        <v>102</v>
      </c>
      <c r="G317" s="23" t="n">
        <v>44925</v>
      </c>
      <c r="H317" s="24" t="n">
        <f aca="false">IF(G317="","",ROUND((Config!$C$4-G317)/365.25,2))</f>
        <v>3.75</v>
      </c>
      <c r="I317" s="25" t="str">
        <f aca="false">IF(H317="","",IF(H317&lt;=1,"Tramo 1",IF(H317&lt;=3,"Tramo 2",IF(H317&lt;=5,"Tramo 3","Tramo 4"))))</f>
        <v>Tramo 3</v>
      </c>
      <c r="J317" s="22" t="s">
        <v>140</v>
      </c>
      <c r="K317" s="22"/>
      <c r="L317" s="22" t="s">
        <v>1513</v>
      </c>
      <c r="M317" s="26" t="s">
        <v>1514</v>
      </c>
      <c r="N317" s="22"/>
      <c r="O317" s="22" t="s">
        <v>63</v>
      </c>
      <c r="P317" s="25" t="str">
        <f aca="false">IF(OR(O317="",O317="Sin información"),"",IFERROR(INDEX(Listas!$B$2:$B$9,MATCH(O317,Listas!$A$2:$A$9,0)),""))</f>
        <v/>
      </c>
      <c r="Q317" s="25" t="str">
        <f aca="false">IF(OR(O317="",O317="Sin información"),"",IFERROR(INDEX(Listas!$C$2:$C$9,MATCH(O317,Listas!$A$2:$A$9,0)),""))</f>
        <v/>
      </c>
      <c r="R317" s="22"/>
      <c r="S317" s="22"/>
      <c r="T317" s="25" t="str">
        <f aca="false">IF(S317="","",IFERROR(INDEX(Empleadores!$B$2:$B$601,MATCH(S317,Empleadores!$A$2:$A$601,0)),"No encontrado"))</f>
        <v/>
      </c>
      <c r="U317" s="25" t="str">
        <f aca="false">IF(C317="","",IF(V317="","No",IF(Config!$C$4-V317&lt;=Config!$C$15,"Sí","No")))</f>
        <v>No</v>
      </c>
      <c r="V317" s="23"/>
      <c r="W317" s="22"/>
      <c r="X317" s="22"/>
      <c r="Y317" s="22"/>
      <c r="Z317" s="27"/>
      <c r="AA317" s="22"/>
      <c r="AB317" s="22"/>
    </row>
    <row r="318" customFormat="false" ht="15" hidden="false" customHeight="false" outlineLevel="0" collapsed="false">
      <c r="A318" s="22" t="n">
        <v>317</v>
      </c>
      <c r="B318" s="22" t="s">
        <v>1515</v>
      </c>
      <c r="C318" s="22" t="s">
        <v>1516</v>
      </c>
      <c r="D318" s="22" t="s">
        <v>149</v>
      </c>
      <c r="E318" s="22" t="s">
        <v>139</v>
      </c>
      <c r="F318" s="22" t="s">
        <v>102</v>
      </c>
      <c r="G318" s="23" t="n">
        <v>44925</v>
      </c>
      <c r="H318" s="24" t="n">
        <f aca="false">IF(G318="","",ROUND((Config!$C$4-G318)/365.25,2))</f>
        <v>3.75</v>
      </c>
      <c r="I318" s="25" t="str">
        <f aca="false">IF(H318="","",IF(H318&lt;=1,"Tramo 1",IF(H318&lt;=3,"Tramo 2",IF(H318&lt;=5,"Tramo 3","Tramo 4"))))</f>
        <v>Tramo 3</v>
      </c>
      <c r="J318" s="22" t="s">
        <v>140</v>
      </c>
      <c r="K318" s="22"/>
      <c r="L318" s="22" t="s">
        <v>1517</v>
      </c>
      <c r="M318" s="26" t="s">
        <v>1518</v>
      </c>
      <c r="N318" s="22"/>
      <c r="O318" s="22" t="s">
        <v>63</v>
      </c>
      <c r="P318" s="25" t="str">
        <f aca="false">IF(OR(O318="",O318="Sin información"),"",IFERROR(INDEX(Listas!$B$2:$B$9,MATCH(O318,Listas!$A$2:$A$9,0)),""))</f>
        <v/>
      </c>
      <c r="Q318" s="25" t="str">
        <f aca="false">IF(OR(O318="",O318="Sin información"),"",IFERROR(INDEX(Listas!$C$2:$C$9,MATCH(O318,Listas!$A$2:$A$9,0)),""))</f>
        <v/>
      </c>
      <c r="R318" s="22"/>
      <c r="S318" s="22"/>
      <c r="T318" s="25" t="str">
        <f aca="false">IF(S318="","",IFERROR(INDEX(Empleadores!$B$2:$B$601,MATCH(S318,Empleadores!$A$2:$A$601,0)),"No encontrado"))</f>
        <v/>
      </c>
      <c r="U318" s="25" t="str">
        <f aca="false">IF(C318="","",IF(V318="","No",IF(Config!$C$4-V318&lt;=Config!$C$15,"Sí","No")))</f>
        <v>No</v>
      </c>
      <c r="V318" s="23"/>
      <c r="W318" s="22"/>
      <c r="X318" s="22"/>
      <c r="Y318" s="22"/>
      <c r="Z318" s="27"/>
      <c r="AA318" s="22"/>
      <c r="AB318" s="22"/>
    </row>
    <row r="319" customFormat="false" ht="15" hidden="false" customHeight="false" outlineLevel="0" collapsed="false">
      <c r="A319" s="22" t="n">
        <v>318</v>
      </c>
      <c r="B319" s="22" t="s">
        <v>1519</v>
      </c>
      <c r="C319" s="22" t="s">
        <v>1520</v>
      </c>
      <c r="D319" s="22" t="s">
        <v>149</v>
      </c>
      <c r="E319" s="22" t="s">
        <v>139</v>
      </c>
      <c r="F319" s="22" t="s">
        <v>102</v>
      </c>
      <c r="G319" s="23" t="n">
        <v>44925</v>
      </c>
      <c r="H319" s="24" t="n">
        <f aca="false">IF(G319="","",ROUND((Config!$C$4-G319)/365.25,2))</f>
        <v>3.75</v>
      </c>
      <c r="I319" s="25" t="str">
        <f aca="false">IF(H319="","",IF(H319&lt;=1,"Tramo 1",IF(H319&lt;=3,"Tramo 2",IF(H319&lt;=5,"Tramo 3","Tramo 4"))))</f>
        <v>Tramo 3</v>
      </c>
      <c r="J319" s="22" t="s">
        <v>140</v>
      </c>
      <c r="K319" s="22"/>
      <c r="L319" s="22" t="s">
        <v>1521</v>
      </c>
      <c r="M319" s="26" t="s">
        <v>1522</v>
      </c>
      <c r="N319" s="22"/>
      <c r="O319" s="22" t="s">
        <v>63</v>
      </c>
      <c r="P319" s="25" t="str">
        <f aca="false">IF(OR(O319="",O319="Sin información"),"",IFERROR(INDEX(Listas!$B$2:$B$9,MATCH(O319,Listas!$A$2:$A$9,0)),""))</f>
        <v/>
      </c>
      <c r="Q319" s="25" t="str">
        <f aca="false">IF(OR(O319="",O319="Sin información"),"",IFERROR(INDEX(Listas!$C$2:$C$9,MATCH(O319,Listas!$A$2:$A$9,0)),""))</f>
        <v/>
      </c>
      <c r="R319" s="22"/>
      <c r="S319" s="22"/>
      <c r="T319" s="25" t="str">
        <f aca="false">IF(S319="","",IFERROR(INDEX(Empleadores!$B$2:$B$601,MATCH(S319,Empleadores!$A$2:$A$601,0)),"No encontrado"))</f>
        <v/>
      </c>
      <c r="U319" s="25" t="str">
        <f aca="false">IF(C319="","",IF(V319="","No",IF(Config!$C$4-V319&lt;=Config!$C$15,"Sí","No")))</f>
        <v>No</v>
      </c>
      <c r="V319" s="23"/>
      <c r="W319" s="22"/>
      <c r="X319" s="22"/>
      <c r="Y319" s="22"/>
      <c r="Z319" s="27"/>
      <c r="AA319" s="22"/>
      <c r="AB319" s="22"/>
    </row>
    <row r="320" customFormat="false" ht="15" hidden="false" customHeight="false" outlineLevel="0" collapsed="false">
      <c r="A320" s="22" t="n">
        <v>319</v>
      </c>
      <c r="B320" s="22" t="s">
        <v>1523</v>
      </c>
      <c r="C320" s="22" t="s">
        <v>1524</v>
      </c>
      <c r="D320" s="22" t="s">
        <v>149</v>
      </c>
      <c r="E320" s="22" t="s">
        <v>139</v>
      </c>
      <c r="F320" s="22" t="s">
        <v>102</v>
      </c>
      <c r="G320" s="23" t="n">
        <v>44925</v>
      </c>
      <c r="H320" s="24" t="n">
        <f aca="false">IF(G320="","",ROUND((Config!$C$4-G320)/365.25,2))</f>
        <v>3.75</v>
      </c>
      <c r="I320" s="25" t="str">
        <f aca="false">IF(H320="","",IF(H320&lt;=1,"Tramo 1",IF(H320&lt;=3,"Tramo 2",IF(H320&lt;=5,"Tramo 3","Tramo 4"))))</f>
        <v>Tramo 3</v>
      </c>
      <c r="J320" s="22" t="s">
        <v>140</v>
      </c>
      <c r="K320" s="22"/>
      <c r="L320" s="22" t="s">
        <v>1525</v>
      </c>
      <c r="M320" s="26" t="s">
        <v>1526</v>
      </c>
      <c r="N320" s="22"/>
      <c r="O320" s="22" t="s">
        <v>63</v>
      </c>
      <c r="P320" s="25" t="str">
        <f aca="false">IF(OR(O320="",O320="Sin información"),"",IFERROR(INDEX(Listas!$B$2:$B$9,MATCH(O320,Listas!$A$2:$A$9,0)),""))</f>
        <v/>
      </c>
      <c r="Q320" s="25" t="str">
        <f aca="false">IF(OR(O320="",O320="Sin información"),"",IFERROR(INDEX(Listas!$C$2:$C$9,MATCH(O320,Listas!$A$2:$A$9,0)),""))</f>
        <v/>
      </c>
      <c r="R320" s="22"/>
      <c r="S320" s="22"/>
      <c r="T320" s="25" t="str">
        <f aca="false">IF(S320="","",IFERROR(INDEX(Empleadores!$B$2:$B$601,MATCH(S320,Empleadores!$A$2:$A$601,0)),"No encontrado"))</f>
        <v/>
      </c>
      <c r="U320" s="25" t="str">
        <f aca="false">IF(C320="","",IF(V320="","No",IF(Config!$C$4-V320&lt;=Config!$C$15,"Sí","No")))</f>
        <v>No</v>
      </c>
      <c r="V320" s="23"/>
      <c r="W320" s="22"/>
      <c r="X320" s="22"/>
      <c r="Y320" s="22"/>
      <c r="Z320" s="27"/>
      <c r="AA320" s="22"/>
      <c r="AB320" s="22"/>
    </row>
    <row r="321" customFormat="false" ht="15" hidden="false" customHeight="false" outlineLevel="0" collapsed="false">
      <c r="A321" s="22" t="n">
        <v>320</v>
      </c>
      <c r="B321" s="22" t="s">
        <v>1527</v>
      </c>
      <c r="C321" s="22" t="s">
        <v>1528</v>
      </c>
      <c r="D321" s="22" t="s">
        <v>138</v>
      </c>
      <c r="E321" s="22" t="s">
        <v>139</v>
      </c>
      <c r="F321" s="22" t="s">
        <v>102</v>
      </c>
      <c r="G321" s="23" t="n">
        <v>44925</v>
      </c>
      <c r="H321" s="24" t="n">
        <f aca="false">IF(G321="","",ROUND((Config!$C$4-G321)/365.25,2))</f>
        <v>3.75</v>
      </c>
      <c r="I321" s="25" t="str">
        <f aca="false">IF(H321="","",IF(H321&lt;=1,"Tramo 1",IF(H321&lt;=3,"Tramo 2",IF(H321&lt;=5,"Tramo 3","Tramo 4"))))</f>
        <v>Tramo 3</v>
      </c>
      <c r="J321" s="22" t="s">
        <v>140</v>
      </c>
      <c r="K321" s="22"/>
      <c r="L321" s="22" t="s">
        <v>1529</v>
      </c>
      <c r="M321" s="26" t="s">
        <v>1530</v>
      </c>
      <c r="N321" s="22"/>
      <c r="O321" s="22" t="s">
        <v>63</v>
      </c>
      <c r="P321" s="25" t="str">
        <f aca="false">IF(OR(O321="",O321="Sin información"),"",IFERROR(INDEX(Listas!$B$2:$B$9,MATCH(O321,Listas!$A$2:$A$9,0)),""))</f>
        <v/>
      </c>
      <c r="Q321" s="25" t="str">
        <f aca="false">IF(OR(O321="",O321="Sin información"),"",IFERROR(INDEX(Listas!$C$2:$C$9,MATCH(O321,Listas!$A$2:$A$9,0)),""))</f>
        <v/>
      </c>
      <c r="R321" s="22"/>
      <c r="S321" s="22"/>
      <c r="T321" s="25" t="str">
        <f aca="false">IF(S321="","",IFERROR(INDEX(Empleadores!$B$2:$B$601,MATCH(S321,Empleadores!$A$2:$A$601,0)),"No encontrado"))</f>
        <v/>
      </c>
      <c r="U321" s="25" t="str">
        <f aca="false">IF(C321="","",IF(V321="","No",IF(Config!$C$4-V321&lt;=Config!$C$15,"Sí","No")))</f>
        <v>No</v>
      </c>
      <c r="V321" s="23"/>
      <c r="W321" s="22"/>
      <c r="X321" s="22"/>
      <c r="Y321" s="22"/>
      <c r="Z321" s="27"/>
      <c r="AA321" s="22"/>
      <c r="AB321" s="22"/>
    </row>
    <row r="322" customFormat="false" ht="15" hidden="false" customHeight="false" outlineLevel="0" collapsed="false">
      <c r="A322" s="22" t="n">
        <v>321</v>
      </c>
      <c r="B322" s="22" t="s">
        <v>1531</v>
      </c>
      <c r="C322" s="22" t="s">
        <v>1532</v>
      </c>
      <c r="D322" s="22" t="s">
        <v>149</v>
      </c>
      <c r="E322" s="22" t="s">
        <v>139</v>
      </c>
      <c r="F322" s="22" t="s">
        <v>103</v>
      </c>
      <c r="G322" s="23" t="n">
        <v>45103</v>
      </c>
      <c r="H322" s="24" t="n">
        <f aca="false">IF(G322="","",ROUND((Config!$C$4-G322)/365.25,2))</f>
        <v>3.27</v>
      </c>
      <c r="I322" s="25" t="str">
        <f aca="false">IF(H322="","",IF(H322&lt;=1,"Tramo 1",IF(H322&lt;=3,"Tramo 2",IF(H322&lt;=5,"Tramo 3","Tramo 4"))))</f>
        <v>Tramo 3</v>
      </c>
      <c r="J322" s="22" t="s">
        <v>140</v>
      </c>
      <c r="K322" s="22"/>
      <c r="L322" s="22" t="s">
        <v>1533</v>
      </c>
      <c r="M322" s="26" t="s">
        <v>1534</v>
      </c>
      <c r="N322" s="22"/>
      <c r="O322" s="22" t="s">
        <v>63</v>
      </c>
      <c r="P322" s="25" t="str">
        <f aca="false">IF(OR(O322="",O322="Sin información"),"",IFERROR(INDEX(Listas!$B$2:$B$9,MATCH(O322,Listas!$A$2:$A$9,0)),""))</f>
        <v/>
      </c>
      <c r="Q322" s="25" t="str">
        <f aca="false">IF(OR(O322="",O322="Sin información"),"",IFERROR(INDEX(Listas!$C$2:$C$9,MATCH(O322,Listas!$A$2:$A$9,0)),""))</f>
        <v/>
      </c>
      <c r="R322" s="22"/>
      <c r="S322" s="22"/>
      <c r="T322" s="25" t="str">
        <f aca="false">IF(S322="","",IFERROR(INDEX(Empleadores!$B$2:$B$601,MATCH(S322,Empleadores!$A$2:$A$601,0)),"No encontrado"))</f>
        <v/>
      </c>
      <c r="U322" s="25" t="str">
        <f aca="false">IF(C322="","",IF(V322="","No",IF(Config!$C$4-V322&lt;=Config!$C$15,"Sí","No")))</f>
        <v>No</v>
      </c>
      <c r="V322" s="23"/>
      <c r="W322" s="22"/>
      <c r="X322" s="22"/>
      <c r="Y322" s="22"/>
      <c r="Z322" s="27"/>
      <c r="AA322" s="22"/>
      <c r="AB322" s="22"/>
    </row>
    <row r="323" customFormat="false" ht="15" hidden="false" customHeight="false" outlineLevel="0" collapsed="false">
      <c r="A323" s="22" t="n">
        <v>322</v>
      </c>
      <c r="B323" s="22" t="s">
        <v>1535</v>
      </c>
      <c r="C323" s="22" t="s">
        <v>1536</v>
      </c>
      <c r="D323" s="22" t="s">
        <v>138</v>
      </c>
      <c r="E323" s="22" t="s">
        <v>139</v>
      </c>
      <c r="F323" s="22" t="s">
        <v>103</v>
      </c>
      <c r="G323" s="23" t="n">
        <v>45103</v>
      </c>
      <c r="H323" s="24" t="n">
        <f aca="false">IF(G323="","",ROUND((Config!$C$4-G323)/365.25,2))</f>
        <v>3.27</v>
      </c>
      <c r="I323" s="25" t="str">
        <f aca="false">IF(H323="","",IF(H323&lt;=1,"Tramo 1",IF(H323&lt;=3,"Tramo 2",IF(H323&lt;=5,"Tramo 3","Tramo 4"))))</f>
        <v>Tramo 3</v>
      </c>
      <c r="J323" s="22" t="s">
        <v>140</v>
      </c>
      <c r="K323" s="22"/>
      <c r="L323" s="22" t="s">
        <v>1537</v>
      </c>
      <c r="M323" s="26" t="s">
        <v>1538</v>
      </c>
      <c r="N323" s="22"/>
      <c r="O323" s="22" t="s">
        <v>63</v>
      </c>
      <c r="P323" s="25" t="str">
        <f aca="false">IF(OR(O323="",O323="Sin información"),"",IFERROR(INDEX(Listas!$B$2:$B$9,MATCH(O323,Listas!$A$2:$A$9,0)),""))</f>
        <v/>
      </c>
      <c r="Q323" s="25" t="str">
        <f aca="false">IF(OR(O323="",O323="Sin información"),"",IFERROR(INDEX(Listas!$C$2:$C$9,MATCH(O323,Listas!$A$2:$A$9,0)),""))</f>
        <v/>
      </c>
      <c r="R323" s="22"/>
      <c r="S323" s="22"/>
      <c r="T323" s="25" t="str">
        <f aca="false">IF(S323="","",IFERROR(INDEX(Empleadores!$B$2:$B$601,MATCH(S323,Empleadores!$A$2:$A$601,0)),"No encontrado"))</f>
        <v/>
      </c>
      <c r="U323" s="25" t="str">
        <f aca="false">IF(C323="","",IF(V323="","No",IF(Config!$C$4-V323&lt;=Config!$C$15,"Sí","No")))</f>
        <v>No</v>
      </c>
      <c r="V323" s="23"/>
      <c r="W323" s="22"/>
      <c r="X323" s="22"/>
      <c r="Y323" s="22"/>
      <c r="Z323" s="27"/>
      <c r="AA323" s="22"/>
      <c r="AB323" s="22"/>
    </row>
    <row r="324" customFormat="false" ht="15" hidden="false" customHeight="false" outlineLevel="0" collapsed="false">
      <c r="A324" s="22" t="n">
        <v>323</v>
      </c>
      <c r="B324" s="22" t="s">
        <v>1539</v>
      </c>
      <c r="C324" s="22" t="s">
        <v>1540</v>
      </c>
      <c r="D324" s="22" t="s">
        <v>138</v>
      </c>
      <c r="E324" s="22" t="s">
        <v>139</v>
      </c>
      <c r="F324" s="22" t="s">
        <v>103</v>
      </c>
      <c r="G324" s="23" t="n">
        <v>45103</v>
      </c>
      <c r="H324" s="24" t="n">
        <f aca="false">IF(G324="","",ROUND((Config!$C$4-G324)/365.25,2))</f>
        <v>3.27</v>
      </c>
      <c r="I324" s="25" t="str">
        <f aca="false">IF(H324="","",IF(H324&lt;=1,"Tramo 1",IF(H324&lt;=3,"Tramo 2",IF(H324&lt;=5,"Tramo 3","Tramo 4"))))</f>
        <v>Tramo 3</v>
      </c>
      <c r="J324" s="22" t="s">
        <v>140</v>
      </c>
      <c r="K324" s="22"/>
      <c r="L324" s="22" t="s">
        <v>1541</v>
      </c>
      <c r="M324" s="26" t="s">
        <v>1542</v>
      </c>
      <c r="N324" s="22"/>
      <c r="O324" s="22" t="s">
        <v>63</v>
      </c>
      <c r="P324" s="25" t="str">
        <f aca="false">IF(OR(O324="",O324="Sin información"),"",IFERROR(INDEX(Listas!$B$2:$B$9,MATCH(O324,Listas!$A$2:$A$9,0)),""))</f>
        <v/>
      </c>
      <c r="Q324" s="25" t="str">
        <f aca="false">IF(OR(O324="",O324="Sin información"),"",IFERROR(INDEX(Listas!$C$2:$C$9,MATCH(O324,Listas!$A$2:$A$9,0)),""))</f>
        <v/>
      </c>
      <c r="R324" s="22"/>
      <c r="S324" s="22"/>
      <c r="T324" s="25" t="str">
        <f aca="false">IF(S324="","",IFERROR(INDEX(Empleadores!$B$2:$B$601,MATCH(S324,Empleadores!$A$2:$A$601,0)),"No encontrado"))</f>
        <v/>
      </c>
      <c r="U324" s="25" t="str">
        <f aca="false">IF(C324="","",IF(V324="","No",IF(Config!$C$4-V324&lt;=Config!$C$15,"Sí","No")))</f>
        <v>No</v>
      </c>
      <c r="V324" s="23"/>
      <c r="W324" s="22"/>
      <c r="X324" s="22"/>
      <c r="Y324" s="22"/>
      <c r="Z324" s="27"/>
      <c r="AA324" s="22"/>
      <c r="AB324" s="22"/>
    </row>
    <row r="325" customFormat="false" ht="15" hidden="false" customHeight="false" outlineLevel="0" collapsed="false">
      <c r="A325" s="22" t="n">
        <v>324</v>
      </c>
      <c r="B325" s="22" t="s">
        <v>1543</v>
      </c>
      <c r="C325" s="22" t="s">
        <v>1544</v>
      </c>
      <c r="D325" s="22" t="s">
        <v>138</v>
      </c>
      <c r="E325" s="22" t="s">
        <v>139</v>
      </c>
      <c r="F325" s="22" t="s">
        <v>103</v>
      </c>
      <c r="G325" s="23" t="n">
        <v>45103</v>
      </c>
      <c r="H325" s="24" t="n">
        <f aca="false">IF(G325="","",ROUND((Config!$C$4-G325)/365.25,2))</f>
        <v>3.27</v>
      </c>
      <c r="I325" s="25" t="str">
        <f aca="false">IF(H325="","",IF(H325&lt;=1,"Tramo 1",IF(H325&lt;=3,"Tramo 2",IF(H325&lt;=5,"Tramo 3","Tramo 4"))))</f>
        <v>Tramo 3</v>
      </c>
      <c r="J325" s="22" t="s">
        <v>140</v>
      </c>
      <c r="K325" s="22"/>
      <c r="L325" s="22" t="s">
        <v>1545</v>
      </c>
      <c r="M325" s="26" t="s">
        <v>1546</v>
      </c>
      <c r="N325" s="22"/>
      <c r="O325" s="22" t="s">
        <v>63</v>
      </c>
      <c r="P325" s="25" t="str">
        <f aca="false">IF(OR(O325="",O325="Sin información"),"",IFERROR(INDEX(Listas!$B$2:$B$9,MATCH(O325,Listas!$A$2:$A$9,0)),""))</f>
        <v/>
      </c>
      <c r="Q325" s="25" t="str">
        <f aca="false">IF(OR(O325="",O325="Sin información"),"",IFERROR(INDEX(Listas!$C$2:$C$9,MATCH(O325,Listas!$A$2:$A$9,0)),""))</f>
        <v/>
      </c>
      <c r="R325" s="22"/>
      <c r="S325" s="22"/>
      <c r="T325" s="25" t="str">
        <f aca="false">IF(S325="","",IFERROR(INDEX(Empleadores!$B$2:$B$601,MATCH(S325,Empleadores!$A$2:$A$601,0)),"No encontrado"))</f>
        <v/>
      </c>
      <c r="U325" s="25" t="str">
        <f aca="false">IF(C325="","",IF(V325="","No",IF(Config!$C$4-V325&lt;=Config!$C$15,"Sí","No")))</f>
        <v>No</v>
      </c>
      <c r="V325" s="23"/>
      <c r="W325" s="22"/>
      <c r="X325" s="22"/>
      <c r="Y325" s="22"/>
      <c r="Z325" s="27"/>
      <c r="AA325" s="22"/>
      <c r="AB325" s="22"/>
    </row>
    <row r="326" customFormat="false" ht="15" hidden="false" customHeight="false" outlineLevel="0" collapsed="false">
      <c r="A326" s="22" t="n">
        <v>325</v>
      </c>
      <c r="B326" s="22" t="s">
        <v>1547</v>
      </c>
      <c r="C326" s="22" t="s">
        <v>1548</v>
      </c>
      <c r="D326" s="22" t="s">
        <v>149</v>
      </c>
      <c r="E326" s="22" t="s">
        <v>139</v>
      </c>
      <c r="F326" s="22" t="s">
        <v>103</v>
      </c>
      <c r="G326" s="23" t="n">
        <v>45103</v>
      </c>
      <c r="H326" s="24" t="n">
        <f aca="false">IF(G326="","",ROUND((Config!$C$4-G326)/365.25,2))</f>
        <v>3.27</v>
      </c>
      <c r="I326" s="25" t="str">
        <f aca="false">IF(H326="","",IF(H326&lt;=1,"Tramo 1",IF(H326&lt;=3,"Tramo 2",IF(H326&lt;=5,"Tramo 3","Tramo 4"))))</f>
        <v>Tramo 3</v>
      </c>
      <c r="J326" s="22" t="s">
        <v>140</v>
      </c>
      <c r="K326" s="22"/>
      <c r="L326" s="22" t="s">
        <v>1549</v>
      </c>
      <c r="M326" s="26" t="s">
        <v>1550</v>
      </c>
      <c r="N326" s="22"/>
      <c r="O326" s="22" t="s">
        <v>85</v>
      </c>
      <c r="P326" s="25" t="str">
        <f aca="false">IF(OR(O326="",O326="Sin información"),"",IFERROR(INDEX(Listas!$B$2:$B$9,MATCH(O326,Listas!$A$2:$A$9,0)),""))</f>
        <v>Sí</v>
      </c>
      <c r="Q326" s="25" t="str">
        <f aca="false">IF(OR(O326="",O326="Sin información"),"",IFERROR(INDEX(Listas!$C$2:$C$9,MATCH(O326,Listas!$A$2:$A$9,0)),""))</f>
        <v>Sí</v>
      </c>
      <c r="R326" s="22"/>
      <c r="S326" s="22" t="s">
        <v>1551</v>
      </c>
      <c r="T326" s="25" t="str">
        <f aca="false">IF(S326="","",IFERROR(INDEX(Empleadores!$B$2:$B$601,MATCH(S326,Empleadores!$A$2:$A$601,0)),"No encontrado"))</f>
        <v>Clínica Nuestra Divina Familia</v>
      </c>
      <c r="U326" s="25" t="str">
        <f aca="false">IF(C326="","",IF(V326="","No",IF(Config!$C$4-V326&lt;=Config!$C$15,"Sí","No")))</f>
        <v>Sí</v>
      </c>
      <c r="V326" s="23" t="n">
        <v>45968</v>
      </c>
      <c r="W326" s="22"/>
      <c r="X326" s="22"/>
      <c r="Y326" s="22" t="s">
        <v>181</v>
      </c>
      <c r="Z326" s="27"/>
      <c r="AA326" s="22" t="s">
        <v>1552</v>
      </c>
      <c r="AB326" s="22" t="s">
        <v>1553</v>
      </c>
    </row>
    <row r="327" customFormat="false" ht="15" hidden="false" customHeight="false" outlineLevel="0" collapsed="false">
      <c r="A327" s="22" t="n">
        <v>326</v>
      </c>
      <c r="B327" s="22" t="s">
        <v>1554</v>
      </c>
      <c r="C327" s="22" t="s">
        <v>1555</v>
      </c>
      <c r="D327" s="22" t="s">
        <v>138</v>
      </c>
      <c r="E327" s="22" t="s">
        <v>139</v>
      </c>
      <c r="F327" s="22" t="s">
        <v>103</v>
      </c>
      <c r="G327" s="23" t="n">
        <v>45103</v>
      </c>
      <c r="H327" s="24" t="n">
        <f aca="false">IF(G327="","",ROUND((Config!$C$4-G327)/365.25,2))</f>
        <v>3.27</v>
      </c>
      <c r="I327" s="25" t="str">
        <f aca="false">IF(H327="","",IF(H327&lt;=1,"Tramo 1",IF(H327&lt;=3,"Tramo 2",IF(H327&lt;=5,"Tramo 3","Tramo 4"))))</f>
        <v>Tramo 3</v>
      </c>
      <c r="J327" s="22" t="s">
        <v>140</v>
      </c>
      <c r="K327" s="22"/>
      <c r="L327" s="22" t="s">
        <v>1556</v>
      </c>
      <c r="M327" s="26" t="s">
        <v>1557</v>
      </c>
      <c r="N327" s="22"/>
      <c r="O327" s="22" t="s">
        <v>63</v>
      </c>
      <c r="P327" s="25" t="str">
        <f aca="false">IF(OR(O327="",O327="Sin información"),"",IFERROR(INDEX(Listas!$B$2:$B$9,MATCH(O327,Listas!$A$2:$A$9,0)),""))</f>
        <v/>
      </c>
      <c r="Q327" s="25" t="str">
        <f aca="false">IF(OR(O327="",O327="Sin información"),"",IFERROR(INDEX(Listas!$C$2:$C$9,MATCH(O327,Listas!$A$2:$A$9,0)),""))</f>
        <v/>
      </c>
      <c r="R327" s="22"/>
      <c r="S327" s="22"/>
      <c r="T327" s="25" t="str">
        <f aca="false">IF(S327="","",IFERROR(INDEX(Empleadores!$B$2:$B$601,MATCH(S327,Empleadores!$A$2:$A$601,0)),"No encontrado"))</f>
        <v/>
      </c>
      <c r="U327" s="25" t="str">
        <f aca="false">IF(C327="","",IF(V327="","No",IF(Config!$C$4-V327&lt;=Config!$C$15,"Sí","No")))</f>
        <v>No</v>
      </c>
      <c r="V327" s="23"/>
      <c r="W327" s="22"/>
      <c r="X327" s="22"/>
      <c r="Y327" s="22"/>
      <c r="Z327" s="27"/>
      <c r="AA327" s="22"/>
      <c r="AB327" s="22"/>
    </row>
    <row r="328" customFormat="false" ht="15" hidden="false" customHeight="false" outlineLevel="0" collapsed="false">
      <c r="A328" s="22" t="n">
        <v>327</v>
      </c>
      <c r="B328" s="22" t="s">
        <v>1558</v>
      </c>
      <c r="C328" s="22" t="s">
        <v>1559</v>
      </c>
      <c r="D328" s="22" t="s">
        <v>149</v>
      </c>
      <c r="E328" s="22" t="s">
        <v>139</v>
      </c>
      <c r="F328" s="22" t="s">
        <v>103</v>
      </c>
      <c r="G328" s="23" t="n">
        <v>45103</v>
      </c>
      <c r="H328" s="24" t="n">
        <f aca="false">IF(G328="","",ROUND((Config!$C$4-G328)/365.25,2))</f>
        <v>3.27</v>
      </c>
      <c r="I328" s="25" t="str">
        <f aca="false">IF(H328="","",IF(H328&lt;=1,"Tramo 1",IF(H328&lt;=3,"Tramo 2",IF(H328&lt;=5,"Tramo 3","Tramo 4"))))</f>
        <v>Tramo 3</v>
      </c>
      <c r="J328" s="22" t="s">
        <v>140</v>
      </c>
      <c r="K328" s="22"/>
      <c r="L328" s="22" t="s">
        <v>1560</v>
      </c>
      <c r="M328" s="26" t="s">
        <v>1561</v>
      </c>
      <c r="N328" s="22"/>
      <c r="O328" s="22" t="s">
        <v>63</v>
      </c>
      <c r="P328" s="25" t="str">
        <f aca="false">IF(OR(O328="",O328="Sin información"),"",IFERROR(INDEX(Listas!$B$2:$B$9,MATCH(O328,Listas!$A$2:$A$9,0)),""))</f>
        <v/>
      </c>
      <c r="Q328" s="25" t="str">
        <f aca="false">IF(OR(O328="",O328="Sin información"),"",IFERROR(INDEX(Listas!$C$2:$C$9,MATCH(O328,Listas!$A$2:$A$9,0)),""))</f>
        <v/>
      </c>
      <c r="R328" s="22"/>
      <c r="S328" s="22"/>
      <c r="T328" s="25" t="str">
        <f aca="false">IF(S328="","",IFERROR(INDEX(Empleadores!$B$2:$B$601,MATCH(S328,Empleadores!$A$2:$A$601,0)),"No encontrado"))</f>
        <v/>
      </c>
      <c r="U328" s="25" t="str">
        <f aca="false">IF(C328="","",IF(V328="","No",IF(Config!$C$4-V328&lt;=Config!$C$15,"Sí","No")))</f>
        <v>No</v>
      </c>
      <c r="V328" s="23"/>
      <c r="W328" s="22"/>
      <c r="X328" s="22"/>
      <c r="Y328" s="22"/>
      <c r="Z328" s="27"/>
      <c r="AA328" s="22"/>
      <c r="AB328" s="22"/>
    </row>
    <row r="329" customFormat="false" ht="15" hidden="false" customHeight="false" outlineLevel="0" collapsed="false">
      <c r="A329" s="22" t="n">
        <v>328</v>
      </c>
      <c r="B329" s="22" t="s">
        <v>1562</v>
      </c>
      <c r="C329" s="22" t="s">
        <v>1563</v>
      </c>
      <c r="D329" s="22" t="s">
        <v>138</v>
      </c>
      <c r="E329" s="22" t="s">
        <v>139</v>
      </c>
      <c r="F329" s="22" t="s">
        <v>103</v>
      </c>
      <c r="G329" s="23" t="n">
        <v>45103</v>
      </c>
      <c r="H329" s="24" t="n">
        <f aca="false">IF(G329="","",ROUND((Config!$C$4-G329)/365.25,2))</f>
        <v>3.27</v>
      </c>
      <c r="I329" s="25" t="str">
        <f aca="false">IF(H329="","",IF(H329&lt;=1,"Tramo 1",IF(H329&lt;=3,"Tramo 2",IF(H329&lt;=5,"Tramo 3","Tramo 4"))))</f>
        <v>Tramo 3</v>
      </c>
      <c r="J329" s="22" t="s">
        <v>140</v>
      </c>
      <c r="K329" s="22"/>
      <c r="L329" s="22" t="s">
        <v>1564</v>
      </c>
      <c r="M329" s="26" t="s">
        <v>1565</v>
      </c>
      <c r="N329" s="22"/>
      <c r="O329" s="22" t="s">
        <v>63</v>
      </c>
      <c r="P329" s="25" t="str">
        <f aca="false">IF(OR(O329="",O329="Sin información"),"",IFERROR(INDEX(Listas!$B$2:$B$9,MATCH(O329,Listas!$A$2:$A$9,0)),""))</f>
        <v/>
      </c>
      <c r="Q329" s="25" t="str">
        <f aca="false">IF(OR(O329="",O329="Sin información"),"",IFERROR(INDEX(Listas!$C$2:$C$9,MATCH(O329,Listas!$A$2:$A$9,0)),""))</f>
        <v/>
      </c>
      <c r="R329" s="22"/>
      <c r="S329" s="22"/>
      <c r="T329" s="25" t="str">
        <f aca="false">IF(S329="","",IFERROR(INDEX(Empleadores!$B$2:$B$601,MATCH(S329,Empleadores!$A$2:$A$601,0)),"No encontrado"))</f>
        <v/>
      </c>
      <c r="U329" s="25" t="str">
        <f aca="false">IF(C329="","",IF(V329="","No",IF(Config!$C$4-V329&lt;=Config!$C$15,"Sí","No")))</f>
        <v>No</v>
      </c>
      <c r="V329" s="23"/>
      <c r="W329" s="22"/>
      <c r="X329" s="22"/>
      <c r="Y329" s="22"/>
      <c r="Z329" s="27"/>
      <c r="AA329" s="22"/>
      <c r="AB329" s="22"/>
    </row>
    <row r="330" customFormat="false" ht="15" hidden="false" customHeight="false" outlineLevel="0" collapsed="false">
      <c r="A330" s="22" t="n">
        <v>329</v>
      </c>
      <c r="B330" s="22" t="s">
        <v>1566</v>
      </c>
      <c r="C330" s="22" t="s">
        <v>1567</v>
      </c>
      <c r="D330" s="22" t="s">
        <v>138</v>
      </c>
      <c r="E330" s="22" t="s">
        <v>139</v>
      </c>
      <c r="F330" s="22" t="s">
        <v>103</v>
      </c>
      <c r="G330" s="23" t="n">
        <v>45103</v>
      </c>
      <c r="H330" s="24" t="n">
        <f aca="false">IF(G330="","",ROUND((Config!$C$4-G330)/365.25,2))</f>
        <v>3.27</v>
      </c>
      <c r="I330" s="25" t="str">
        <f aca="false">IF(H330="","",IF(H330&lt;=1,"Tramo 1",IF(H330&lt;=3,"Tramo 2",IF(H330&lt;=5,"Tramo 3","Tramo 4"))))</f>
        <v>Tramo 3</v>
      </c>
      <c r="J330" s="22" t="s">
        <v>140</v>
      </c>
      <c r="K330" s="22"/>
      <c r="L330" s="22" t="s">
        <v>1568</v>
      </c>
      <c r="M330" s="26" t="s">
        <v>1569</v>
      </c>
      <c r="N330" s="22"/>
      <c r="O330" s="22" t="s">
        <v>63</v>
      </c>
      <c r="P330" s="25" t="str">
        <f aca="false">IF(OR(O330="",O330="Sin información"),"",IFERROR(INDEX(Listas!$B$2:$B$9,MATCH(O330,Listas!$A$2:$A$9,0)),""))</f>
        <v/>
      </c>
      <c r="Q330" s="25" t="str">
        <f aca="false">IF(OR(O330="",O330="Sin información"),"",IFERROR(INDEX(Listas!$C$2:$C$9,MATCH(O330,Listas!$A$2:$A$9,0)),""))</f>
        <v/>
      </c>
      <c r="R330" s="22"/>
      <c r="S330" s="22"/>
      <c r="T330" s="25" t="str">
        <f aca="false">IF(S330="","",IFERROR(INDEX(Empleadores!$B$2:$B$601,MATCH(S330,Empleadores!$A$2:$A$601,0)),"No encontrado"))</f>
        <v/>
      </c>
      <c r="U330" s="25" t="str">
        <f aca="false">IF(C330="","",IF(V330="","No",IF(Config!$C$4-V330&lt;=Config!$C$15,"Sí","No")))</f>
        <v>No</v>
      </c>
      <c r="V330" s="23"/>
      <c r="W330" s="22"/>
      <c r="X330" s="22"/>
      <c r="Y330" s="22"/>
      <c r="Z330" s="27"/>
      <c r="AA330" s="22"/>
      <c r="AB330" s="22"/>
    </row>
    <row r="331" customFormat="false" ht="15" hidden="false" customHeight="false" outlineLevel="0" collapsed="false">
      <c r="A331" s="22" t="n">
        <v>330</v>
      </c>
      <c r="B331" s="22" t="s">
        <v>1570</v>
      </c>
      <c r="C331" s="22" t="s">
        <v>1571</v>
      </c>
      <c r="D331" s="22" t="s">
        <v>149</v>
      </c>
      <c r="E331" s="22" t="s">
        <v>139</v>
      </c>
      <c r="F331" s="22" t="s">
        <v>103</v>
      </c>
      <c r="G331" s="23" t="n">
        <v>45103</v>
      </c>
      <c r="H331" s="24" t="n">
        <f aca="false">IF(G331="","",ROUND((Config!$C$4-G331)/365.25,2))</f>
        <v>3.27</v>
      </c>
      <c r="I331" s="25" t="str">
        <f aca="false">IF(H331="","",IF(H331&lt;=1,"Tramo 1",IF(H331&lt;=3,"Tramo 2",IF(H331&lt;=5,"Tramo 3","Tramo 4"))))</f>
        <v>Tramo 3</v>
      </c>
      <c r="J331" s="22" t="s">
        <v>140</v>
      </c>
      <c r="K331" s="22"/>
      <c r="L331" s="22" t="s">
        <v>1572</v>
      </c>
      <c r="M331" s="26" t="s">
        <v>1573</v>
      </c>
      <c r="N331" s="22"/>
      <c r="O331" s="22" t="s">
        <v>63</v>
      </c>
      <c r="P331" s="25" t="str">
        <f aca="false">IF(OR(O331="",O331="Sin información"),"",IFERROR(INDEX(Listas!$B$2:$B$9,MATCH(O331,Listas!$A$2:$A$9,0)),""))</f>
        <v/>
      </c>
      <c r="Q331" s="25" t="str">
        <f aca="false">IF(OR(O331="",O331="Sin información"),"",IFERROR(INDEX(Listas!$C$2:$C$9,MATCH(O331,Listas!$A$2:$A$9,0)),""))</f>
        <v/>
      </c>
      <c r="R331" s="22"/>
      <c r="S331" s="22"/>
      <c r="T331" s="25" t="str">
        <f aca="false">IF(S331="","",IFERROR(INDEX(Empleadores!$B$2:$B$601,MATCH(S331,Empleadores!$A$2:$A$601,0)),"No encontrado"))</f>
        <v/>
      </c>
      <c r="U331" s="25" t="str">
        <f aca="false">IF(C331="","",IF(V331="","No",IF(Config!$C$4-V331&lt;=Config!$C$15,"Sí","No")))</f>
        <v>No</v>
      </c>
      <c r="V331" s="23"/>
      <c r="W331" s="22"/>
      <c r="X331" s="22"/>
      <c r="Y331" s="22"/>
      <c r="Z331" s="27"/>
      <c r="AA331" s="22"/>
      <c r="AB331" s="22"/>
    </row>
    <row r="332" customFormat="false" ht="15" hidden="false" customHeight="false" outlineLevel="0" collapsed="false">
      <c r="A332" s="22" t="n">
        <v>331</v>
      </c>
      <c r="B332" s="22" t="s">
        <v>1574</v>
      </c>
      <c r="C332" s="22" t="s">
        <v>1575</v>
      </c>
      <c r="D332" s="22" t="s">
        <v>138</v>
      </c>
      <c r="E332" s="22" t="s">
        <v>139</v>
      </c>
      <c r="F332" s="22" t="s">
        <v>103</v>
      </c>
      <c r="G332" s="23" t="n">
        <v>45103</v>
      </c>
      <c r="H332" s="24" t="n">
        <f aca="false">IF(G332="","",ROUND((Config!$C$4-G332)/365.25,2))</f>
        <v>3.27</v>
      </c>
      <c r="I332" s="25" t="str">
        <f aca="false">IF(H332="","",IF(H332&lt;=1,"Tramo 1",IF(H332&lt;=3,"Tramo 2",IF(H332&lt;=5,"Tramo 3","Tramo 4"))))</f>
        <v>Tramo 3</v>
      </c>
      <c r="J332" s="22" t="s">
        <v>140</v>
      </c>
      <c r="K332" s="22"/>
      <c r="L332" s="22" t="s">
        <v>1576</v>
      </c>
      <c r="M332" s="26" t="s">
        <v>1577</v>
      </c>
      <c r="N332" s="22"/>
      <c r="O332" s="22" t="s">
        <v>63</v>
      </c>
      <c r="P332" s="25" t="str">
        <f aca="false">IF(OR(O332="",O332="Sin información"),"",IFERROR(INDEX(Listas!$B$2:$B$9,MATCH(O332,Listas!$A$2:$A$9,0)),""))</f>
        <v/>
      </c>
      <c r="Q332" s="25" t="str">
        <f aca="false">IF(OR(O332="",O332="Sin información"),"",IFERROR(INDEX(Listas!$C$2:$C$9,MATCH(O332,Listas!$A$2:$A$9,0)),""))</f>
        <v/>
      </c>
      <c r="R332" s="22"/>
      <c r="S332" s="22"/>
      <c r="T332" s="25" t="str">
        <f aca="false">IF(S332="","",IFERROR(INDEX(Empleadores!$B$2:$B$601,MATCH(S332,Empleadores!$A$2:$A$601,0)),"No encontrado"))</f>
        <v/>
      </c>
      <c r="U332" s="25" t="str">
        <f aca="false">IF(C332="","",IF(V332="","No",IF(Config!$C$4-V332&lt;=Config!$C$15,"Sí","No")))</f>
        <v>No</v>
      </c>
      <c r="V332" s="23"/>
      <c r="W332" s="22"/>
      <c r="X332" s="22"/>
      <c r="Y332" s="22"/>
      <c r="Z332" s="27"/>
      <c r="AA332" s="22"/>
      <c r="AB332" s="22"/>
    </row>
    <row r="333" customFormat="false" ht="15" hidden="false" customHeight="false" outlineLevel="0" collapsed="false">
      <c r="A333" s="22" t="n">
        <v>332</v>
      </c>
      <c r="B333" s="22" t="s">
        <v>1578</v>
      </c>
      <c r="C333" s="22" t="s">
        <v>1579</v>
      </c>
      <c r="D333" s="22" t="s">
        <v>149</v>
      </c>
      <c r="E333" s="22" t="s">
        <v>139</v>
      </c>
      <c r="F333" s="22" t="s">
        <v>103</v>
      </c>
      <c r="G333" s="23" t="n">
        <v>45103</v>
      </c>
      <c r="H333" s="24" t="n">
        <f aca="false">IF(G333="","",ROUND((Config!$C$4-G333)/365.25,2))</f>
        <v>3.27</v>
      </c>
      <c r="I333" s="25" t="str">
        <f aca="false">IF(H333="","",IF(H333&lt;=1,"Tramo 1",IF(H333&lt;=3,"Tramo 2",IF(H333&lt;=5,"Tramo 3","Tramo 4"))))</f>
        <v>Tramo 3</v>
      </c>
      <c r="J333" s="22" t="s">
        <v>140</v>
      </c>
      <c r="K333" s="22"/>
      <c r="L333" s="22" t="s">
        <v>1580</v>
      </c>
      <c r="M333" s="26" t="s">
        <v>1581</v>
      </c>
      <c r="N333" s="22"/>
      <c r="O333" s="22" t="s">
        <v>63</v>
      </c>
      <c r="P333" s="25" t="str">
        <f aca="false">IF(OR(O333="",O333="Sin información"),"",IFERROR(INDEX(Listas!$B$2:$B$9,MATCH(O333,Listas!$A$2:$A$9,0)),""))</f>
        <v/>
      </c>
      <c r="Q333" s="25" t="str">
        <f aca="false">IF(OR(O333="",O333="Sin información"),"",IFERROR(INDEX(Listas!$C$2:$C$9,MATCH(O333,Listas!$A$2:$A$9,0)),""))</f>
        <v/>
      </c>
      <c r="R333" s="22"/>
      <c r="S333" s="22"/>
      <c r="T333" s="25" t="str">
        <f aca="false">IF(S333="","",IFERROR(INDEX(Empleadores!$B$2:$B$601,MATCH(S333,Empleadores!$A$2:$A$601,0)),"No encontrado"))</f>
        <v/>
      </c>
      <c r="U333" s="25" t="str">
        <f aca="false">IF(C333="","",IF(V333="","No",IF(Config!$C$4-V333&lt;=Config!$C$15,"Sí","No")))</f>
        <v>No</v>
      </c>
      <c r="V333" s="23"/>
      <c r="W333" s="22"/>
      <c r="X333" s="22"/>
      <c r="Y333" s="22"/>
      <c r="Z333" s="27"/>
      <c r="AA333" s="22"/>
      <c r="AB333" s="22"/>
    </row>
    <row r="334" customFormat="false" ht="15" hidden="false" customHeight="false" outlineLevel="0" collapsed="false">
      <c r="A334" s="22" t="n">
        <v>333</v>
      </c>
      <c r="B334" s="22" t="s">
        <v>1582</v>
      </c>
      <c r="C334" s="22" t="s">
        <v>1583</v>
      </c>
      <c r="D334" s="22" t="s">
        <v>149</v>
      </c>
      <c r="E334" s="22" t="s">
        <v>139</v>
      </c>
      <c r="F334" s="22" t="s">
        <v>103</v>
      </c>
      <c r="G334" s="23" t="n">
        <v>45103</v>
      </c>
      <c r="H334" s="24" t="n">
        <f aca="false">IF(G334="","",ROUND((Config!$C$4-G334)/365.25,2))</f>
        <v>3.27</v>
      </c>
      <c r="I334" s="25" t="str">
        <f aca="false">IF(H334="","",IF(H334&lt;=1,"Tramo 1",IF(H334&lt;=3,"Tramo 2",IF(H334&lt;=5,"Tramo 3","Tramo 4"))))</f>
        <v>Tramo 3</v>
      </c>
      <c r="J334" s="22" t="s">
        <v>140</v>
      </c>
      <c r="K334" s="22"/>
      <c r="L334" s="22" t="s">
        <v>1584</v>
      </c>
      <c r="M334" s="26" t="s">
        <v>1585</v>
      </c>
      <c r="N334" s="22"/>
      <c r="O334" s="22" t="s">
        <v>63</v>
      </c>
      <c r="P334" s="25" t="str">
        <f aca="false">IF(OR(O334="",O334="Sin información"),"",IFERROR(INDEX(Listas!$B$2:$B$9,MATCH(O334,Listas!$A$2:$A$9,0)),""))</f>
        <v/>
      </c>
      <c r="Q334" s="25" t="str">
        <f aca="false">IF(OR(O334="",O334="Sin información"),"",IFERROR(INDEX(Listas!$C$2:$C$9,MATCH(O334,Listas!$A$2:$A$9,0)),""))</f>
        <v/>
      </c>
      <c r="R334" s="22"/>
      <c r="S334" s="22"/>
      <c r="T334" s="25" t="str">
        <f aca="false">IF(S334="","",IFERROR(INDEX(Empleadores!$B$2:$B$601,MATCH(S334,Empleadores!$A$2:$A$601,0)),"No encontrado"))</f>
        <v/>
      </c>
      <c r="U334" s="25" t="str">
        <f aca="false">IF(C334="","",IF(V334="","No",IF(Config!$C$4-V334&lt;=Config!$C$15,"Sí","No")))</f>
        <v>No</v>
      </c>
      <c r="V334" s="23"/>
      <c r="W334" s="22"/>
      <c r="X334" s="22"/>
      <c r="Y334" s="22"/>
      <c r="Z334" s="27"/>
      <c r="AA334" s="22"/>
      <c r="AB334" s="22"/>
    </row>
    <row r="335" customFormat="false" ht="15" hidden="false" customHeight="false" outlineLevel="0" collapsed="false">
      <c r="A335" s="22" t="n">
        <v>334</v>
      </c>
      <c r="B335" s="22" t="s">
        <v>1586</v>
      </c>
      <c r="C335" s="22" t="s">
        <v>1587</v>
      </c>
      <c r="D335" s="22" t="s">
        <v>138</v>
      </c>
      <c r="E335" s="22" t="s">
        <v>139</v>
      </c>
      <c r="F335" s="22" t="s">
        <v>103</v>
      </c>
      <c r="G335" s="23" t="n">
        <v>45103</v>
      </c>
      <c r="H335" s="24" t="n">
        <f aca="false">IF(G335="","",ROUND((Config!$C$4-G335)/365.25,2))</f>
        <v>3.27</v>
      </c>
      <c r="I335" s="25" t="str">
        <f aca="false">IF(H335="","",IF(H335&lt;=1,"Tramo 1",IF(H335&lt;=3,"Tramo 2",IF(H335&lt;=5,"Tramo 3","Tramo 4"))))</f>
        <v>Tramo 3</v>
      </c>
      <c r="J335" s="22" t="s">
        <v>140</v>
      </c>
      <c r="K335" s="22"/>
      <c r="L335" s="22" t="s">
        <v>1588</v>
      </c>
      <c r="M335" s="26" t="s">
        <v>1589</v>
      </c>
      <c r="N335" s="22"/>
      <c r="O335" s="22" t="s">
        <v>63</v>
      </c>
      <c r="P335" s="25" t="str">
        <f aca="false">IF(OR(O335="",O335="Sin información"),"",IFERROR(INDEX(Listas!$B$2:$B$9,MATCH(O335,Listas!$A$2:$A$9,0)),""))</f>
        <v/>
      </c>
      <c r="Q335" s="25" t="str">
        <f aca="false">IF(OR(O335="",O335="Sin información"),"",IFERROR(INDEX(Listas!$C$2:$C$9,MATCH(O335,Listas!$A$2:$A$9,0)),""))</f>
        <v/>
      </c>
      <c r="R335" s="22"/>
      <c r="S335" s="22"/>
      <c r="T335" s="25" t="str">
        <f aca="false">IF(S335="","",IFERROR(INDEX(Empleadores!$B$2:$B$601,MATCH(S335,Empleadores!$A$2:$A$601,0)),"No encontrado"))</f>
        <v/>
      </c>
      <c r="U335" s="25" t="str">
        <f aca="false">IF(C335="","",IF(V335="","No",IF(Config!$C$4-V335&lt;=Config!$C$15,"Sí","No")))</f>
        <v>No</v>
      </c>
      <c r="V335" s="23"/>
      <c r="W335" s="22"/>
      <c r="X335" s="22"/>
      <c r="Y335" s="22"/>
      <c r="Z335" s="27"/>
      <c r="AA335" s="22"/>
      <c r="AB335" s="22"/>
    </row>
    <row r="336" customFormat="false" ht="15" hidden="false" customHeight="false" outlineLevel="0" collapsed="false">
      <c r="A336" s="22" t="n">
        <v>335</v>
      </c>
      <c r="B336" s="22" t="s">
        <v>1590</v>
      </c>
      <c r="C336" s="22" t="s">
        <v>1591</v>
      </c>
      <c r="D336" s="22" t="s">
        <v>149</v>
      </c>
      <c r="E336" s="22" t="s">
        <v>139</v>
      </c>
      <c r="F336" s="22" t="s">
        <v>103</v>
      </c>
      <c r="G336" s="23" t="n">
        <v>45103</v>
      </c>
      <c r="H336" s="24" t="n">
        <f aca="false">IF(G336="","",ROUND((Config!$C$4-G336)/365.25,2))</f>
        <v>3.27</v>
      </c>
      <c r="I336" s="25" t="str">
        <f aca="false">IF(H336="","",IF(H336&lt;=1,"Tramo 1",IF(H336&lt;=3,"Tramo 2",IF(H336&lt;=5,"Tramo 3","Tramo 4"))))</f>
        <v>Tramo 3</v>
      </c>
      <c r="J336" s="22" t="s">
        <v>140</v>
      </c>
      <c r="K336" s="22"/>
      <c r="L336" s="22" t="s">
        <v>1592</v>
      </c>
      <c r="M336" s="26" t="s">
        <v>1593</v>
      </c>
      <c r="N336" s="22"/>
      <c r="O336" s="22" t="s">
        <v>87</v>
      </c>
      <c r="P336" s="25" t="str">
        <f aca="false">IF(OR(O336="",O336="Sin información"),"",IFERROR(INDEX(Listas!$B$2:$B$9,MATCH(O336,Listas!$A$2:$A$9,0)),""))</f>
        <v>Sí</v>
      </c>
      <c r="Q336" s="25" t="str">
        <f aca="false">IF(OR(O336="",O336="Sin información"),"",IFERROR(INDEX(Listas!$C$2:$C$9,MATCH(O336,Listas!$A$2:$A$9,0)),""))</f>
        <v>Sí</v>
      </c>
      <c r="R336" s="22" t="s">
        <v>1594</v>
      </c>
      <c r="S336" s="22" t="s">
        <v>563</v>
      </c>
      <c r="T336" s="25" t="str">
        <f aca="false">IF(S336="","",IFERROR(INDEX(Empleadores!$B$2:$B$601,MATCH(S336,Empleadores!$A$2:$A$601,0)),"No encontrado"))</f>
        <v>Universidad Andina del Cusco – EP Medicina Humana</v>
      </c>
      <c r="U336" s="25" t="str">
        <f aca="false">IF(C336="","",IF(V336="","No",IF(Config!$C$4-V336&lt;=Config!$C$15,"Sí","No")))</f>
        <v>Sí</v>
      </c>
      <c r="V336" s="23" t="n">
        <v>46244</v>
      </c>
      <c r="W336" s="22"/>
      <c r="X336" s="22"/>
      <c r="Y336" s="22" t="s">
        <v>181</v>
      </c>
      <c r="Z336" s="27" t="s">
        <v>1595</v>
      </c>
      <c r="AA336" s="22"/>
      <c r="AB336" s="22" t="s">
        <v>564</v>
      </c>
    </row>
    <row r="337" customFormat="false" ht="15" hidden="false" customHeight="false" outlineLevel="0" collapsed="false">
      <c r="A337" s="22" t="n">
        <v>336</v>
      </c>
      <c r="B337" s="22" t="s">
        <v>1596</v>
      </c>
      <c r="C337" s="22" t="s">
        <v>1597</v>
      </c>
      <c r="D337" s="22" t="s">
        <v>149</v>
      </c>
      <c r="E337" s="22" t="s">
        <v>139</v>
      </c>
      <c r="F337" s="22" t="s">
        <v>103</v>
      </c>
      <c r="G337" s="23" t="n">
        <v>45103</v>
      </c>
      <c r="H337" s="24" t="n">
        <f aca="false">IF(G337="","",ROUND((Config!$C$4-G337)/365.25,2))</f>
        <v>3.27</v>
      </c>
      <c r="I337" s="25" t="str">
        <f aca="false">IF(H337="","",IF(H337&lt;=1,"Tramo 1",IF(H337&lt;=3,"Tramo 2",IF(H337&lt;=5,"Tramo 3","Tramo 4"))))</f>
        <v>Tramo 3</v>
      </c>
      <c r="J337" s="22" t="s">
        <v>140</v>
      </c>
      <c r="K337" s="22"/>
      <c r="L337" s="22" t="s">
        <v>1598</v>
      </c>
      <c r="M337" s="26" t="s">
        <v>1599</v>
      </c>
      <c r="N337" s="22"/>
      <c r="O337" s="22" t="s">
        <v>63</v>
      </c>
      <c r="P337" s="25" t="str">
        <f aca="false">IF(OR(O337="",O337="Sin información"),"",IFERROR(INDEX(Listas!$B$2:$B$9,MATCH(O337,Listas!$A$2:$A$9,0)),""))</f>
        <v/>
      </c>
      <c r="Q337" s="25" t="str">
        <f aca="false">IF(OR(O337="",O337="Sin información"),"",IFERROR(INDEX(Listas!$C$2:$C$9,MATCH(O337,Listas!$A$2:$A$9,0)),""))</f>
        <v/>
      </c>
      <c r="R337" s="22"/>
      <c r="S337" s="22"/>
      <c r="T337" s="25" t="str">
        <f aca="false">IF(S337="","",IFERROR(INDEX(Empleadores!$B$2:$B$601,MATCH(S337,Empleadores!$A$2:$A$601,0)),"No encontrado"))</f>
        <v/>
      </c>
      <c r="U337" s="25" t="str">
        <f aca="false">IF(C337="","",IF(V337="","No",IF(Config!$C$4-V337&lt;=Config!$C$15,"Sí","No")))</f>
        <v>No</v>
      </c>
      <c r="V337" s="23"/>
      <c r="W337" s="22"/>
      <c r="X337" s="22"/>
      <c r="Y337" s="22"/>
      <c r="Z337" s="27"/>
      <c r="AA337" s="22"/>
      <c r="AB337" s="22"/>
    </row>
    <row r="338" customFormat="false" ht="15" hidden="false" customHeight="false" outlineLevel="0" collapsed="false">
      <c r="A338" s="22" t="n">
        <v>337</v>
      </c>
      <c r="B338" s="22" t="s">
        <v>1600</v>
      </c>
      <c r="C338" s="22" t="s">
        <v>1601</v>
      </c>
      <c r="D338" s="22" t="s">
        <v>138</v>
      </c>
      <c r="E338" s="22" t="s">
        <v>139</v>
      </c>
      <c r="F338" s="22" t="s">
        <v>103</v>
      </c>
      <c r="G338" s="23" t="n">
        <v>45103</v>
      </c>
      <c r="H338" s="24" t="n">
        <f aca="false">IF(G338="","",ROUND((Config!$C$4-G338)/365.25,2))</f>
        <v>3.27</v>
      </c>
      <c r="I338" s="25" t="str">
        <f aca="false">IF(H338="","",IF(H338&lt;=1,"Tramo 1",IF(H338&lt;=3,"Tramo 2",IF(H338&lt;=5,"Tramo 3","Tramo 4"))))</f>
        <v>Tramo 3</v>
      </c>
      <c r="J338" s="22" t="s">
        <v>140</v>
      </c>
      <c r="K338" s="22"/>
      <c r="L338" s="22" t="s">
        <v>1602</v>
      </c>
      <c r="M338" s="26" t="s">
        <v>1603</v>
      </c>
      <c r="N338" s="22"/>
      <c r="O338" s="22" t="s">
        <v>63</v>
      </c>
      <c r="P338" s="25" t="str">
        <f aca="false">IF(OR(O338="",O338="Sin información"),"",IFERROR(INDEX(Listas!$B$2:$B$9,MATCH(O338,Listas!$A$2:$A$9,0)),""))</f>
        <v/>
      </c>
      <c r="Q338" s="25" t="str">
        <f aca="false">IF(OR(O338="",O338="Sin información"),"",IFERROR(INDEX(Listas!$C$2:$C$9,MATCH(O338,Listas!$A$2:$A$9,0)),""))</f>
        <v/>
      </c>
      <c r="R338" s="22"/>
      <c r="S338" s="22"/>
      <c r="T338" s="25" t="str">
        <f aca="false">IF(S338="","",IFERROR(INDEX(Empleadores!$B$2:$B$601,MATCH(S338,Empleadores!$A$2:$A$601,0)),"No encontrado"))</f>
        <v/>
      </c>
      <c r="U338" s="25" t="str">
        <f aca="false">IF(C338="","",IF(V338="","No",IF(Config!$C$4-V338&lt;=Config!$C$15,"Sí","No")))</f>
        <v>No</v>
      </c>
      <c r="V338" s="23"/>
      <c r="W338" s="22"/>
      <c r="X338" s="22"/>
      <c r="Y338" s="22"/>
      <c r="Z338" s="27"/>
      <c r="AA338" s="22"/>
      <c r="AB338" s="22"/>
    </row>
    <row r="339" customFormat="false" ht="15" hidden="false" customHeight="false" outlineLevel="0" collapsed="false">
      <c r="A339" s="22" t="n">
        <v>338</v>
      </c>
      <c r="B339" s="22" t="s">
        <v>1604</v>
      </c>
      <c r="C339" s="22" t="s">
        <v>1605</v>
      </c>
      <c r="D339" s="22" t="s">
        <v>149</v>
      </c>
      <c r="E339" s="22" t="s">
        <v>139</v>
      </c>
      <c r="F339" s="22" t="s">
        <v>103</v>
      </c>
      <c r="G339" s="23" t="n">
        <v>45103</v>
      </c>
      <c r="H339" s="24" t="n">
        <f aca="false">IF(G339="","",ROUND((Config!$C$4-G339)/365.25,2))</f>
        <v>3.27</v>
      </c>
      <c r="I339" s="25" t="str">
        <f aca="false">IF(H339="","",IF(H339&lt;=1,"Tramo 1",IF(H339&lt;=3,"Tramo 2",IF(H339&lt;=5,"Tramo 3","Tramo 4"))))</f>
        <v>Tramo 3</v>
      </c>
      <c r="J339" s="22" t="s">
        <v>140</v>
      </c>
      <c r="K339" s="22"/>
      <c r="L339" s="22" t="s">
        <v>1606</v>
      </c>
      <c r="M339" s="26" t="s">
        <v>1607</v>
      </c>
      <c r="N339" s="22"/>
      <c r="O339" s="22" t="s">
        <v>63</v>
      </c>
      <c r="P339" s="25" t="str">
        <f aca="false">IF(OR(O339="",O339="Sin información"),"",IFERROR(INDEX(Listas!$B$2:$B$9,MATCH(O339,Listas!$A$2:$A$9,0)),""))</f>
        <v/>
      </c>
      <c r="Q339" s="25" t="str">
        <f aca="false">IF(OR(O339="",O339="Sin información"),"",IFERROR(INDEX(Listas!$C$2:$C$9,MATCH(O339,Listas!$A$2:$A$9,0)),""))</f>
        <v/>
      </c>
      <c r="R339" s="22"/>
      <c r="S339" s="22"/>
      <c r="T339" s="25" t="str">
        <f aca="false">IF(S339="","",IFERROR(INDEX(Empleadores!$B$2:$B$601,MATCH(S339,Empleadores!$A$2:$A$601,0)),"No encontrado"))</f>
        <v/>
      </c>
      <c r="U339" s="25" t="str">
        <f aca="false">IF(C339="","",IF(V339="","No",IF(Config!$C$4-V339&lt;=Config!$C$15,"Sí","No")))</f>
        <v>No</v>
      </c>
      <c r="V339" s="23"/>
      <c r="W339" s="22"/>
      <c r="X339" s="22"/>
      <c r="Y339" s="22"/>
      <c r="Z339" s="27"/>
      <c r="AA339" s="22"/>
      <c r="AB339" s="22"/>
    </row>
    <row r="340" customFormat="false" ht="15" hidden="false" customHeight="false" outlineLevel="0" collapsed="false">
      <c r="A340" s="22" t="n">
        <v>339</v>
      </c>
      <c r="B340" s="22" t="s">
        <v>1608</v>
      </c>
      <c r="C340" s="22" t="s">
        <v>1609</v>
      </c>
      <c r="D340" s="22" t="s">
        <v>138</v>
      </c>
      <c r="E340" s="22" t="s">
        <v>139</v>
      </c>
      <c r="F340" s="22" t="s">
        <v>103</v>
      </c>
      <c r="G340" s="23" t="n">
        <v>45103</v>
      </c>
      <c r="H340" s="24" t="n">
        <f aca="false">IF(G340="","",ROUND((Config!$C$4-G340)/365.25,2))</f>
        <v>3.27</v>
      </c>
      <c r="I340" s="25" t="str">
        <f aca="false">IF(H340="","",IF(H340&lt;=1,"Tramo 1",IF(H340&lt;=3,"Tramo 2",IF(H340&lt;=5,"Tramo 3","Tramo 4"))))</f>
        <v>Tramo 3</v>
      </c>
      <c r="J340" s="22" t="s">
        <v>140</v>
      </c>
      <c r="K340" s="22"/>
      <c r="L340" s="22" t="s">
        <v>1610</v>
      </c>
      <c r="M340" s="26" t="s">
        <v>1611</v>
      </c>
      <c r="N340" s="22"/>
      <c r="O340" s="22" t="s">
        <v>63</v>
      </c>
      <c r="P340" s="25" t="str">
        <f aca="false">IF(OR(O340="",O340="Sin información"),"",IFERROR(INDEX(Listas!$B$2:$B$9,MATCH(O340,Listas!$A$2:$A$9,0)),""))</f>
        <v/>
      </c>
      <c r="Q340" s="25" t="str">
        <f aca="false">IF(OR(O340="",O340="Sin información"),"",IFERROR(INDEX(Listas!$C$2:$C$9,MATCH(O340,Listas!$A$2:$A$9,0)),""))</f>
        <v/>
      </c>
      <c r="R340" s="22"/>
      <c r="S340" s="22"/>
      <c r="T340" s="25" t="str">
        <f aca="false">IF(S340="","",IFERROR(INDEX(Empleadores!$B$2:$B$601,MATCH(S340,Empleadores!$A$2:$A$601,0)),"No encontrado"))</f>
        <v/>
      </c>
      <c r="U340" s="25" t="str">
        <f aca="false">IF(C340="","",IF(V340="","No",IF(Config!$C$4-V340&lt;=Config!$C$15,"Sí","No")))</f>
        <v>No</v>
      </c>
      <c r="V340" s="23"/>
      <c r="W340" s="22"/>
      <c r="X340" s="22"/>
      <c r="Y340" s="22"/>
      <c r="Z340" s="27"/>
      <c r="AA340" s="22"/>
      <c r="AB340" s="22"/>
    </row>
    <row r="341" customFormat="false" ht="15" hidden="false" customHeight="false" outlineLevel="0" collapsed="false">
      <c r="A341" s="22" t="n">
        <v>340</v>
      </c>
      <c r="B341" s="22" t="s">
        <v>1612</v>
      </c>
      <c r="C341" s="22" t="s">
        <v>1613</v>
      </c>
      <c r="D341" s="22" t="s">
        <v>138</v>
      </c>
      <c r="E341" s="22" t="s">
        <v>139</v>
      </c>
      <c r="F341" s="22" t="s">
        <v>103</v>
      </c>
      <c r="G341" s="23" t="n">
        <v>45103</v>
      </c>
      <c r="H341" s="24" t="n">
        <f aca="false">IF(G341="","",ROUND((Config!$C$4-G341)/365.25,2))</f>
        <v>3.27</v>
      </c>
      <c r="I341" s="25" t="str">
        <f aca="false">IF(H341="","",IF(H341&lt;=1,"Tramo 1",IF(H341&lt;=3,"Tramo 2",IF(H341&lt;=5,"Tramo 3","Tramo 4"))))</f>
        <v>Tramo 3</v>
      </c>
      <c r="J341" s="22" t="s">
        <v>140</v>
      </c>
      <c r="K341" s="22"/>
      <c r="L341" s="22" t="s">
        <v>1614</v>
      </c>
      <c r="M341" s="26" t="s">
        <v>1615</v>
      </c>
      <c r="N341" s="22"/>
      <c r="O341" s="22" t="s">
        <v>63</v>
      </c>
      <c r="P341" s="25" t="str">
        <f aca="false">IF(OR(O341="",O341="Sin información"),"",IFERROR(INDEX(Listas!$B$2:$B$9,MATCH(O341,Listas!$A$2:$A$9,0)),""))</f>
        <v/>
      </c>
      <c r="Q341" s="25" t="str">
        <f aca="false">IF(OR(O341="",O341="Sin información"),"",IFERROR(INDEX(Listas!$C$2:$C$9,MATCH(O341,Listas!$A$2:$A$9,0)),""))</f>
        <v/>
      </c>
      <c r="R341" s="22"/>
      <c r="S341" s="22"/>
      <c r="T341" s="25" t="str">
        <f aca="false">IF(S341="","",IFERROR(INDEX(Empleadores!$B$2:$B$601,MATCH(S341,Empleadores!$A$2:$A$601,0)),"No encontrado"))</f>
        <v/>
      </c>
      <c r="U341" s="25" t="str">
        <f aca="false">IF(C341="","",IF(V341="","No",IF(Config!$C$4-V341&lt;=Config!$C$15,"Sí","No")))</f>
        <v>No</v>
      </c>
      <c r="V341" s="23"/>
      <c r="W341" s="22"/>
      <c r="X341" s="22"/>
      <c r="Y341" s="22"/>
      <c r="Z341" s="27"/>
      <c r="AA341" s="22"/>
      <c r="AB341" s="22"/>
    </row>
    <row r="342" customFormat="false" ht="15" hidden="false" customHeight="false" outlineLevel="0" collapsed="false">
      <c r="A342" s="22" t="n">
        <v>341</v>
      </c>
      <c r="B342" s="22" t="s">
        <v>1616</v>
      </c>
      <c r="C342" s="22" t="s">
        <v>1617</v>
      </c>
      <c r="D342" s="22" t="s">
        <v>138</v>
      </c>
      <c r="E342" s="22" t="s">
        <v>139</v>
      </c>
      <c r="F342" s="22" t="s">
        <v>103</v>
      </c>
      <c r="G342" s="23" t="n">
        <v>45103</v>
      </c>
      <c r="H342" s="24" t="n">
        <f aca="false">IF(G342="","",ROUND((Config!$C$4-G342)/365.25,2))</f>
        <v>3.27</v>
      </c>
      <c r="I342" s="25" t="str">
        <f aca="false">IF(H342="","",IF(H342&lt;=1,"Tramo 1",IF(H342&lt;=3,"Tramo 2",IF(H342&lt;=5,"Tramo 3","Tramo 4"))))</f>
        <v>Tramo 3</v>
      </c>
      <c r="J342" s="22" t="s">
        <v>140</v>
      </c>
      <c r="K342" s="22"/>
      <c r="L342" s="22" t="s">
        <v>1618</v>
      </c>
      <c r="M342" s="26" t="s">
        <v>1619</v>
      </c>
      <c r="N342" s="22"/>
      <c r="O342" s="22" t="s">
        <v>63</v>
      </c>
      <c r="P342" s="25" t="str">
        <f aca="false">IF(OR(O342="",O342="Sin información"),"",IFERROR(INDEX(Listas!$B$2:$B$9,MATCH(O342,Listas!$A$2:$A$9,0)),""))</f>
        <v/>
      </c>
      <c r="Q342" s="25" t="str">
        <f aca="false">IF(OR(O342="",O342="Sin información"),"",IFERROR(INDEX(Listas!$C$2:$C$9,MATCH(O342,Listas!$A$2:$A$9,0)),""))</f>
        <v/>
      </c>
      <c r="R342" s="22"/>
      <c r="S342" s="22"/>
      <c r="T342" s="25" t="str">
        <f aca="false">IF(S342="","",IFERROR(INDEX(Empleadores!$B$2:$B$601,MATCH(S342,Empleadores!$A$2:$A$601,0)),"No encontrado"))</f>
        <v/>
      </c>
      <c r="U342" s="25" t="str">
        <f aca="false">IF(C342="","",IF(V342="","No",IF(Config!$C$4-V342&lt;=Config!$C$15,"Sí","No")))</f>
        <v>No</v>
      </c>
      <c r="V342" s="23"/>
      <c r="W342" s="22"/>
      <c r="X342" s="22"/>
      <c r="Y342" s="22"/>
      <c r="Z342" s="27"/>
      <c r="AA342" s="22"/>
      <c r="AB342" s="22"/>
    </row>
    <row r="343" customFormat="false" ht="15" hidden="false" customHeight="false" outlineLevel="0" collapsed="false">
      <c r="A343" s="22" t="n">
        <v>342</v>
      </c>
      <c r="B343" s="22" t="s">
        <v>1620</v>
      </c>
      <c r="C343" s="22" t="s">
        <v>1621</v>
      </c>
      <c r="D343" s="22" t="s">
        <v>149</v>
      </c>
      <c r="E343" s="22" t="s">
        <v>139</v>
      </c>
      <c r="F343" s="22" t="s">
        <v>103</v>
      </c>
      <c r="G343" s="23" t="n">
        <v>45103</v>
      </c>
      <c r="H343" s="24" t="n">
        <f aca="false">IF(G343="","",ROUND((Config!$C$4-G343)/365.25,2))</f>
        <v>3.27</v>
      </c>
      <c r="I343" s="25" t="str">
        <f aca="false">IF(H343="","",IF(H343&lt;=1,"Tramo 1",IF(H343&lt;=3,"Tramo 2",IF(H343&lt;=5,"Tramo 3","Tramo 4"))))</f>
        <v>Tramo 3</v>
      </c>
      <c r="J343" s="22" t="s">
        <v>140</v>
      </c>
      <c r="K343" s="22"/>
      <c r="L343" s="22" t="s">
        <v>1622</v>
      </c>
      <c r="M343" s="26" t="s">
        <v>1623</v>
      </c>
      <c r="N343" s="22"/>
      <c r="O343" s="22" t="s">
        <v>63</v>
      </c>
      <c r="P343" s="25" t="str">
        <f aca="false">IF(OR(O343="",O343="Sin información"),"",IFERROR(INDEX(Listas!$B$2:$B$9,MATCH(O343,Listas!$A$2:$A$9,0)),""))</f>
        <v/>
      </c>
      <c r="Q343" s="25" t="str">
        <f aca="false">IF(OR(O343="",O343="Sin información"),"",IFERROR(INDEX(Listas!$C$2:$C$9,MATCH(O343,Listas!$A$2:$A$9,0)),""))</f>
        <v/>
      </c>
      <c r="R343" s="22"/>
      <c r="S343" s="22"/>
      <c r="T343" s="25" t="str">
        <f aca="false">IF(S343="","",IFERROR(INDEX(Empleadores!$B$2:$B$601,MATCH(S343,Empleadores!$A$2:$A$601,0)),"No encontrado"))</f>
        <v/>
      </c>
      <c r="U343" s="25" t="str">
        <f aca="false">IF(C343="","",IF(V343="","No",IF(Config!$C$4-V343&lt;=Config!$C$15,"Sí","No")))</f>
        <v>No</v>
      </c>
      <c r="V343" s="23"/>
      <c r="W343" s="22"/>
      <c r="X343" s="22"/>
      <c r="Y343" s="22"/>
      <c r="Z343" s="27"/>
      <c r="AA343" s="22"/>
      <c r="AB343" s="22"/>
    </row>
    <row r="344" customFormat="false" ht="15" hidden="false" customHeight="false" outlineLevel="0" collapsed="false">
      <c r="A344" s="22" t="n">
        <v>343</v>
      </c>
      <c r="B344" s="22" t="s">
        <v>1624</v>
      </c>
      <c r="C344" s="22" t="s">
        <v>1625</v>
      </c>
      <c r="D344" s="22" t="s">
        <v>149</v>
      </c>
      <c r="E344" s="22" t="s">
        <v>139</v>
      </c>
      <c r="F344" s="22" t="s">
        <v>103</v>
      </c>
      <c r="G344" s="23" t="n">
        <v>45103</v>
      </c>
      <c r="H344" s="24" t="n">
        <f aca="false">IF(G344="","",ROUND((Config!$C$4-G344)/365.25,2))</f>
        <v>3.27</v>
      </c>
      <c r="I344" s="25" t="str">
        <f aca="false">IF(H344="","",IF(H344&lt;=1,"Tramo 1",IF(H344&lt;=3,"Tramo 2",IF(H344&lt;=5,"Tramo 3","Tramo 4"))))</f>
        <v>Tramo 3</v>
      </c>
      <c r="J344" s="22" t="s">
        <v>140</v>
      </c>
      <c r="K344" s="22"/>
      <c r="L344" s="22" t="s">
        <v>1626</v>
      </c>
      <c r="M344" s="26" t="s">
        <v>1627</v>
      </c>
      <c r="N344" s="22"/>
      <c r="O344" s="22" t="s">
        <v>63</v>
      </c>
      <c r="P344" s="25" t="str">
        <f aca="false">IF(OR(O344="",O344="Sin información"),"",IFERROR(INDEX(Listas!$B$2:$B$9,MATCH(O344,Listas!$A$2:$A$9,0)),""))</f>
        <v/>
      </c>
      <c r="Q344" s="25" t="str">
        <f aca="false">IF(OR(O344="",O344="Sin información"),"",IFERROR(INDEX(Listas!$C$2:$C$9,MATCH(O344,Listas!$A$2:$A$9,0)),""))</f>
        <v/>
      </c>
      <c r="R344" s="22"/>
      <c r="S344" s="22"/>
      <c r="T344" s="25" t="str">
        <f aca="false">IF(S344="","",IFERROR(INDEX(Empleadores!$B$2:$B$601,MATCH(S344,Empleadores!$A$2:$A$601,0)),"No encontrado"))</f>
        <v/>
      </c>
      <c r="U344" s="25" t="str">
        <f aca="false">IF(C344="","",IF(V344="","No",IF(Config!$C$4-V344&lt;=Config!$C$15,"Sí","No")))</f>
        <v>No</v>
      </c>
      <c r="V344" s="23"/>
      <c r="W344" s="22"/>
      <c r="X344" s="22"/>
      <c r="Y344" s="22"/>
      <c r="Z344" s="27"/>
      <c r="AA344" s="22"/>
      <c r="AB344" s="22"/>
    </row>
    <row r="345" customFormat="false" ht="15" hidden="false" customHeight="false" outlineLevel="0" collapsed="false">
      <c r="A345" s="22" t="n">
        <v>344</v>
      </c>
      <c r="B345" s="22" t="s">
        <v>1628</v>
      </c>
      <c r="C345" s="22" t="s">
        <v>1629</v>
      </c>
      <c r="D345" s="22" t="s">
        <v>138</v>
      </c>
      <c r="E345" s="22" t="s">
        <v>139</v>
      </c>
      <c r="F345" s="22" t="s">
        <v>103</v>
      </c>
      <c r="G345" s="23" t="n">
        <v>44979</v>
      </c>
      <c r="H345" s="24" t="n">
        <f aca="false">IF(G345="","",ROUND((Config!$C$4-G345)/365.25,2))</f>
        <v>3.61</v>
      </c>
      <c r="I345" s="25" t="str">
        <f aca="false">IF(H345="","",IF(H345&lt;=1,"Tramo 1",IF(H345&lt;=3,"Tramo 2",IF(H345&lt;=5,"Tramo 3","Tramo 4"))))</f>
        <v>Tramo 3</v>
      </c>
      <c r="J345" s="22" t="s">
        <v>140</v>
      </c>
      <c r="K345" s="22"/>
      <c r="L345" s="22" t="s">
        <v>1630</v>
      </c>
      <c r="M345" s="26" t="s">
        <v>1631</v>
      </c>
      <c r="N345" s="22"/>
      <c r="O345" s="22" t="s">
        <v>87</v>
      </c>
      <c r="P345" s="25" t="str">
        <f aca="false">IF(OR(O345="",O345="Sin información"),"",IFERROR(INDEX(Listas!$B$2:$B$9,MATCH(O345,Listas!$A$2:$A$9,0)),""))</f>
        <v>Sí</v>
      </c>
      <c r="Q345" s="25" t="str">
        <f aca="false">IF(OR(O345="",O345="Sin información"),"",IFERROR(INDEX(Listas!$C$2:$C$9,MATCH(O345,Listas!$A$2:$A$9,0)),""))</f>
        <v>Sí</v>
      </c>
      <c r="R345" s="22" t="s">
        <v>1632</v>
      </c>
      <c r="S345" s="22" t="s">
        <v>563</v>
      </c>
      <c r="T345" s="25" t="str">
        <f aca="false">IF(S345="","",IFERROR(INDEX(Empleadores!$B$2:$B$601,MATCH(S345,Empleadores!$A$2:$A$601,0)),"No encontrado"))</f>
        <v>Universidad Andina del Cusco – EP Medicina Humana</v>
      </c>
      <c r="U345" s="25" t="str">
        <f aca="false">IF(C345="","",IF(V345="","No",IF(Config!$C$4-V345&lt;=Config!$C$15,"Sí","No")))</f>
        <v>Sí</v>
      </c>
      <c r="V345" s="23" t="n">
        <v>46244</v>
      </c>
      <c r="W345" s="22"/>
      <c r="X345" s="22"/>
      <c r="Y345" s="22"/>
      <c r="Z345" s="27"/>
      <c r="AA345" s="22"/>
      <c r="AB345" s="22" t="s">
        <v>1633</v>
      </c>
    </row>
    <row r="346" customFormat="false" ht="15" hidden="false" customHeight="false" outlineLevel="0" collapsed="false">
      <c r="A346" s="22" t="n">
        <v>345</v>
      </c>
      <c r="B346" s="22" t="s">
        <v>1634</v>
      </c>
      <c r="C346" s="22" t="s">
        <v>1635</v>
      </c>
      <c r="D346" s="22" t="s">
        <v>138</v>
      </c>
      <c r="E346" s="22" t="s">
        <v>139</v>
      </c>
      <c r="F346" s="22" t="s">
        <v>103</v>
      </c>
      <c r="G346" s="23" t="n">
        <v>45103</v>
      </c>
      <c r="H346" s="24" t="n">
        <f aca="false">IF(G346="","",ROUND((Config!$C$4-G346)/365.25,2))</f>
        <v>3.27</v>
      </c>
      <c r="I346" s="25" t="str">
        <f aca="false">IF(H346="","",IF(H346&lt;=1,"Tramo 1",IF(H346&lt;=3,"Tramo 2",IF(H346&lt;=5,"Tramo 3","Tramo 4"))))</f>
        <v>Tramo 3</v>
      </c>
      <c r="J346" s="22" t="s">
        <v>140</v>
      </c>
      <c r="K346" s="22"/>
      <c r="L346" s="22" t="s">
        <v>1636</v>
      </c>
      <c r="M346" s="26" t="s">
        <v>1637</v>
      </c>
      <c r="N346" s="22"/>
      <c r="O346" s="22" t="s">
        <v>63</v>
      </c>
      <c r="P346" s="25" t="str">
        <f aca="false">IF(OR(O346="",O346="Sin información"),"",IFERROR(INDEX(Listas!$B$2:$B$9,MATCH(O346,Listas!$A$2:$A$9,0)),""))</f>
        <v/>
      </c>
      <c r="Q346" s="25" t="str">
        <f aca="false">IF(OR(O346="",O346="Sin información"),"",IFERROR(INDEX(Listas!$C$2:$C$9,MATCH(O346,Listas!$A$2:$A$9,0)),""))</f>
        <v/>
      </c>
      <c r="R346" s="22"/>
      <c r="S346" s="22"/>
      <c r="T346" s="25" t="str">
        <f aca="false">IF(S346="","",IFERROR(INDEX(Empleadores!$B$2:$B$601,MATCH(S346,Empleadores!$A$2:$A$601,0)),"No encontrado"))</f>
        <v/>
      </c>
      <c r="U346" s="25" t="str">
        <f aca="false">IF(C346="","",IF(V346="","No",IF(Config!$C$4-V346&lt;=Config!$C$15,"Sí","No")))</f>
        <v>No</v>
      </c>
      <c r="V346" s="23"/>
      <c r="W346" s="22"/>
      <c r="X346" s="22"/>
      <c r="Y346" s="22"/>
      <c r="Z346" s="27"/>
      <c r="AA346" s="22"/>
      <c r="AB346" s="22"/>
    </row>
    <row r="347" customFormat="false" ht="15" hidden="false" customHeight="false" outlineLevel="0" collapsed="false">
      <c r="A347" s="22" t="n">
        <v>346</v>
      </c>
      <c r="B347" s="22" t="s">
        <v>1638</v>
      </c>
      <c r="C347" s="22" t="s">
        <v>1639</v>
      </c>
      <c r="D347" s="22" t="s">
        <v>149</v>
      </c>
      <c r="E347" s="22" t="s">
        <v>139</v>
      </c>
      <c r="F347" s="22" t="s">
        <v>103</v>
      </c>
      <c r="G347" s="23" t="n">
        <v>45103</v>
      </c>
      <c r="H347" s="24" t="n">
        <f aca="false">IF(G347="","",ROUND((Config!$C$4-G347)/365.25,2))</f>
        <v>3.27</v>
      </c>
      <c r="I347" s="25" t="str">
        <f aca="false">IF(H347="","",IF(H347&lt;=1,"Tramo 1",IF(H347&lt;=3,"Tramo 2",IF(H347&lt;=5,"Tramo 3","Tramo 4"))))</f>
        <v>Tramo 3</v>
      </c>
      <c r="J347" s="22" t="s">
        <v>140</v>
      </c>
      <c r="K347" s="22"/>
      <c r="L347" s="22" t="s">
        <v>1640</v>
      </c>
      <c r="M347" s="26" t="s">
        <v>1641</v>
      </c>
      <c r="N347" s="22"/>
      <c r="O347" s="22" t="s">
        <v>63</v>
      </c>
      <c r="P347" s="25" t="str">
        <f aca="false">IF(OR(O347="",O347="Sin información"),"",IFERROR(INDEX(Listas!$B$2:$B$9,MATCH(O347,Listas!$A$2:$A$9,0)),""))</f>
        <v/>
      </c>
      <c r="Q347" s="25" t="str">
        <f aca="false">IF(OR(O347="",O347="Sin información"),"",IFERROR(INDEX(Listas!$C$2:$C$9,MATCH(O347,Listas!$A$2:$A$9,0)),""))</f>
        <v/>
      </c>
      <c r="R347" s="22"/>
      <c r="S347" s="22"/>
      <c r="T347" s="25" t="str">
        <f aca="false">IF(S347="","",IFERROR(INDEX(Empleadores!$B$2:$B$601,MATCH(S347,Empleadores!$A$2:$A$601,0)),"No encontrado"))</f>
        <v/>
      </c>
      <c r="U347" s="25" t="str">
        <f aca="false">IF(C347="","",IF(V347="","No",IF(Config!$C$4-V347&lt;=Config!$C$15,"Sí","No")))</f>
        <v>No</v>
      </c>
      <c r="V347" s="23"/>
      <c r="W347" s="22"/>
      <c r="X347" s="22"/>
      <c r="Y347" s="22"/>
      <c r="Z347" s="27"/>
      <c r="AA347" s="22"/>
      <c r="AB347" s="22"/>
    </row>
    <row r="348" customFormat="false" ht="15" hidden="false" customHeight="false" outlineLevel="0" collapsed="false">
      <c r="A348" s="22" t="n">
        <v>347</v>
      </c>
      <c r="B348" s="22" t="s">
        <v>1642</v>
      </c>
      <c r="C348" s="22" t="s">
        <v>1643</v>
      </c>
      <c r="D348" s="22" t="s">
        <v>138</v>
      </c>
      <c r="E348" s="22" t="s">
        <v>139</v>
      </c>
      <c r="F348" s="22" t="s">
        <v>103</v>
      </c>
      <c r="G348" s="23" t="n">
        <v>45103</v>
      </c>
      <c r="H348" s="24" t="n">
        <f aca="false">IF(G348="","",ROUND((Config!$C$4-G348)/365.25,2))</f>
        <v>3.27</v>
      </c>
      <c r="I348" s="25" t="str">
        <f aca="false">IF(H348="","",IF(H348&lt;=1,"Tramo 1",IF(H348&lt;=3,"Tramo 2",IF(H348&lt;=5,"Tramo 3","Tramo 4"))))</f>
        <v>Tramo 3</v>
      </c>
      <c r="J348" s="22" t="s">
        <v>140</v>
      </c>
      <c r="K348" s="22"/>
      <c r="L348" s="22" t="s">
        <v>1644</v>
      </c>
      <c r="M348" s="26" t="s">
        <v>1645</v>
      </c>
      <c r="N348" s="22"/>
      <c r="O348" s="22" t="s">
        <v>63</v>
      </c>
      <c r="P348" s="25" t="str">
        <f aca="false">IF(OR(O348="",O348="Sin información"),"",IFERROR(INDEX(Listas!$B$2:$B$9,MATCH(O348,Listas!$A$2:$A$9,0)),""))</f>
        <v/>
      </c>
      <c r="Q348" s="25" t="str">
        <f aca="false">IF(OR(O348="",O348="Sin información"),"",IFERROR(INDEX(Listas!$C$2:$C$9,MATCH(O348,Listas!$A$2:$A$9,0)),""))</f>
        <v/>
      </c>
      <c r="R348" s="22"/>
      <c r="S348" s="22"/>
      <c r="T348" s="25" t="str">
        <f aca="false">IF(S348="","",IFERROR(INDEX(Empleadores!$B$2:$B$601,MATCH(S348,Empleadores!$A$2:$A$601,0)),"No encontrado"))</f>
        <v/>
      </c>
      <c r="U348" s="25" t="str">
        <f aca="false">IF(C348="","",IF(V348="","No",IF(Config!$C$4-V348&lt;=Config!$C$15,"Sí","No")))</f>
        <v>No</v>
      </c>
      <c r="V348" s="23"/>
      <c r="W348" s="22"/>
      <c r="X348" s="22"/>
      <c r="Y348" s="22"/>
      <c r="Z348" s="27"/>
      <c r="AA348" s="22"/>
      <c r="AB348" s="22"/>
    </row>
    <row r="349" customFormat="false" ht="15" hidden="false" customHeight="false" outlineLevel="0" collapsed="false">
      <c r="A349" s="22" t="n">
        <v>348</v>
      </c>
      <c r="B349" s="22" t="s">
        <v>1646</v>
      </c>
      <c r="C349" s="22" t="s">
        <v>1647</v>
      </c>
      <c r="D349" s="22" t="s">
        <v>138</v>
      </c>
      <c r="E349" s="22" t="s">
        <v>139</v>
      </c>
      <c r="F349" s="22" t="s">
        <v>103</v>
      </c>
      <c r="G349" s="23" t="n">
        <v>45103</v>
      </c>
      <c r="H349" s="24" t="n">
        <f aca="false">IF(G349="","",ROUND((Config!$C$4-G349)/365.25,2))</f>
        <v>3.27</v>
      </c>
      <c r="I349" s="25" t="str">
        <f aca="false">IF(H349="","",IF(H349&lt;=1,"Tramo 1",IF(H349&lt;=3,"Tramo 2",IF(H349&lt;=5,"Tramo 3","Tramo 4"))))</f>
        <v>Tramo 3</v>
      </c>
      <c r="J349" s="22" t="s">
        <v>140</v>
      </c>
      <c r="K349" s="22"/>
      <c r="L349" s="22" t="s">
        <v>1648</v>
      </c>
      <c r="M349" s="26" t="s">
        <v>1649</v>
      </c>
      <c r="N349" s="22"/>
      <c r="O349" s="22" t="s">
        <v>63</v>
      </c>
      <c r="P349" s="25" t="str">
        <f aca="false">IF(OR(O349="",O349="Sin información"),"",IFERROR(INDEX(Listas!$B$2:$B$9,MATCH(O349,Listas!$A$2:$A$9,0)),""))</f>
        <v/>
      </c>
      <c r="Q349" s="25" t="str">
        <f aca="false">IF(OR(O349="",O349="Sin información"),"",IFERROR(INDEX(Listas!$C$2:$C$9,MATCH(O349,Listas!$A$2:$A$9,0)),""))</f>
        <v/>
      </c>
      <c r="R349" s="22"/>
      <c r="S349" s="22"/>
      <c r="T349" s="25" t="str">
        <f aca="false">IF(S349="","",IFERROR(INDEX(Empleadores!$B$2:$B$601,MATCH(S349,Empleadores!$A$2:$A$601,0)),"No encontrado"))</f>
        <v/>
      </c>
      <c r="U349" s="25" t="str">
        <f aca="false">IF(C349="","",IF(V349="","No",IF(Config!$C$4-V349&lt;=Config!$C$15,"Sí","No")))</f>
        <v>No</v>
      </c>
      <c r="V349" s="23"/>
      <c r="W349" s="22"/>
      <c r="X349" s="22"/>
      <c r="Y349" s="22"/>
      <c r="Z349" s="27"/>
      <c r="AA349" s="22"/>
      <c r="AB349" s="22"/>
    </row>
    <row r="350" customFormat="false" ht="15" hidden="false" customHeight="false" outlineLevel="0" collapsed="false">
      <c r="A350" s="22" t="n">
        <v>349</v>
      </c>
      <c r="B350" s="22" t="s">
        <v>1650</v>
      </c>
      <c r="C350" s="22" t="s">
        <v>1651</v>
      </c>
      <c r="D350" s="22" t="s">
        <v>138</v>
      </c>
      <c r="E350" s="22" t="s">
        <v>139</v>
      </c>
      <c r="F350" s="22" t="s">
        <v>103</v>
      </c>
      <c r="G350" s="23" t="n">
        <v>45103</v>
      </c>
      <c r="H350" s="24" t="n">
        <f aca="false">IF(G350="","",ROUND((Config!$C$4-G350)/365.25,2))</f>
        <v>3.27</v>
      </c>
      <c r="I350" s="25" t="str">
        <f aca="false">IF(H350="","",IF(H350&lt;=1,"Tramo 1",IF(H350&lt;=3,"Tramo 2",IF(H350&lt;=5,"Tramo 3","Tramo 4"))))</f>
        <v>Tramo 3</v>
      </c>
      <c r="J350" s="22" t="s">
        <v>140</v>
      </c>
      <c r="K350" s="22"/>
      <c r="L350" s="22" t="s">
        <v>1652</v>
      </c>
      <c r="M350" s="26" t="s">
        <v>1653</v>
      </c>
      <c r="N350" s="22"/>
      <c r="O350" s="22" t="s">
        <v>63</v>
      </c>
      <c r="P350" s="25" t="str">
        <f aca="false">IF(OR(O350="",O350="Sin información"),"",IFERROR(INDEX(Listas!$B$2:$B$9,MATCH(O350,Listas!$A$2:$A$9,0)),""))</f>
        <v/>
      </c>
      <c r="Q350" s="25" t="str">
        <f aca="false">IF(OR(O350="",O350="Sin información"),"",IFERROR(INDEX(Listas!$C$2:$C$9,MATCH(O350,Listas!$A$2:$A$9,0)),""))</f>
        <v/>
      </c>
      <c r="R350" s="22"/>
      <c r="S350" s="22"/>
      <c r="T350" s="25" t="str">
        <f aca="false">IF(S350="","",IFERROR(INDEX(Empleadores!$B$2:$B$601,MATCH(S350,Empleadores!$A$2:$A$601,0)),"No encontrado"))</f>
        <v/>
      </c>
      <c r="U350" s="25" t="str">
        <f aca="false">IF(C350="","",IF(V350="","No",IF(Config!$C$4-V350&lt;=Config!$C$15,"Sí","No")))</f>
        <v>No</v>
      </c>
      <c r="V350" s="23"/>
      <c r="W350" s="22"/>
      <c r="X350" s="22"/>
      <c r="Y350" s="22"/>
      <c r="Z350" s="27"/>
      <c r="AA350" s="22"/>
      <c r="AB350" s="22"/>
    </row>
    <row r="351" customFormat="false" ht="15" hidden="false" customHeight="false" outlineLevel="0" collapsed="false">
      <c r="A351" s="22" t="n">
        <v>350</v>
      </c>
      <c r="B351" s="22" t="s">
        <v>1654</v>
      </c>
      <c r="C351" s="22" t="s">
        <v>1655</v>
      </c>
      <c r="D351" s="22" t="s">
        <v>149</v>
      </c>
      <c r="E351" s="22" t="s">
        <v>139</v>
      </c>
      <c r="F351" s="22" t="s">
        <v>103</v>
      </c>
      <c r="G351" s="23" t="n">
        <v>45103</v>
      </c>
      <c r="H351" s="24" t="n">
        <f aca="false">IF(G351="","",ROUND((Config!$C$4-G351)/365.25,2))</f>
        <v>3.27</v>
      </c>
      <c r="I351" s="25" t="str">
        <f aca="false">IF(H351="","",IF(H351&lt;=1,"Tramo 1",IF(H351&lt;=3,"Tramo 2",IF(H351&lt;=5,"Tramo 3","Tramo 4"))))</f>
        <v>Tramo 3</v>
      </c>
      <c r="J351" s="22" t="s">
        <v>140</v>
      </c>
      <c r="K351" s="22"/>
      <c r="L351" s="22" t="s">
        <v>1656</v>
      </c>
      <c r="M351" s="26" t="s">
        <v>1657</v>
      </c>
      <c r="N351" s="22"/>
      <c r="O351" s="22" t="s">
        <v>63</v>
      </c>
      <c r="P351" s="25" t="str">
        <f aca="false">IF(OR(O351="",O351="Sin información"),"",IFERROR(INDEX(Listas!$B$2:$B$9,MATCH(O351,Listas!$A$2:$A$9,0)),""))</f>
        <v/>
      </c>
      <c r="Q351" s="25" t="str">
        <f aca="false">IF(OR(O351="",O351="Sin información"),"",IFERROR(INDEX(Listas!$C$2:$C$9,MATCH(O351,Listas!$A$2:$A$9,0)),""))</f>
        <v/>
      </c>
      <c r="R351" s="22"/>
      <c r="S351" s="22"/>
      <c r="T351" s="25" t="str">
        <f aca="false">IF(S351="","",IFERROR(INDEX(Empleadores!$B$2:$B$601,MATCH(S351,Empleadores!$A$2:$A$601,0)),"No encontrado"))</f>
        <v/>
      </c>
      <c r="U351" s="25" t="str">
        <f aca="false">IF(C351="","",IF(V351="","No",IF(Config!$C$4-V351&lt;=Config!$C$15,"Sí","No")))</f>
        <v>No</v>
      </c>
      <c r="V351" s="23"/>
      <c r="W351" s="22"/>
      <c r="X351" s="22"/>
      <c r="Y351" s="22"/>
      <c r="Z351" s="27"/>
      <c r="AA351" s="22"/>
      <c r="AB351" s="22"/>
    </row>
    <row r="352" customFormat="false" ht="15" hidden="false" customHeight="false" outlineLevel="0" collapsed="false">
      <c r="A352" s="22" t="n">
        <v>351</v>
      </c>
      <c r="B352" s="22" t="s">
        <v>1658</v>
      </c>
      <c r="C352" s="22" t="s">
        <v>1659</v>
      </c>
      <c r="D352" s="22" t="s">
        <v>138</v>
      </c>
      <c r="E352" s="22" t="s">
        <v>139</v>
      </c>
      <c r="F352" s="22" t="s">
        <v>103</v>
      </c>
      <c r="G352" s="23" t="n">
        <v>45103</v>
      </c>
      <c r="H352" s="24" t="n">
        <f aca="false">IF(G352="","",ROUND((Config!$C$4-G352)/365.25,2))</f>
        <v>3.27</v>
      </c>
      <c r="I352" s="25" t="str">
        <f aca="false">IF(H352="","",IF(H352&lt;=1,"Tramo 1",IF(H352&lt;=3,"Tramo 2",IF(H352&lt;=5,"Tramo 3","Tramo 4"))))</f>
        <v>Tramo 3</v>
      </c>
      <c r="J352" s="22" t="s">
        <v>140</v>
      </c>
      <c r="K352" s="22"/>
      <c r="L352" s="22" t="s">
        <v>1660</v>
      </c>
      <c r="M352" s="26" t="s">
        <v>1661</v>
      </c>
      <c r="N352" s="22"/>
      <c r="O352" s="22" t="s">
        <v>63</v>
      </c>
      <c r="P352" s="25" t="str">
        <f aca="false">IF(OR(O352="",O352="Sin información"),"",IFERROR(INDEX(Listas!$B$2:$B$9,MATCH(O352,Listas!$A$2:$A$9,0)),""))</f>
        <v/>
      </c>
      <c r="Q352" s="25" t="str">
        <f aca="false">IF(OR(O352="",O352="Sin información"),"",IFERROR(INDEX(Listas!$C$2:$C$9,MATCH(O352,Listas!$A$2:$A$9,0)),""))</f>
        <v/>
      </c>
      <c r="R352" s="22"/>
      <c r="S352" s="22"/>
      <c r="T352" s="25" t="str">
        <f aca="false">IF(S352="","",IFERROR(INDEX(Empleadores!$B$2:$B$601,MATCH(S352,Empleadores!$A$2:$A$601,0)),"No encontrado"))</f>
        <v/>
      </c>
      <c r="U352" s="25" t="str">
        <f aca="false">IF(C352="","",IF(V352="","No",IF(Config!$C$4-V352&lt;=Config!$C$15,"Sí","No")))</f>
        <v>No</v>
      </c>
      <c r="V352" s="23"/>
      <c r="W352" s="22"/>
      <c r="X352" s="22"/>
      <c r="Y352" s="22"/>
      <c r="Z352" s="27"/>
      <c r="AA352" s="22"/>
      <c r="AB352" s="22"/>
    </row>
    <row r="353" customFormat="false" ht="15" hidden="false" customHeight="false" outlineLevel="0" collapsed="false">
      <c r="A353" s="22" t="n">
        <v>352</v>
      </c>
      <c r="B353" s="22" t="s">
        <v>1662</v>
      </c>
      <c r="C353" s="22" t="s">
        <v>1663</v>
      </c>
      <c r="D353" s="22" t="s">
        <v>149</v>
      </c>
      <c r="E353" s="22" t="s">
        <v>139</v>
      </c>
      <c r="F353" s="22" t="s">
        <v>103</v>
      </c>
      <c r="G353" s="23" t="n">
        <v>45103</v>
      </c>
      <c r="H353" s="24" t="n">
        <f aca="false">IF(G353="","",ROUND((Config!$C$4-G353)/365.25,2))</f>
        <v>3.27</v>
      </c>
      <c r="I353" s="25" t="str">
        <f aca="false">IF(H353="","",IF(H353&lt;=1,"Tramo 1",IF(H353&lt;=3,"Tramo 2",IF(H353&lt;=5,"Tramo 3","Tramo 4"))))</f>
        <v>Tramo 3</v>
      </c>
      <c r="J353" s="22" t="s">
        <v>140</v>
      </c>
      <c r="K353" s="22"/>
      <c r="L353" s="22" t="s">
        <v>1664</v>
      </c>
      <c r="M353" s="26" t="s">
        <v>1665</v>
      </c>
      <c r="N353" s="22"/>
      <c r="O353" s="22" t="s">
        <v>63</v>
      </c>
      <c r="P353" s="25" t="str">
        <f aca="false">IF(OR(O353="",O353="Sin información"),"",IFERROR(INDEX(Listas!$B$2:$B$9,MATCH(O353,Listas!$A$2:$A$9,0)),""))</f>
        <v/>
      </c>
      <c r="Q353" s="25" t="str">
        <f aca="false">IF(OR(O353="",O353="Sin información"),"",IFERROR(INDEX(Listas!$C$2:$C$9,MATCH(O353,Listas!$A$2:$A$9,0)),""))</f>
        <v/>
      </c>
      <c r="R353" s="22"/>
      <c r="S353" s="22"/>
      <c r="T353" s="25" t="str">
        <f aca="false">IF(S353="","",IFERROR(INDEX(Empleadores!$B$2:$B$601,MATCH(S353,Empleadores!$A$2:$A$601,0)),"No encontrado"))</f>
        <v/>
      </c>
      <c r="U353" s="25" t="str">
        <f aca="false">IF(C353="","",IF(V353="","No",IF(Config!$C$4-V353&lt;=Config!$C$15,"Sí","No")))</f>
        <v>No</v>
      </c>
      <c r="V353" s="23"/>
      <c r="W353" s="22"/>
      <c r="X353" s="22"/>
      <c r="Y353" s="22"/>
      <c r="Z353" s="27"/>
      <c r="AA353" s="22"/>
      <c r="AB353" s="22"/>
    </row>
    <row r="354" customFormat="false" ht="15" hidden="false" customHeight="false" outlineLevel="0" collapsed="false">
      <c r="A354" s="22" t="n">
        <v>353</v>
      </c>
      <c r="B354" s="22" t="s">
        <v>1666</v>
      </c>
      <c r="C354" s="22" t="s">
        <v>1667</v>
      </c>
      <c r="D354" s="22" t="s">
        <v>149</v>
      </c>
      <c r="E354" s="22" t="s">
        <v>139</v>
      </c>
      <c r="F354" s="22" t="s">
        <v>103</v>
      </c>
      <c r="G354" s="23" t="n">
        <v>45103</v>
      </c>
      <c r="H354" s="24" t="n">
        <f aca="false">IF(G354="","",ROUND((Config!$C$4-G354)/365.25,2))</f>
        <v>3.27</v>
      </c>
      <c r="I354" s="25" t="str">
        <f aca="false">IF(H354="","",IF(H354&lt;=1,"Tramo 1",IF(H354&lt;=3,"Tramo 2",IF(H354&lt;=5,"Tramo 3","Tramo 4"))))</f>
        <v>Tramo 3</v>
      </c>
      <c r="J354" s="22" t="s">
        <v>140</v>
      </c>
      <c r="K354" s="22"/>
      <c r="L354" s="22" t="s">
        <v>1668</v>
      </c>
      <c r="M354" s="26" t="s">
        <v>1669</v>
      </c>
      <c r="N354" s="22"/>
      <c r="O354" s="22" t="s">
        <v>63</v>
      </c>
      <c r="P354" s="25" t="str">
        <f aca="false">IF(OR(O354="",O354="Sin información"),"",IFERROR(INDEX(Listas!$B$2:$B$9,MATCH(O354,Listas!$A$2:$A$9,0)),""))</f>
        <v/>
      </c>
      <c r="Q354" s="25" t="str">
        <f aca="false">IF(OR(O354="",O354="Sin información"),"",IFERROR(INDEX(Listas!$C$2:$C$9,MATCH(O354,Listas!$A$2:$A$9,0)),""))</f>
        <v/>
      </c>
      <c r="R354" s="22"/>
      <c r="S354" s="22"/>
      <c r="T354" s="25" t="str">
        <f aca="false">IF(S354="","",IFERROR(INDEX(Empleadores!$B$2:$B$601,MATCH(S354,Empleadores!$A$2:$A$601,0)),"No encontrado"))</f>
        <v/>
      </c>
      <c r="U354" s="25" t="str">
        <f aca="false">IF(C354="","",IF(V354="","No",IF(Config!$C$4-V354&lt;=Config!$C$15,"Sí","No")))</f>
        <v>No</v>
      </c>
      <c r="V354" s="23"/>
      <c r="W354" s="22"/>
      <c r="X354" s="22"/>
      <c r="Y354" s="22"/>
      <c r="Z354" s="27"/>
      <c r="AA354" s="22"/>
      <c r="AB354" s="22"/>
    </row>
    <row r="355" customFormat="false" ht="15" hidden="false" customHeight="false" outlineLevel="0" collapsed="false">
      <c r="A355" s="22" t="n">
        <v>354</v>
      </c>
      <c r="B355" s="22" t="s">
        <v>1670</v>
      </c>
      <c r="C355" s="22" t="s">
        <v>1671</v>
      </c>
      <c r="D355" s="22" t="s">
        <v>149</v>
      </c>
      <c r="E355" s="22" t="s">
        <v>139</v>
      </c>
      <c r="F355" s="22" t="s">
        <v>103</v>
      </c>
      <c r="G355" s="23" t="n">
        <v>45103</v>
      </c>
      <c r="H355" s="24" t="n">
        <f aca="false">IF(G355="","",ROUND((Config!$C$4-G355)/365.25,2))</f>
        <v>3.27</v>
      </c>
      <c r="I355" s="25" t="str">
        <f aca="false">IF(H355="","",IF(H355&lt;=1,"Tramo 1",IF(H355&lt;=3,"Tramo 2",IF(H355&lt;=5,"Tramo 3","Tramo 4"))))</f>
        <v>Tramo 3</v>
      </c>
      <c r="J355" s="22" t="s">
        <v>140</v>
      </c>
      <c r="K355" s="22"/>
      <c r="L355" s="22" t="s">
        <v>1672</v>
      </c>
      <c r="M355" s="26" t="s">
        <v>1673</v>
      </c>
      <c r="N355" s="22"/>
      <c r="O355" s="22" t="s">
        <v>63</v>
      </c>
      <c r="P355" s="25" t="str">
        <f aca="false">IF(OR(O355="",O355="Sin información"),"",IFERROR(INDEX(Listas!$B$2:$B$9,MATCH(O355,Listas!$A$2:$A$9,0)),""))</f>
        <v/>
      </c>
      <c r="Q355" s="25" t="str">
        <f aca="false">IF(OR(O355="",O355="Sin información"),"",IFERROR(INDEX(Listas!$C$2:$C$9,MATCH(O355,Listas!$A$2:$A$9,0)),""))</f>
        <v/>
      </c>
      <c r="R355" s="22"/>
      <c r="S355" s="22"/>
      <c r="T355" s="25" t="str">
        <f aca="false">IF(S355="","",IFERROR(INDEX(Empleadores!$B$2:$B$601,MATCH(S355,Empleadores!$A$2:$A$601,0)),"No encontrado"))</f>
        <v/>
      </c>
      <c r="U355" s="25" t="str">
        <f aca="false">IF(C355="","",IF(V355="","No",IF(Config!$C$4-V355&lt;=Config!$C$15,"Sí","No")))</f>
        <v>No</v>
      </c>
      <c r="V355" s="23"/>
      <c r="W355" s="22"/>
      <c r="X355" s="22"/>
      <c r="Y355" s="22"/>
      <c r="Z355" s="27"/>
      <c r="AA355" s="22"/>
      <c r="AB355" s="22"/>
    </row>
    <row r="356" customFormat="false" ht="15" hidden="false" customHeight="false" outlineLevel="0" collapsed="false">
      <c r="A356" s="22" t="n">
        <v>355</v>
      </c>
      <c r="B356" s="22" t="s">
        <v>1674</v>
      </c>
      <c r="C356" s="22" t="s">
        <v>1675</v>
      </c>
      <c r="D356" s="22" t="s">
        <v>149</v>
      </c>
      <c r="E356" s="22" t="s">
        <v>139</v>
      </c>
      <c r="F356" s="22" t="s">
        <v>103</v>
      </c>
      <c r="G356" s="23" t="n">
        <v>45103</v>
      </c>
      <c r="H356" s="24" t="n">
        <f aca="false">IF(G356="","",ROUND((Config!$C$4-G356)/365.25,2))</f>
        <v>3.27</v>
      </c>
      <c r="I356" s="25" t="str">
        <f aca="false">IF(H356="","",IF(H356&lt;=1,"Tramo 1",IF(H356&lt;=3,"Tramo 2",IF(H356&lt;=5,"Tramo 3","Tramo 4"))))</f>
        <v>Tramo 3</v>
      </c>
      <c r="J356" s="22" t="s">
        <v>140</v>
      </c>
      <c r="K356" s="22"/>
      <c r="L356" s="22" t="s">
        <v>1676</v>
      </c>
      <c r="M356" s="26" t="s">
        <v>1677</v>
      </c>
      <c r="N356" s="22"/>
      <c r="O356" s="22" t="s">
        <v>63</v>
      </c>
      <c r="P356" s="25" t="str">
        <f aca="false">IF(OR(O356="",O356="Sin información"),"",IFERROR(INDEX(Listas!$B$2:$B$9,MATCH(O356,Listas!$A$2:$A$9,0)),""))</f>
        <v/>
      </c>
      <c r="Q356" s="25" t="str">
        <f aca="false">IF(OR(O356="",O356="Sin información"),"",IFERROR(INDEX(Listas!$C$2:$C$9,MATCH(O356,Listas!$A$2:$A$9,0)),""))</f>
        <v/>
      </c>
      <c r="R356" s="22"/>
      <c r="S356" s="22"/>
      <c r="T356" s="25" t="str">
        <f aca="false">IF(S356="","",IFERROR(INDEX(Empleadores!$B$2:$B$601,MATCH(S356,Empleadores!$A$2:$A$601,0)),"No encontrado"))</f>
        <v/>
      </c>
      <c r="U356" s="25" t="str">
        <f aca="false">IF(C356="","",IF(V356="","No",IF(Config!$C$4-V356&lt;=Config!$C$15,"Sí","No")))</f>
        <v>No</v>
      </c>
      <c r="V356" s="23"/>
      <c r="W356" s="22"/>
      <c r="X356" s="22"/>
      <c r="Y356" s="22"/>
      <c r="Z356" s="27"/>
      <c r="AA356" s="22"/>
      <c r="AB356" s="22"/>
    </row>
    <row r="357" customFormat="false" ht="15" hidden="false" customHeight="false" outlineLevel="0" collapsed="false">
      <c r="A357" s="22" t="n">
        <v>356</v>
      </c>
      <c r="B357" s="22" t="s">
        <v>1678</v>
      </c>
      <c r="C357" s="22" t="s">
        <v>1679</v>
      </c>
      <c r="D357" s="22" t="s">
        <v>138</v>
      </c>
      <c r="E357" s="22" t="s">
        <v>139</v>
      </c>
      <c r="F357" s="22" t="s">
        <v>103</v>
      </c>
      <c r="G357" s="23" t="n">
        <v>45103</v>
      </c>
      <c r="H357" s="24" t="n">
        <f aca="false">IF(G357="","",ROUND((Config!$C$4-G357)/365.25,2))</f>
        <v>3.27</v>
      </c>
      <c r="I357" s="25" t="str">
        <f aca="false">IF(H357="","",IF(H357&lt;=1,"Tramo 1",IF(H357&lt;=3,"Tramo 2",IF(H357&lt;=5,"Tramo 3","Tramo 4"))))</f>
        <v>Tramo 3</v>
      </c>
      <c r="J357" s="22" t="s">
        <v>140</v>
      </c>
      <c r="K357" s="22"/>
      <c r="L357" s="22" t="s">
        <v>1680</v>
      </c>
      <c r="M357" s="26" t="s">
        <v>1681</v>
      </c>
      <c r="N357" s="22"/>
      <c r="O357" s="22" t="s">
        <v>63</v>
      </c>
      <c r="P357" s="25" t="str">
        <f aca="false">IF(OR(O357="",O357="Sin información"),"",IFERROR(INDEX(Listas!$B$2:$B$9,MATCH(O357,Listas!$A$2:$A$9,0)),""))</f>
        <v/>
      </c>
      <c r="Q357" s="25" t="str">
        <f aca="false">IF(OR(O357="",O357="Sin información"),"",IFERROR(INDEX(Listas!$C$2:$C$9,MATCH(O357,Listas!$A$2:$A$9,0)),""))</f>
        <v/>
      </c>
      <c r="R357" s="22"/>
      <c r="S357" s="22"/>
      <c r="T357" s="25" t="str">
        <f aca="false">IF(S357="","",IFERROR(INDEX(Empleadores!$B$2:$B$601,MATCH(S357,Empleadores!$A$2:$A$601,0)),"No encontrado"))</f>
        <v/>
      </c>
      <c r="U357" s="25" t="str">
        <f aca="false">IF(C357="","",IF(V357="","No",IF(Config!$C$4-V357&lt;=Config!$C$15,"Sí","No")))</f>
        <v>No</v>
      </c>
      <c r="V357" s="23"/>
      <c r="W357" s="22"/>
      <c r="X357" s="22"/>
      <c r="Y357" s="22"/>
      <c r="Z357" s="27"/>
      <c r="AA357" s="22"/>
      <c r="AB357" s="22"/>
    </row>
    <row r="358" customFormat="false" ht="15" hidden="false" customHeight="false" outlineLevel="0" collapsed="false">
      <c r="A358" s="22" t="n">
        <v>357</v>
      </c>
      <c r="B358" s="22" t="s">
        <v>1682</v>
      </c>
      <c r="C358" s="22" t="s">
        <v>1683</v>
      </c>
      <c r="D358" s="22" t="s">
        <v>138</v>
      </c>
      <c r="E358" s="22" t="s">
        <v>139</v>
      </c>
      <c r="F358" s="22" t="s">
        <v>103</v>
      </c>
      <c r="G358" s="23" t="n">
        <v>45103</v>
      </c>
      <c r="H358" s="24" t="n">
        <f aca="false">IF(G358="","",ROUND((Config!$C$4-G358)/365.25,2))</f>
        <v>3.27</v>
      </c>
      <c r="I358" s="25" t="str">
        <f aca="false">IF(H358="","",IF(H358&lt;=1,"Tramo 1",IF(H358&lt;=3,"Tramo 2",IF(H358&lt;=5,"Tramo 3","Tramo 4"))))</f>
        <v>Tramo 3</v>
      </c>
      <c r="J358" s="22" t="s">
        <v>140</v>
      </c>
      <c r="K358" s="22"/>
      <c r="L358" s="22" t="s">
        <v>1684</v>
      </c>
      <c r="M358" s="26" t="s">
        <v>1685</v>
      </c>
      <c r="N358" s="22"/>
      <c r="O358" s="22" t="s">
        <v>63</v>
      </c>
      <c r="P358" s="25" t="str">
        <f aca="false">IF(OR(O358="",O358="Sin información"),"",IFERROR(INDEX(Listas!$B$2:$B$9,MATCH(O358,Listas!$A$2:$A$9,0)),""))</f>
        <v/>
      </c>
      <c r="Q358" s="25" t="str">
        <f aca="false">IF(OR(O358="",O358="Sin información"),"",IFERROR(INDEX(Listas!$C$2:$C$9,MATCH(O358,Listas!$A$2:$A$9,0)),""))</f>
        <v/>
      </c>
      <c r="R358" s="22"/>
      <c r="S358" s="22"/>
      <c r="T358" s="25" t="str">
        <f aca="false">IF(S358="","",IFERROR(INDEX(Empleadores!$B$2:$B$601,MATCH(S358,Empleadores!$A$2:$A$601,0)),"No encontrado"))</f>
        <v/>
      </c>
      <c r="U358" s="25" t="str">
        <f aca="false">IF(C358="","",IF(V358="","No",IF(Config!$C$4-V358&lt;=Config!$C$15,"Sí","No")))</f>
        <v>No</v>
      </c>
      <c r="V358" s="23"/>
      <c r="W358" s="22"/>
      <c r="X358" s="22"/>
      <c r="Y358" s="22"/>
      <c r="Z358" s="27"/>
      <c r="AA358" s="22"/>
      <c r="AB358" s="22"/>
    </row>
    <row r="359" customFormat="false" ht="15" hidden="false" customHeight="false" outlineLevel="0" collapsed="false">
      <c r="A359" s="22" t="n">
        <v>358</v>
      </c>
      <c r="B359" s="22" t="s">
        <v>1686</v>
      </c>
      <c r="C359" s="22" t="s">
        <v>1687</v>
      </c>
      <c r="D359" s="22" t="s">
        <v>149</v>
      </c>
      <c r="E359" s="22" t="s">
        <v>139</v>
      </c>
      <c r="F359" s="22" t="s">
        <v>103</v>
      </c>
      <c r="G359" s="23" t="n">
        <v>45103</v>
      </c>
      <c r="H359" s="24" t="n">
        <f aca="false">IF(G359="","",ROUND((Config!$C$4-G359)/365.25,2))</f>
        <v>3.27</v>
      </c>
      <c r="I359" s="25" t="str">
        <f aca="false">IF(H359="","",IF(H359&lt;=1,"Tramo 1",IF(H359&lt;=3,"Tramo 2",IF(H359&lt;=5,"Tramo 3","Tramo 4"))))</f>
        <v>Tramo 3</v>
      </c>
      <c r="J359" s="22" t="s">
        <v>140</v>
      </c>
      <c r="K359" s="22"/>
      <c r="L359" s="22" t="s">
        <v>1688</v>
      </c>
      <c r="M359" s="26" t="s">
        <v>1689</v>
      </c>
      <c r="N359" s="22"/>
      <c r="O359" s="22" t="s">
        <v>63</v>
      </c>
      <c r="P359" s="25" t="str">
        <f aca="false">IF(OR(O359="",O359="Sin información"),"",IFERROR(INDEX(Listas!$B$2:$B$9,MATCH(O359,Listas!$A$2:$A$9,0)),""))</f>
        <v/>
      </c>
      <c r="Q359" s="25" t="str">
        <f aca="false">IF(OR(O359="",O359="Sin información"),"",IFERROR(INDEX(Listas!$C$2:$C$9,MATCH(O359,Listas!$A$2:$A$9,0)),""))</f>
        <v/>
      </c>
      <c r="R359" s="22"/>
      <c r="S359" s="22"/>
      <c r="T359" s="25" t="str">
        <f aca="false">IF(S359="","",IFERROR(INDEX(Empleadores!$B$2:$B$601,MATCH(S359,Empleadores!$A$2:$A$601,0)),"No encontrado"))</f>
        <v/>
      </c>
      <c r="U359" s="25" t="str">
        <f aca="false">IF(C359="","",IF(V359="","No",IF(Config!$C$4-V359&lt;=Config!$C$15,"Sí","No")))</f>
        <v>No</v>
      </c>
      <c r="V359" s="23"/>
      <c r="W359" s="22"/>
      <c r="X359" s="22"/>
      <c r="Y359" s="22"/>
      <c r="Z359" s="27"/>
      <c r="AA359" s="22" t="s">
        <v>1690</v>
      </c>
      <c r="AB359" s="22" t="s">
        <v>1691</v>
      </c>
    </row>
    <row r="360" customFormat="false" ht="15" hidden="false" customHeight="false" outlineLevel="0" collapsed="false">
      <c r="A360" s="22" t="n">
        <v>359</v>
      </c>
      <c r="B360" s="22" t="s">
        <v>1692</v>
      </c>
      <c r="C360" s="22" t="s">
        <v>1693</v>
      </c>
      <c r="D360" s="22" t="s">
        <v>138</v>
      </c>
      <c r="E360" s="22" t="s">
        <v>139</v>
      </c>
      <c r="F360" s="22" t="s">
        <v>103</v>
      </c>
      <c r="G360" s="23" t="n">
        <v>45103</v>
      </c>
      <c r="H360" s="24" t="n">
        <f aca="false">IF(G360="","",ROUND((Config!$C$4-G360)/365.25,2))</f>
        <v>3.27</v>
      </c>
      <c r="I360" s="25" t="str">
        <f aca="false">IF(H360="","",IF(H360&lt;=1,"Tramo 1",IF(H360&lt;=3,"Tramo 2",IF(H360&lt;=5,"Tramo 3","Tramo 4"))))</f>
        <v>Tramo 3</v>
      </c>
      <c r="J360" s="22" t="s">
        <v>140</v>
      </c>
      <c r="K360" s="22"/>
      <c r="L360" s="22" t="s">
        <v>1694</v>
      </c>
      <c r="M360" s="26" t="s">
        <v>1695</v>
      </c>
      <c r="N360" s="22"/>
      <c r="O360" s="22" t="s">
        <v>85</v>
      </c>
      <c r="P360" s="25" t="str">
        <f aca="false">IF(OR(O360="",O360="Sin información"),"",IFERROR(INDEX(Listas!$B$2:$B$9,MATCH(O360,Listas!$A$2:$A$9,0)),""))</f>
        <v>Sí</v>
      </c>
      <c r="Q360" s="25" t="str">
        <f aca="false">IF(OR(O360="",O360="Sin información"),"",IFERROR(INDEX(Listas!$C$2:$C$9,MATCH(O360,Listas!$A$2:$A$9,0)),""))</f>
        <v>Sí</v>
      </c>
      <c r="R360" s="22"/>
      <c r="S360" s="22" t="s">
        <v>1696</v>
      </c>
      <c r="T360" s="25" t="str">
        <f aca="false">IF(S360="","",IFERROR(INDEX(Empleadores!$B$2:$B$601,MATCH(S360,Empleadores!$A$2:$A$601,0)),"No encontrado"))</f>
        <v>Red Asistencial EsSalud Cusco (establecimiento no precisado)</v>
      </c>
      <c r="U360" s="25" t="str">
        <f aca="false">IF(C360="","",IF(V360="","No",IF(Config!$C$4-V360&lt;=Config!$C$15,"Sí","No")))</f>
        <v>Sí</v>
      </c>
      <c r="V360" s="23" t="n">
        <v>45973</v>
      </c>
      <c r="W360" s="22"/>
      <c r="X360" s="22"/>
      <c r="Y360" s="22" t="s">
        <v>181</v>
      </c>
      <c r="Z360" s="27"/>
      <c r="AA360" s="22"/>
      <c r="AB360" s="22" t="s">
        <v>183</v>
      </c>
    </row>
    <row r="361" customFormat="false" ht="15" hidden="false" customHeight="false" outlineLevel="0" collapsed="false">
      <c r="A361" s="22" t="n">
        <v>360</v>
      </c>
      <c r="B361" s="22" t="s">
        <v>1697</v>
      </c>
      <c r="C361" s="22" t="s">
        <v>1698</v>
      </c>
      <c r="D361" s="22" t="s">
        <v>138</v>
      </c>
      <c r="E361" s="22" t="s">
        <v>139</v>
      </c>
      <c r="F361" s="22" t="s">
        <v>103</v>
      </c>
      <c r="G361" s="23" t="n">
        <v>45103</v>
      </c>
      <c r="H361" s="24" t="n">
        <f aca="false">IF(G361="","",ROUND((Config!$C$4-G361)/365.25,2))</f>
        <v>3.27</v>
      </c>
      <c r="I361" s="25" t="str">
        <f aca="false">IF(H361="","",IF(H361&lt;=1,"Tramo 1",IF(H361&lt;=3,"Tramo 2",IF(H361&lt;=5,"Tramo 3","Tramo 4"))))</f>
        <v>Tramo 3</v>
      </c>
      <c r="J361" s="22" t="s">
        <v>140</v>
      </c>
      <c r="K361" s="22"/>
      <c r="L361" s="22" t="s">
        <v>1699</v>
      </c>
      <c r="M361" s="26" t="s">
        <v>1700</v>
      </c>
      <c r="N361" s="22"/>
      <c r="O361" s="22" t="s">
        <v>63</v>
      </c>
      <c r="P361" s="25" t="str">
        <f aca="false">IF(OR(O361="",O361="Sin información"),"",IFERROR(INDEX(Listas!$B$2:$B$9,MATCH(O361,Listas!$A$2:$A$9,0)),""))</f>
        <v/>
      </c>
      <c r="Q361" s="25" t="str">
        <f aca="false">IF(OR(O361="",O361="Sin información"),"",IFERROR(INDEX(Listas!$C$2:$C$9,MATCH(O361,Listas!$A$2:$A$9,0)),""))</f>
        <v/>
      </c>
      <c r="R361" s="22"/>
      <c r="S361" s="22"/>
      <c r="T361" s="25" t="str">
        <f aca="false">IF(S361="","",IFERROR(INDEX(Empleadores!$B$2:$B$601,MATCH(S361,Empleadores!$A$2:$A$601,0)),"No encontrado"))</f>
        <v/>
      </c>
      <c r="U361" s="25" t="str">
        <f aca="false">IF(C361="","",IF(V361="","No",IF(Config!$C$4-V361&lt;=Config!$C$15,"Sí","No")))</f>
        <v>No</v>
      </c>
      <c r="V361" s="23"/>
      <c r="W361" s="22"/>
      <c r="X361" s="22"/>
      <c r="Y361" s="22"/>
      <c r="Z361" s="27"/>
      <c r="AA361" s="22"/>
      <c r="AB361" s="22"/>
    </row>
    <row r="362" customFormat="false" ht="15" hidden="false" customHeight="false" outlineLevel="0" collapsed="false">
      <c r="A362" s="22" t="n">
        <v>361</v>
      </c>
      <c r="B362" s="22" t="s">
        <v>1701</v>
      </c>
      <c r="C362" s="22" t="s">
        <v>1702</v>
      </c>
      <c r="D362" s="22" t="s">
        <v>138</v>
      </c>
      <c r="E362" s="22" t="s">
        <v>139</v>
      </c>
      <c r="F362" s="22" t="s">
        <v>103</v>
      </c>
      <c r="G362" s="23" t="n">
        <v>45103</v>
      </c>
      <c r="H362" s="24" t="n">
        <f aca="false">IF(G362="","",ROUND((Config!$C$4-G362)/365.25,2))</f>
        <v>3.27</v>
      </c>
      <c r="I362" s="25" t="str">
        <f aca="false">IF(H362="","",IF(H362&lt;=1,"Tramo 1",IF(H362&lt;=3,"Tramo 2",IF(H362&lt;=5,"Tramo 3","Tramo 4"))))</f>
        <v>Tramo 3</v>
      </c>
      <c r="J362" s="22" t="s">
        <v>140</v>
      </c>
      <c r="K362" s="22"/>
      <c r="L362" s="22" t="s">
        <v>1703</v>
      </c>
      <c r="M362" s="26" t="s">
        <v>1704</v>
      </c>
      <c r="N362" s="22"/>
      <c r="O362" s="22" t="s">
        <v>63</v>
      </c>
      <c r="P362" s="25" t="str">
        <f aca="false">IF(OR(O362="",O362="Sin información"),"",IFERROR(INDEX(Listas!$B$2:$B$9,MATCH(O362,Listas!$A$2:$A$9,0)),""))</f>
        <v/>
      </c>
      <c r="Q362" s="25" t="str">
        <f aca="false">IF(OR(O362="",O362="Sin información"),"",IFERROR(INDEX(Listas!$C$2:$C$9,MATCH(O362,Listas!$A$2:$A$9,0)),""))</f>
        <v/>
      </c>
      <c r="R362" s="22"/>
      <c r="S362" s="22"/>
      <c r="T362" s="25" t="str">
        <f aca="false">IF(S362="","",IFERROR(INDEX(Empleadores!$B$2:$B$601,MATCH(S362,Empleadores!$A$2:$A$601,0)),"No encontrado"))</f>
        <v/>
      </c>
      <c r="U362" s="25" t="str">
        <f aca="false">IF(C362="","",IF(V362="","No",IF(Config!$C$4-V362&lt;=Config!$C$15,"Sí","No")))</f>
        <v>No</v>
      </c>
      <c r="V362" s="23"/>
      <c r="W362" s="22"/>
      <c r="X362" s="22"/>
      <c r="Y362" s="22"/>
      <c r="Z362" s="27"/>
      <c r="AA362" s="22"/>
      <c r="AB362" s="22"/>
    </row>
    <row r="363" customFormat="false" ht="15" hidden="false" customHeight="false" outlineLevel="0" collapsed="false">
      <c r="A363" s="22" t="n">
        <v>362</v>
      </c>
      <c r="B363" s="22" t="s">
        <v>1705</v>
      </c>
      <c r="C363" s="22" t="s">
        <v>1706</v>
      </c>
      <c r="D363" s="22" t="s">
        <v>138</v>
      </c>
      <c r="E363" s="22" t="s">
        <v>139</v>
      </c>
      <c r="F363" s="22" t="s">
        <v>103</v>
      </c>
      <c r="G363" s="23" t="n">
        <v>45103</v>
      </c>
      <c r="H363" s="24" t="n">
        <f aca="false">IF(G363="","",ROUND((Config!$C$4-G363)/365.25,2))</f>
        <v>3.27</v>
      </c>
      <c r="I363" s="25" t="str">
        <f aca="false">IF(H363="","",IF(H363&lt;=1,"Tramo 1",IF(H363&lt;=3,"Tramo 2",IF(H363&lt;=5,"Tramo 3","Tramo 4"))))</f>
        <v>Tramo 3</v>
      </c>
      <c r="J363" s="22" t="s">
        <v>140</v>
      </c>
      <c r="K363" s="22"/>
      <c r="L363" s="22" t="s">
        <v>1707</v>
      </c>
      <c r="M363" s="26" t="s">
        <v>1708</v>
      </c>
      <c r="N363" s="22"/>
      <c r="O363" s="22" t="s">
        <v>63</v>
      </c>
      <c r="P363" s="25" t="str">
        <f aca="false">IF(OR(O363="",O363="Sin información"),"",IFERROR(INDEX(Listas!$B$2:$B$9,MATCH(O363,Listas!$A$2:$A$9,0)),""))</f>
        <v/>
      </c>
      <c r="Q363" s="25" t="str">
        <f aca="false">IF(OR(O363="",O363="Sin información"),"",IFERROR(INDEX(Listas!$C$2:$C$9,MATCH(O363,Listas!$A$2:$A$9,0)),""))</f>
        <v/>
      </c>
      <c r="R363" s="22"/>
      <c r="S363" s="22"/>
      <c r="T363" s="25" t="str">
        <f aca="false">IF(S363="","",IFERROR(INDEX(Empleadores!$B$2:$B$601,MATCH(S363,Empleadores!$A$2:$A$601,0)),"No encontrado"))</f>
        <v/>
      </c>
      <c r="U363" s="25" t="str">
        <f aca="false">IF(C363="","",IF(V363="","No",IF(Config!$C$4-V363&lt;=Config!$C$15,"Sí","No")))</f>
        <v>No</v>
      </c>
      <c r="V363" s="23"/>
      <c r="W363" s="22"/>
      <c r="X363" s="22"/>
      <c r="Y363" s="22"/>
      <c r="Z363" s="27"/>
      <c r="AA363" s="22"/>
      <c r="AB363" s="22"/>
    </row>
    <row r="364" customFormat="false" ht="15" hidden="false" customHeight="false" outlineLevel="0" collapsed="false">
      <c r="A364" s="22" t="n">
        <v>363</v>
      </c>
      <c r="B364" s="22" t="s">
        <v>1709</v>
      </c>
      <c r="C364" s="22" t="s">
        <v>1710</v>
      </c>
      <c r="D364" s="22" t="s">
        <v>149</v>
      </c>
      <c r="E364" s="22" t="s">
        <v>139</v>
      </c>
      <c r="F364" s="22" t="s">
        <v>103</v>
      </c>
      <c r="G364" s="23" t="n">
        <v>45103</v>
      </c>
      <c r="H364" s="24" t="n">
        <f aca="false">IF(G364="","",ROUND((Config!$C$4-G364)/365.25,2))</f>
        <v>3.27</v>
      </c>
      <c r="I364" s="25" t="str">
        <f aca="false">IF(H364="","",IF(H364&lt;=1,"Tramo 1",IF(H364&lt;=3,"Tramo 2",IF(H364&lt;=5,"Tramo 3","Tramo 4"))))</f>
        <v>Tramo 3</v>
      </c>
      <c r="J364" s="22" t="s">
        <v>140</v>
      </c>
      <c r="K364" s="22"/>
      <c r="L364" s="22" t="s">
        <v>1711</v>
      </c>
      <c r="M364" s="26" t="s">
        <v>1712</v>
      </c>
      <c r="N364" s="22"/>
      <c r="O364" s="22" t="s">
        <v>63</v>
      </c>
      <c r="P364" s="25" t="str">
        <f aca="false">IF(OR(O364="",O364="Sin información"),"",IFERROR(INDEX(Listas!$B$2:$B$9,MATCH(O364,Listas!$A$2:$A$9,0)),""))</f>
        <v/>
      </c>
      <c r="Q364" s="25" t="str">
        <f aca="false">IF(OR(O364="",O364="Sin información"),"",IFERROR(INDEX(Listas!$C$2:$C$9,MATCH(O364,Listas!$A$2:$A$9,0)),""))</f>
        <v/>
      </c>
      <c r="R364" s="22"/>
      <c r="S364" s="22"/>
      <c r="T364" s="25" t="str">
        <f aca="false">IF(S364="","",IFERROR(INDEX(Empleadores!$B$2:$B$601,MATCH(S364,Empleadores!$A$2:$A$601,0)),"No encontrado"))</f>
        <v/>
      </c>
      <c r="U364" s="25" t="str">
        <f aca="false">IF(C364="","",IF(V364="","No",IF(Config!$C$4-V364&lt;=Config!$C$15,"Sí","No")))</f>
        <v>No</v>
      </c>
      <c r="V364" s="23"/>
      <c r="W364" s="22"/>
      <c r="X364" s="22"/>
      <c r="Y364" s="22"/>
      <c r="Z364" s="27"/>
      <c r="AA364" s="22"/>
      <c r="AB364" s="22"/>
    </row>
    <row r="365" customFormat="false" ht="15" hidden="false" customHeight="false" outlineLevel="0" collapsed="false">
      <c r="A365" s="22" t="n">
        <v>364</v>
      </c>
      <c r="B365" s="22" t="s">
        <v>1713</v>
      </c>
      <c r="C365" s="22" t="s">
        <v>1714</v>
      </c>
      <c r="D365" s="22" t="s">
        <v>149</v>
      </c>
      <c r="E365" s="22" t="s">
        <v>139</v>
      </c>
      <c r="F365" s="22" t="s">
        <v>103</v>
      </c>
      <c r="G365" s="23" t="n">
        <v>45103</v>
      </c>
      <c r="H365" s="24" t="n">
        <f aca="false">IF(G365="","",ROUND((Config!$C$4-G365)/365.25,2))</f>
        <v>3.27</v>
      </c>
      <c r="I365" s="25" t="str">
        <f aca="false">IF(H365="","",IF(H365&lt;=1,"Tramo 1",IF(H365&lt;=3,"Tramo 2",IF(H365&lt;=5,"Tramo 3","Tramo 4"))))</f>
        <v>Tramo 3</v>
      </c>
      <c r="J365" s="22" t="s">
        <v>140</v>
      </c>
      <c r="K365" s="22"/>
      <c r="L365" s="22" t="s">
        <v>1715</v>
      </c>
      <c r="M365" s="26" t="s">
        <v>1716</v>
      </c>
      <c r="N365" s="22"/>
      <c r="O365" s="22" t="s">
        <v>85</v>
      </c>
      <c r="P365" s="25" t="str">
        <f aca="false">IF(OR(O365="",O365="Sin información"),"",IFERROR(INDEX(Listas!$B$2:$B$9,MATCH(O365,Listas!$A$2:$A$9,0)),""))</f>
        <v>Sí</v>
      </c>
      <c r="Q365" s="25" t="str">
        <f aca="false">IF(OR(O365="",O365="Sin información"),"",IFERROR(INDEX(Listas!$C$2:$C$9,MATCH(O365,Listas!$A$2:$A$9,0)),""))</f>
        <v>Sí</v>
      </c>
      <c r="R365" s="22"/>
      <c r="S365" s="22"/>
      <c r="T365" s="25" t="str">
        <f aca="false">IF(S365="","",IFERROR(INDEX(Empleadores!$B$2:$B$601,MATCH(S365,Empleadores!$A$2:$A$601,0)),"No encontrado"))</f>
        <v/>
      </c>
      <c r="U365" s="25" t="str">
        <f aca="false">IF(C365="","",IF(V365="","No",IF(Config!$C$4-V365&lt;=Config!$C$15,"Sí","No")))</f>
        <v>Sí</v>
      </c>
      <c r="V365" s="23" t="n">
        <v>45968</v>
      </c>
      <c r="W365" s="22"/>
      <c r="X365" s="22"/>
      <c r="Y365" s="22" t="s">
        <v>181</v>
      </c>
      <c r="Z365" s="27" t="s">
        <v>1717</v>
      </c>
      <c r="AA365" s="22"/>
      <c r="AB365" s="22" t="s">
        <v>183</v>
      </c>
    </row>
    <row r="366" customFormat="false" ht="15" hidden="false" customHeight="false" outlineLevel="0" collapsed="false">
      <c r="A366" s="22" t="n">
        <v>365</v>
      </c>
      <c r="B366" s="22" t="s">
        <v>1718</v>
      </c>
      <c r="C366" s="22" t="s">
        <v>1719</v>
      </c>
      <c r="D366" s="22" t="s">
        <v>149</v>
      </c>
      <c r="E366" s="22" t="s">
        <v>139</v>
      </c>
      <c r="F366" s="22" t="s">
        <v>103</v>
      </c>
      <c r="G366" s="23" t="n">
        <v>45103</v>
      </c>
      <c r="H366" s="24" t="n">
        <f aca="false">IF(G366="","",ROUND((Config!$C$4-G366)/365.25,2))</f>
        <v>3.27</v>
      </c>
      <c r="I366" s="25" t="str">
        <f aca="false">IF(H366="","",IF(H366&lt;=1,"Tramo 1",IF(H366&lt;=3,"Tramo 2",IF(H366&lt;=5,"Tramo 3","Tramo 4"))))</f>
        <v>Tramo 3</v>
      </c>
      <c r="J366" s="22" t="s">
        <v>140</v>
      </c>
      <c r="K366" s="22"/>
      <c r="L366" s="22" t="s">
        <v>1720</v>
      </c>
      <c r="M366" s="26" t="s">
        <v>1721</v>
      </c>
      <c r="N366" s="22"/>
      <c r="O366" s="22" t="s">
        <v>63</v>
      </c>
      <c r="P366" s="25" t="str">
        <f aca="false">IF(OR(O366="",O366="Sin información"),"",IFERROR(INDEX(Listas!$B$2:$B$9,MATCH(O366,Listas!$A$2:$A$9,0)),""))</f>
        <v/>
      </c>
      <c r="Q366" s="25" t="str">
        <f aca="false">IF(OR(O366="",O366="Sin información"),"",IFERROR(INDEX(Listas!$C$2:$C$9,MATCH(O366,Listas!$A$2:$A$9,0)),""))</f>
        <v/>
      </c>
      <c r="R366" s="22"/>
      <c r="S366" s="22"/>
      <c r="T366" s="25" t="str">
        <f aca="false">IF(S366="","",IFERROR(INDEX(Empleadores!$B$2:$B$601,MATCH(S366,Empleadores!$A$2:$A$601,0)),"No encontrado"))</f>
        <v/>
      </c>
      <c r="U366" s="25" t="str">
        <f aca="false">IF(C366="","",IF(V366="","No",IF(Config!$C$4-V366&lt;=Config!$C$15,"Sí","No")))</f>
        <v>No</v>
      </c>
      <c r="V366" s="23"/>
      <c r="W366" s="22"/>
      <c r="X366" s="22"/>
      <c r="Y366" s="22"/>
      <c r="Z366" s="27"/>
      <c r="AA366" s="22"/>
      <c r="AB366" s="22"/>
    </row>
    <row r="367" customFormat="false" ht="15" hidden="false" customHeight="false" outlineLevel="0" collapsed="false">
      <c r="A367" s="22" t="n">
        <v>366</v>
      </c>
      <c r="B367" s="22" t="s">
        <v>1722</v>
      </c>
      <c r="C367" s="22" t="s">
        <v>1723</v>
      </c>
      <c r="D367" s="22" t="s">
        <v>138</v>
      </c>
      <c r="E367" s="22" t="s">
        <v>139</v>
      </c>
      <c r="F367" s="22" t="s">
        <v>103</v>
      </c>
      <c r="G367" s="23" t="n">
        <v>45103</v>
      </c>
      <c r="H367" s="24" t="n">
        <f aca="false">IF(G367="","",ROUND((Config!$C$4-G367)/365.25,2))</f>
        <v>3.27</v>
      </c>
      <c r="I367" s="25" t="str">
        <f aca="false">IF(H367="","",IF(H367&lt;=1,"Tramo 1",IF(H367&lt;=3,"Tramo 2",IF(H367&lt;=5,"Tramo 3","Tramo 4"))))</f>
        <v>Tramo 3</v>
      </c>
      <c r="J367" s="22" t="s">
        <v>140</v>
      </c>
      <c r="K367" s="22"/>
      <c r="L367" s="22" t="s">
        <v>1724</v>
      </c>
      <c r="M367" s="26" t="s">
        <v>1725</v>
      </c>
      <c r="N367" s="22"/>
      <c r="O367" s="22" t="s">
        <v>63</v>
      </c>
      <c r="P367" s="25" t="str">
        <f aca="false">IF(OR(O367="",O367="Sin información"),"",IFERROR(INDEX(Listas!$B$2:$B$9,MATCH(O367,Listas!$A$2:$A$9,0)),""))</f>
        <v/>
      </c>
      <c r="Q367" s="25" t="str">
        <f aca="false">IF(OR(O367="",O367="Sin información"),"",IFERROR(INDEX(Listas!$C$2:$C$9,MATCH(O367,Listas!$A$2:$A$9,0)),""))</f>
        <v/>
      </c>
      <c r="R367" s="22"/>
      <c r="S367" s="22"/>
      <c r="T367" s="25" t="str">
        <f aca="false">IF(S367="","",IFERROR(INDEX(Empleadores!$B$2:$B$601,MATCH(S367,Empleadores!$A$2:$A$601,0)),"No encontrado"))</f>
        <v/>
      </c>
      <c r="U367" s="25" t="str">
        <f aca="false">IF(C367="","",IF(V367="","No",IF(Config!$C$4-V367&lt;=Config!$C$15,"Sí","No")))</f>
        <v>No</v>
      </c>
      <c r="V367" s="23"/>
      <c r="W367" s="22"/>
      <c r="X367" s="22"/>
      <c r="Y367" s="22"/>
      <c r="Z367" s="27"/>
      <c r="AA367" s="22"/>
      <c r="AB367" s="22"/>
    </row>
    <row r="368" customFormat="false" ht="15" hidden="false" customHeight="false" outlineLevel="0" collapsed="false">
      <c r="A368" s="22" t="n">
        <v>367</v>
      </c>
      <c r="B368" s="22" t="s">
        <v>1726</v>
      </c>
      <c r="C368" s="22" t="s">
        <v>1727</v>
      </c>
      <c r="D368" s="22" t="s">
        <v>149</v>
      </c>
      <c r="E368" s="22" t="s">
        <v>139</v>
      </c>
      <c r="F368" s="22" t="s">
        <v>103</v>
      </c>
      <c r="G368" s="23" t="n">
        <v>45103</v>
      </c>
      <c r="H368" s="24" t="n">
        <f aca="false">IF(G368="","",ROUND((Config!$C$4-G368)/365.25,2))</f>
        <v>3.27</v>
      </c>
      <c r="I368" s="25" t="str">
        <f aca="false">IF(H368="","",IF(H368&lt;=1,"Tramo 1",IF(H368&lt;=3,"Tramo 2",IF(H368&lt;=5,"Tramo 3","Tramo 4"))))</f>
        <v>Tramo 3</v>
      </c>
      <c r="J368" s="22" t="s">
        <v>140</v>
      </c>
      <c r="K368" s="22"/>
      <c r="L368" s="22" t="s">
        <v>1728</v>
      </c>
      <c r="M368" s="26" t="s">
        <v>1729</v>
      </c>
      <c r="N368" s="22"/>
      <c r="O368" s="22" t="s">
        <v>63</v>
      </c>
      <c r="P368" s="25" t="str">
        <f aca="false">IF(OR(O368="",O368="Sin información"),"",IFERROR(INDEX(Listas!$B$2:$B$9,MATCH(O368,Listas!$A$2:$A$9,0)),""))</f>
        <v/>
      </c>
      <c r="Q368" s="25" t="str">
        <f aca="false">IF(OR(O368="",O368="Sin información"),"",IFERROR(INDEX(Listas!$C$2:$C$9,MATCH(O368,Listas!$A$2:$A$9,0)),""))</f>
        <v/>
      </c>
      <c r="R368" s="22"/>
      <c r="S368" s="22"/>
      <c r="T368" s="25" t="str">
        <f aca="false">IF(S368="","",IFERROR(INDEX(Empleadores!$B$2:$B$601,MATCH(S368,Empleadores!$A$2:$A$601,0)),"No encontrado"))</f>
        <v/>
      </c>
      <c r="U368" s="25" t="str">
        <f aca="false">IF(C368="","",IF(V368="","No",IF(Config!$C$4-V368&lt;=Config!$C$15,"Sí","No")))</f>
        <v>No</v>
      </c>
      <c r="V368" s="23"/>
      <c r="W368" s="22"/>
      <c r="X368" s="22"/>
      <c r="Y368" s="22"/>
      <c r="Z368" s="27"/>
      <c r="AA368" s="22"/>
      <c r="AB368" s="22"/>
    </row>
    <row r="369" customFormat="false" ht="15" hidden="false" customHeight="false" outlineLevel="0" collapsed="false">
      <c r="A369" s="22" t="n">
        <v>368</v>
      </c>
      <c r="B369" s="22" t="s">
        <v>1730</v>
      </c>
      <c r="C369" s="22" t="s">
        <v>1731</v>
      </c>
      <c r="D369" s="22" t="s">
        <v>149</v>
      </c>
      <c r="E369" s="22" t="s">
        <v>139</v>
      </c>
      <c r="F369" s="22" t="s">
        <v>103</v>
      </c>
      <c r="G369" s="23" t="n">
        <v>45103</v>
      </c>
      <c r="H369" s="24" t="n">
        <f aca="false">IF(G369="","",ROUND((Config!$C$4-G369)/365.25,2))</f>
        <v>3.27</v>
      </c>
      <c r="I369" s="25" t="str">
        <f aca="false">IF(H369="","",IF(H369&lt;=1,"Tramo 1",IF(H369&lt;=3,"Tramo 2",IF(H369&lt;=5,"Tramo 3","Tramo 4"))))</f>
        <v>Tramo 3</v>
      </c>
      <c r="J369" s="22" t="s">
        <v>140</v>
      </c>
      <c r="K369" s="22"/>
      <c r="L369" s="22" t="s">
        <v>1732</v>
      </c>
      <c r="M369" s="26" t="s">
        <v>1733</v>
      </c>
      <c r="N369" s="22"/>
      <c r="O369" s="22" t="s">
        <v>63</v>
      </c>
      <c r="P369" s="25" t="str">
        <f aca="false">IF(OR(O369="",O369="Sin información"),"",IFERROR(INDEX(Listas!$B$2:$B$9,MATCH(O369,Listas!$A$2:$A$9,0)),""))</f>
        <v/>
      </c>
      <c r="Q369" s="25" t="str">
        <f aca="false">IF(OR(O369="",O369="Sin información"),"",IFERROR(INDEX(Listas!$C$2:$C$9,MATCH(O369,Listas!$A$2:$A$9,0)),""))</f>
        <v/>
      </c>
      <c r="R369" s="22"/>
      <c r="S369" s="22"/>
      <c r="T369" s="25" t="str">
        <f aca="false">IF(S369="","",IFERROR(INDEX(Empleadores!$B$2:$B$601,MATCH(S369,Empleadores!$A$2:$A$601,0)),"No encontrado"))</f>
        <v/>
      </c>
      <c r="U369" s="25" t="str">
        <f aca="false">IF(C369="","",IF(V369="","No",IF(Config!$C$4-V369&lt;=Config!$C$15,"Sí","No")))</f>
        <v>Sí</v>
      </c>
      <c r="V369" s="23" t="n">
        <v>45960</v>
      </c>
      <c r="W369" s="22"/>
      <c r="X369" s="22"/>
      <c r="Y369" s="22" t="s">
        <v>181</v>
      </c>
      <c r="Z369" s="27"/>
      <c r="AA369" s="22"/>
      <c r="AB369" s="22" t="s">
        <v>183</v>
      </c>
    </row>
    <row r="370" customFormat="false" ht="15" hidden="false" customHeight="false" outlineLevel="0" collapsed="false">
      <c r="A370" s="22" t="n">
        <v>369</v>
      </c>
      <c r="B370" s="22" t="s">
        <v>1734</v>
      </c>
      <c r="C370" s="22" t="s">
        <v>1735</v>
      </c>
      <c r="D370" s="22" t="s">
        <v>138</v>
      </c>
      <c r="E370" s="22" t="s">
        <v>139</v>
      </c>
      <c r="F370" s="22" t="s">
        <v>103</v>
      </c>
      <c r="G370" s="23" t="n">
        <v>45103</v>
      </c>
      <c r="H370" s="24" t="n">
        <f aca="false">IF(G370="","",ROUND((Config!$C$4-G370)/365.25,2))</f>
        <v>3.27</v>
      </c>
      <c r="I370" s="25" t="str">
        <f aca="false">IF(H370="","",IF(H370&lt;=1,"Tramo 1",IF(H370&lt;=3,"Tramo 2",IF(H370&lt;=5,"Tramo 3","Tramo 4"))))</f>
        <v>Tramo 3</v>
      </c>
      <c r="J370" s="22" t="s">
        <v>140</v>
      </c>
      <c r="K370" s="22"/>
      <c r="L370" s="22" t="s">
        <v>1736</v>
      </c>
      <c r="M370" s="26" t="s">
        <v>1737</v>
      </c>
      <c r="N370" s="22"/>
      <c r="O370" s="22" t="s">
        <v>63</v>
      </c>
      <c r="P370" s="25" t="str">
        <f aca="false">IF(OR(O370="",O370="Sin información"),"",IFERROR(INDEX(Listas!$B$2:$B$9,MATCH(O370,Listas!$A$2:$A$9,0)),""))</f>
        <v/>
      </c>
      <c r="Q370" s="25" t="str">
        <f aca="false">IF(OR(O370="",O370="Sin información"),"",IFERROR(INDEX(Listas!$C$2:$C$9,MATCH(O370,Listas!$A$2:$A$9,0)),""))</f>
        <v/>
      </c>
      <c r="R370" s="22"/>
      <c r="S370" s="22"/>
      <c r="T370" s="25" t="str">
        <f aca="false">IF(S370="","",IFERROR(INDEX(Empleadores!$B$2:$B$601,MATCH(S370,Empleadores!$A$2:$A$601,0)),"No encontrado"))</f>
        <v/>
      </c>
      <c r="U370" s="25" t="str">
        <f aca="false">IF(C370="","",IF(V370="","No",IF(Config!$C$4-V370&lt;=Config!$C$15,"Sí","No")))</f>
        <v>No</v>
      </c>
      <c r="V370" s="23"/>
      <c r="W370" s="22"/>
      <c r="X370" s="22"/>
      <c r="Y370" s="22"/>
      <c r="Z370" s="27"/>
      <c r="AA370" s="22"/>
      <c r="AB370" s="22"/>
    </row>
    <row r="371" customFormat="false" ht="15" hidden="false" customHeight="false" outlineLevel="0" collapsed="false">
      <c r="A371" s="22" t="n">
        <v>370</v>
      </c>
      <c r="B371" s="22" t="s">
        <v>1738</v>
      </c>
      <c r="C371" s="22" t="s">
        <v>1739</v>
      </c>
      <c r="D371" s="22" t="s">
        <v>149</v>
      </c>
      <c r="E371" s="22" t="s">
        <v>139</v>
      </c>
      <c r="F371" s="22" t="s">
        <v>103</v>
      </c>
      <c r="G371" s="23" t="n">
        <v>45103</v>
      </c>
      <c r="H371" s="24" t="n">
        <f aca="false">IF(G371="","",ROUND((Config!$C$4-G371)/365.25,2))</f>
        <v>3.27</v>
      </c>
      <c r="I371" s="25" t="str">
        <f aca="false">IF(H371="","",IF(H371&lt;=1,"Tramo 1",IF(H371&lt;=3,"Tramo 2",IF(H371&lt;=5,"Tramo 3","Tramo 4"))))</f>
        <v>Tramo 3</v>
      </c>
      <c r="J371" s="22" t="s">
        <v>140</v>
      </c>
      <c r="K371" s="22"/>
      <c r="L371" s="22" t="s">
        <v>1740</v>
      </c>
      <c r="M371" s="26" t="s">
        <v>1741</v>
      </c>
      <c r="N371" s="22"/>
      <c r="O371" s="22" t="s">
        <v>63</v>
      </c>
      <c r="P371" s="25" t="str">
        <f aca="false">IF(OR(O371="",O371="Sin información"),"",IFERROR(INDEX(Listas!$B$2:$B$9,MATCH(O371,Listas!$A$2:$A$9,0)),""))</f>
        <v/>
      </c>
      <c r="Q371" s="25" t="str">
        <f aca="false">IF(OR(O371="",O371="Sin información"),"",IFERROR(INDEX(Listas!$C$2:$C$9,MATCH(O371,Listas!$A$2:$A$9,0)),""))</f>
        <v/>
      </c>
      <c r="R371" s="22"/>
      <c r="S371" s="22"/>
      <c r="T371" s="25" t="str">
        <f aca="false">IF(S371="","",IFERROR(INDEX(Empleadores!$B$2:$B$601,MATCH(S371,Empleadores!$A$2:$A$601,0)),"No encontrado"))</f>
        <v/>
      </c>
      <c r="U371" s="25" t="str">
        <f aca="false">IF(C371="","",IF(V371="","No",IF(Config!$C$4-V371&lt;=Config!$C$15,"Sí","No")))</f>
        <v>No</v>
      </c>
      <c r="V371" s="23"/>
      <c r="W371" s="22"/>
      <c r="X371" s="22"/>
      <c r="Y371" s="22"/>
      <c r="Z371" s="27"/>
      <c r="AA371" s="22"/>
      <c r="AB371" s="22"/>
    </row>
    <row r="372" customFormat="false" ht="15" hidden="false" customHeight="false" outlineLevel="0" collapsed="false">
      <c r="A372" s="22" t="n">
        <v>371</v>
      </c>
      <c r="B372" s="22" t="s">
        <v>1742</v>
      </c>
      <c r="C372" s="22" t="s">
        <v>1743</v>
      </c>
      <c r="D372" s="22" t="s">
        <v>138</v>
      </c>
      <c r="E372" s="22" t="s">
        <v>139</v>
      </c>
      <c r="F372" s="22" t="s">
        <v>104</v>
      </c>
      <c r="G372" s="23" t="n">
        <v>45289</v>
      </c>
      <c r="H372" s="24" t="n">
        <f aca="false">IF(G372="","",ROUND((Config!$C$4-G372)/365.25,2))</f>
        <v>2.76</v>
      </c>
      <c r="I372" s="25" t="str">
        <f aca="false">IF(H372="","",IF(H372&lt;=1,"Tramo 1",IF(H372&lt;=3,"Tramo 2",IF(H372&lt;=5,"Tramo 3","Tramo 4"))))</f>
        <v>Tramo 2</v>
      </c>
      <c r="J372" s="22" t="s">
        <v>140</v>
      </c>
      <c r="K372" s="22"/>
      <c r="L372" s="22" t="s">
        <v>1744</v>
      </c>
      <c r="M372" s="26" t="s">
        <v>1745</v>
      </c>
      <c r="N372" s="22"/>
      <c r="O372" s="22" t="s">
        <v>63</v>
      </c>
      <c r="P372" s="25" t="str">
        <f aca="false">IF(OR(O372="",O372="Sin información"),"",IFERROR(INDEX(Listas!$B$2:$B$9,MATCH(O372,Listas!$A$2:$A$9,0)),""))</f>
        <v/>
      </c>
      <c r="Q372" s="25" t="str">
        <f aca="false">IF(OR(O372="",O372="Sin información"),"",IFERROR(INDEX(Listas!$C$2:$C$9,MATCH(O372,Listas!$A$2:$A$9,0)),""))</f>
        <v/>
      </c>
      <c r="R372" s="22"/>
      <c r="S372" s="22"/>
      <c r="T372" s="25" t="str">
        <f aca="false">IF(S372="","",IFERROR(INDEX(Empleadores!$B$2:$B$601,MATCH(S372,Empleadores!$A$2:$A$601,0)),"No encontrado"))</f>
        <v/>
      </c>
      <c r="U372" s="25" t="str">
        <f aca="false">IF(C372="","",IF(V372="","No",IF(Config!$C$4-V372&lt;=Config!$C$15,"Sí","No")))</f>
        <v>No</v>
      </c>
      <c r="V372" s="23"/>
      <c r="W372" s="22"/>
      <c r="X372" s="22"/>
      <c r="Y372" s="22"/>
      <c r="Z372" s="27"/>
      <c r="AA372" s="22" t="s">
        <v>1746</v>
      </c>
      <c r="AB372" s="22" t="s">
        <v>1691</v>
      </c>
    </row>
    <row r="373" customFormat="false" ht="15" hidden="false" customHeight="false" outlineLevel="0" collapsed="false">
      <c r="A373" s="22" t="n">
        <v>372</v>
      </c>
      <c r="B373" s="22" t="s">
        <v>1747</v>
      </c>
      <c r="C373" s="22" t="s">
        <v>1748</v>
      </c>
      <c r="D373" s="22" t="s">
        <v>138</v>
      </c>
      <c r="E373" s="22" t="s">
        <v>139</v>
      </c>
      <c r="F373" s="22" t="s">
        <v>104</v>
      </c>
      <c r="G373" s="23" t="n">
        <v>45289</v>
      </c>
      <c r="H373" s="24" t="n">
        <f aca="false">IF(G373="","",ROUND((Config!$C$4-G373)/365.25,2))</f>
        <v>2.76</v>
      </c>
      <c r="I373" s="25" t="str">
        <f aca="false">IF(H373="","",IF(H373&lt;=1,"Tramo 1",IF(H373&lt;=3,"Tramo 2",IF(H373&lt;=5,"Tramo 3","Tramo 4"))))</f>
        <v>Tramo 2</v>
      </c>
      <c r="J373" s="22" t="s">
        <v>140</v>
      </c>
      <c r="K373" s="22"/>
      <c r="L373" s="22" t="s">
        <v>1749</v>
      </c>
      <c r="M373" s="26" t="s">
        <v>1750</v>
      </c>
      <c r="N373" s="22"/>
      <c r="O373" s="22" t="s">
        <v>63</v>
      </c>
      <c r="P373" s="25" t="str">
        <f aca="false">IF(OR(O373="",O373="Sin información"),"",IFERROR(INDEX(Listas!$B$2:$B$9,MATCH(O373,Listas!$A$2:$A$9,0)),""))</f>
        <v/>
      </c>
      <c r="Q373" s="25" t="str">
        <f aca="false">IF(OR(O373="",O373="Sin información"),"",IFERROR(INDEX(Listas!$C$2:$C$9,MATCH(O373,Listas!$A$2:$A$9,0)),""))</f>
        <v/>
      </c>
      <c r="R373" s="22"/>
      <c r="S373" s="22"/>
      <c r="T373" s="25" t="str">
        <f aca="false">IF(S373="","",IFERROR(INDEX(Empleadores!$B$2:$B$601,MATCH(S373,Empleadores!$A$2:$A$601,0)),"No encontrado"))</f>
        <v/>
      </c>
      <c r="U373" s="25" t="str">
        <f aca="false">IF(C373="","",IF(V373="","No",IF(Config!$C$4-V373&lt;=Config!$C$15,"Sí","No")))</f>
        <v>No</v>
      </c>
      <c r="V373" s="23"/>
      <c r="W373" s="22"/>
      <c r="X373" s="22"/>
      <c r="Y373" s="22"/>
      <c r="Z373" s="27"/>
      <c r="AA373" s="22"/>
      <c r="AB373" s="22"/>
    </row>
    <row r="374" customFormat="false" ht="15" hidden="false" customHeight="false" outlineLevel="0" collapsed="false">
      <c r="A374" s="22" t="n">
        <v>373</v>
      </c>
      <c r="B374" s="22" t="s">
        <v>1751</v>
      </c>
      <c r="C374" s="22" t="s">
        <v>1752</v>
      </c>
      <c r="D374" s="22" t="s">
        <v>138</v>
      </c>
      <c r="E374" s="22" t="s">
        <v>139</v>
      </c>
      <c r="F374" s="22" t="s">
        <v>104</v>
      </c>
      <c r="G374" s="23" t="n">
        <v>45289</v>
      </c>
      <c r="H374" s="24" t="n">
        <f aca="false">IF(G374="","",ROUND((Config!$C$4-G374)/365.25,2))</f>
        <v>2.76</v>
      </c>
      <c r="I374" s="25" t="str">
        <f aca="false">IF(H374="","",IF(H374&lt;=1,"Tramo 1",IF(H374&lt;=3,"Tramo 2",IF(H374&lt;=5,"Tramo 3","Tramo 4"))))</f>
        <v>Tramo 2</v>
      </c>
      <c r="J374" s="22" t="s">
        <v>140</v>
      </c>
      <c r="K374" s="22"/>
      <c r="L374" s="22" t="s">
        <v>1753</v>
      </c>
      <c r="M374" s="26" t="s">
        <v>1754</v>
      </c>
      <c r="N374" s="22"/>
      <c r="O374" s="22" t="s">
        <v>63</v>
      </c>
      <c r="P374" s="25" t="str">
        <f aca="false">IF(OR(O374="",O374="Sin información"),"",IFERROR(INDEX(Listas!$B$2:$B$9,MATCH(O374,Listas!$A$2:$A$9,0)),""))</f>
        <v/>
      </c>
      <c r="Q374" s="25" t="str">
        <f aca="false">IF(OR(O374="",O374="Sin información"),"",IFERROR(INDEX(Listas!$C$2:$C$9,MATCH(O374,Listas!$A$2:$A$9,0)),""))</f>
        <v/>
      </c>
      <c r="R374" s="22"/>
      <c r="S374" s="22"/>
      <c r="T374" s="25" t="str">
        <f aca="false">IF(S374="","",IFERROR(INDEX(Empleadores!$B$2:$B$601,MATCH(S374,Empleadores!$A$2:$A$601,0)),"No encontrado"))</f>
        <v/>
      </c>
      <c r="U374" s="25" t="str">
        <f aca="false">IF(C374="","",IF(V374="","No",IF(Config!$C$4-V374&lt;=Config!$C$15,"Sí","No")))</f>
        <v>No</v>
      </c>
      <c r="V374" s="23"/>
      <c r="W374" s="22"/>
      <c r="X374" s="22"/>
      <c r="Y374" s="22"/>
      <c r="Z374" s="27"/>
      <c r="AA374" s="22"/>
      <c r="AB374" s="22"/>
    </row>
    <row r="375" customFormat="false" ht="15" hidden="false" customHeight="false" outlineLevel="0" collapsed="false">
      <c r="A375" s="22" t="n">
        <v>374</v>
      </c>
      <c r="B375" s="22" t="s">
        <v>1755</v>
      </c>
      <c r="C375" s="22" t="s">
        <v>1756</v>
      </c>
      <c r="D375" s="22" t="s">
        <v>138</v>
      </c>
      <c r="E375" s="22" t="s">
        <v>139</v>
      </c>
      <c r="F375" s="22" t="s">
        <v>104</v>
      </c>
      <c r="G375" s="23" t="n">
        <v>45289</v>
      </c>
      <c r="H375" s="24" t="n">
        <f aca="false">IF(G375="","",ROUND((Config!$C$4-G375)/365.25,2))</f>
        <v>2.76</v>
      </c>
      <c r="I375" s="25" t="str">
        <f aca="false">IF(H375="","",IF(H375&lt;=1,"Tramo 1",IF(H375&lt;=3,"Tramo 2",IF(H375&lt;=5,"Tramo 3","Tramo 4"))))</f>
        <v>Tramo 2</v>
      </c>
      <c r="J375" s="22" t="s">
        <v>140</v>
      </c>
      <c r="K375" s="22"/>
      <c r="L375" s="22" t="s">
        <v>1757</v>
      </c>
      <c r="M375" s="26" t="s">
        <v>1758</v>
      </c>
      <c r="N375" s="22"/>
      <c r="O375" s="22" t="s">
        <v>63</v>
      </c>
      <c r="P375" s="25" t="str">
        <f aca="false">IF(OR(O375="",O375="Sin información"),"",IFERROR(INDEX(Listas!$B$2:$B$9,MATCH(O375,Listas!$A$2:$A$9,0)),""))</f>
        <v/>
      </c>
      <c r="Q375" s="25" t="str">
        <f aca="false">IF(OR(O375="",O375="Sin información"),"",IFERROR(INDEX(Listas!$C$2:$C$9,MATCH(O375,Listas!$A$2:$A$9,0)),""))</f>
        <v/>
      </c>
      <c r="R375" s="22"/>
      <c r="S375" s="22"/>
      <c r="T375" s="25" t="str">
        <f aca="false">IF(S375="","",IFERROR(INDEX(Empleadores!$B$2:$B$601,MATCH(S375,Empleadores!$A$2:$A$601,0)),"No encontrado"))</f>
        <v/>
      </c>
      <c r="U375" s="25" t="str">
        <f aca="false">IF(C375="","",IF(V375="","No",IF(Config!$C$4-V375&lt;=Config!$C$15,"Sí","No")))</f>
        <v>No</v>
      </c>
      <c r="V375" s="23"/>
      <c r="W375" s="22"/>
      <c r="X375" s="22"/>
      <c r="Y375" s="22"/>
      <c r="Z375" s="27"/>
      <c r="AA375" s="22"/>
      <c r="AB375" s="22"/>
    </row>
    <row r="376" customFormat="false" ht="15" hidden="false" customHeight="false" outlineLevel="0" collapsed="false">
      <c r="A376" s="22" t="n">
        <v>375</v>
      </c>
      <c r="B376" s="22" t="s">
        <v>1759</v>
      </c>
      <c r="C376" s="22" t="s">
        <v>1760</v>
      </c>
      <c r="D376" s="22" t="s">
        <v>149</v>
      </c>
      <c r="E376" s="22" t="s">
        <v>139</v>
      </c>
      <c r="F376" s="22" t="s">
        <v>104</v>
      </c>
      <c r="G376" s="23" t="n">
        <v>45289</v>
      </c>
      <c r="H376" s="24" t="n">
        <f aca="false">IF(G376="","",ROUND((Config!$C$4-G376)/365.25,2))</f>
        <v>2.76</v>
      </c>
      <c r="I376" s="25" t="str">
        <f aca="false">IF(H376="","",IF(H376&lt;=1,"Tramo 1",IF(H376&lt;=3,"Tramo 2",IF(H376&lt;=5,"Tramo 3","Tramo 4"))))</f>
        <v>Tramo 2</v>
      </c>
      <c r="J376" s="22" t="s">
        <v>140</v>
      </c>
      <c r="K376" s="22"/>
      <c r="L376" s="22" t="s">
        <v>1761</v>
      </c>
      <c r="M376" s="26" t="s">
        <v>1762</v>
      </c>
      <c r="N376" s="22"/>
      <c r="O376" s="22" t="s">
        <v>63</v>
      </c>
      <c r="P376" s="25" t="str">
        <f aca="false">IF(OR(O376="",O376="Sin información"),"",IFERROR(INDEX(Listas!$B$2:$B$9,MATCH(O376,Listas!$A$2:$A$9,0)),""))</f>
        <v/>
      </c>
      <c r="Q376" s="25" t="str">
        <f aca="false">IF(OR(O376="",O376="Sin información"),"",IFERROR(INDEX(Listas!$C$2:$C$9,MATCH(O376,Listas!$A$2:$A$9,0)),""))</f>
        <v/>
      </c>
      <c r="R376" s="22"/>
      <c r="S376" s="22"/>
      <c r="T376" s="25" t="str">
        <f aca="false">IF(S376="","",IFERROR(INDEX(Empleadores!$B$2:$B$601,MATCH(S376,Empleadores!$A$2:$A$601,0)),"No encontrado"))</f>
        <v/>
      </c>
      <c r="U376" s="25" t="str">
        <f aca="false">IF(C376="","",IF(V376="","No",IF(Config!$C$4-V376&lt;=Config!$C$15,"Sí","No")))</f>
        <v>No</v>
      </c>
      <c r="V376" s="23"/>
      <c r="W376" s="22"/>
      <c r="X376" s="22"/>
      <c r="Y376" s="22"/>
      <c r="Z376" s="27"/>
      <c r="AA376" s="22"/>
      <c r="AB376" s="22"/>
    </row>
    <row r="377" customFormat="false" ht="15" hidden="false" customHeight="false" outlineLevel="0" collapsed="false">
      <c r="A377" s="22" t="n">
        <v>376</v>
      </c>
      <c r="B377" s="22" t="s">
        <v>1763</v>
      </c>
      <c r="C377" s="22" t="s">
        <v>1764</v>
      </c>
      <c r="D377" s="22" t="s">
        <v>149</v>
      </c>
      <c r="E377" s="22" t="s">
        <v>139</v>
      </c>
      <c r="F377" s="22" t="s">
        <v>104</v>
      </c>
      <c r="G377" s="23" t="n">
        <v>45289</v>
      </c>
      <c r="H377" s="24" t="n">
        <f aca="false">IF(G377="","",ROUND((Config!$C$4-G377)/365.25,2))</f>
        <v>2.76</v>
      </c>
      <c r="I377" s="25" t="str">
        <f aca="false">IF(H377="","",IF(H377&lt;=1,"Tramo 1",IF(H377&lt;=3,"Tramo 2",IF(H377&lt;=5,"Tramo 3","Tramo 4"))))</f>
        <v>Tramo 2</v>
      </c>
      <c r="J377" s="22" t="s">
        <v>140</v>
      </c>
      <c r="K377" s="22"/>
      <c r="L377" s="22" t="s">
        <v>1765</v>
      </c>
      <c r="M377" s="26" t="s">
        <v>1766</v>
      </c>
      <c r="N377" s="22"/>
      <c r="O377" s="22" t="s">
        <v>63</v>
      </c>
      <c r="P377" s="25" t="str">
        <f aca="false">IF(OR(O377="",O377="Sin información"),"",IFERROR(INDEX(Listas!$B$2:$B$9,MATCH(O377,Listas!$A$2:$A$9,0)),""))</f>
        <v/>
      </c>
      <c r="Q377" s="25" t="str">
        <f aca="false">IF(OR(O377="",O377="Sin información"),"",IFERROR(INDEX(Listas!$C$2:$C$9,MATCH(O377,Listas!$A$2:$A$9,0)),""))</f>
        <v/>
      </c>
      <c r="R377" s="22"/>
      <c r="S377" s="22"/>
      <c r="T377" s="25" t="str">
        <f aca="false">IF(S377="","",IFERROR(INDEX(Empleadores!$B$2:$B$601,MATCH(S377,Empleadores!$A$2:$A$601,0)),"No encontrado"))</f>
        <v/>
      </c>
      <c r="U377" s="25" t="str">
        <f aca="false">IF(C377="","",IF(V377="","No",IF(Config!$C$4-V377&lt;=Config!$C$15,"Sí","No")))</f>
        <v>Sí</v>
      </c>
      <c r="V377" s="23" t="n">
        <v>45960</v>
      </c>
      <c r="W377" s="22"/>
      <c r="X377" s="22"/>
      <c r="Y377" s="22" t="s">
        <v>181</v>
      </c>
      <c r="Z377" s="27"/>
      <c r="AA377" s="22"/>
      <c r="AB377" s="22" t="s">
        <v>183</v>
      </c>
    </row>
    <row r="378" customFormat="false" ht="15" hidden="false" customHeight="false" outlineLevel="0" collapsed="false">
      <c r="A378" s="22" t="n">
        <v>377</v>
      </c>
      <c r="B378" s="22" t="s">
        <v>1767</v>
      </c>
      <c r="C378" s="22" t="s">
        <v>1768</v>
      </c>
      <c r="D378" s="22" t="s">
        <v>149</v>
      </c>
      <c r="E378" s="22" t="s">
        <v>139</v>
      </c>
      <c r="F378" s="22" t="s">
        <v>104</v>
      </c>
      <c r="G378" s="23" t="n">
        <v>45289</v>
      </c>
      <c r="H378" s="24" t="n">
        <f aca="false">IF(G378="","",ROUND((Config!$C$4-G378)/365.25,2))</f>
        <v>2.76</v>
      </c>
      <c r="I378" s="25" t="str">
        <f aca="false">IF(H378="","",IF(H378&lt;=1,"Tramo 1",IF(H378&lt;=3,"Tramo 2",IF(H378&lt;=5,"Tramo 3","Tramo 4"))))</f>
        <v>Tramo 2</v>
      </c>
      <c r="J378" s="22" t="s">
        <v>140</v>
      </c>
      <c r="K378" s="22"/>
      <c r="L378" s="22" t="s">
        <v>1769</v>
      </c>
      <c r="M378" s="26" t="s">
        <v>1770</v>
      </c>
      <c r="N378" s="22"/>
      <c r="O378" s="22" t="s">
        <v>63</v>
      </c>
      <c r="P378" s="25" t="str">
        <f aca="false">IF(OR(O378="",O378="Sin información"),"",IFERROR(INDEX(Listas!$B$2:$B$9,MATCH(O378,Listas!$A$2:$A$9,0)),""))</f>
        <v/>
      </c>
      <c r="Q378" s="25" t="str">
        <f aca="false">IF(OR(O378="",O378="Sin información"),"",IFERROR(INDEX(Listas!$C$2:$C$9,MATCH(O378,Listas!$A$2:$A$9,0)),""))</f>
        <v/>
      </c>
      <c r="R378" s="22"/>
      <c r="S378" s="22"/>
      <c r="T378" s="25" t="str">
        <f aca="false">IF(S378="","",IFERROR(INDEX(Empleadores!$B$2:$B$601,MATCH(S378,Empleadores!$A$2:$A$601,0)),"No encontrado"))</f>
        <v/>
      </c>
      <c r="U378" s="25" t="str">
        <f aca="false">IF(C378="","",IF(V378="","No",IF(Config!$C$4-V378&lt;=Config!$C$15,"Sí","No")))</f>
        <v>No</v>
      </c>
      <c r="V378" s="23"/>
      <c r="W378" s="22"/>
      <c r="X378" s="22"/>
      <c r="Y378" s="22"/>
      <c r="Z378" s="27"/>
      <c r="AA378" s="22"/>
      <c r="AB378" s="22"/>
    </row>
    <row r="379" customFormat="false" ht="15" hidden="false" customHeight="false" outlineLevel="0" collapsed="false">
      <c r="A379" s="22" t="n">
        <v>378</v>
      </c>
      <c r="B379" s="22" t="s">
        <v>1771</v>
      </c>
      <c r="C379" s="22" t="s">
        <v>1772</v>
      </c>
      <c r="D379" s="22" t="s">
        <v>138</v>
      </c>
      <c r="E379" s="22" t="s">
        <v>139</v>
      </c>
      <c r="F379" s="22" t="s">
        <v>104</v>
      </c>
      <c r="G379" s="23" t="n">
        <v>45289</v>
      </c>
      <c r="H379" s="24" t="n">
        <f aca="false">IF(G379="","",ROUND((Config!$C$4-G379)/365.25,2))</f>
        <v>2.76</v>
      </c>
      <c r="I379" s="25" t="str">
        <f aca="false">IF(H379="","",IF(H379&lt;=1,"Tramo 1",IF(H379&lt;=3,"Tramo 2",IF(H379&lt;=5,"Tramo 3","Tramo 4"))))</f>
        <v>Tramo 2</v>
      </c>
      <c r="J379" s="22" t="s">
        <v>140</v>
      </c>
      <c r="K379" s="22"/>
      <c r="L379" s="22" t="s">
        <v>1773</v>
      </c>
      <c r="M379" s="26" t="s">
        <v>1774</v>
      </c>
      <c r="N379" s="22"/>
      <c r="O379" s="22" t="s">
        <v>63</v>
      </c>
      <c r="P379" s="25" t="str">
        <f aca="false">IF(OR(O379="",O379="Sin información"),"",IFERROR(INDEX(Listas!$B$2:$B$9,MATCH(O379,Listas!$A$2:$A$9,0)),""))</f>
        <v/>
      </c>
      <c r="Q379" s="25" t="str">
        <f aca="false">IF(OR(O379="",O379="Sin información"),"",IFERROR(INDEX(Listas!$C$2:$C$9,MATCH(O379,Listas!$A$2:$A$9,0)),""))</f>
        <v/>
      </c>
      <c r="R379" s="22"/>
      <c r="S379" s="22"/>
      <c r="T379" s="25" t="str">
        <f aca="false">IF(S379="","",IFERROR(INDEX(Empleadores!$B$2:$B$601,MATCH(S379,Empleadores!$A$2:$A$601,0)),"No encontrado"))</f>
        <v/>
      </c>
      <c r="U379" s="25" t="str">
        <f aca="false">IF(C379="","",IF(V379="","No",IF(Config!$C$4-V379&lt;=Config!$C$15,"Sí","No")))</f>
        <v>No</v>
      </c>
      <c r="V379" s="23"/>
      <c r="W379" s="22"/>
      <c r="X379" s="22"/>
      <c r="Y379" s="22"/>
      <c r="Z379" s="27"/>
      <c r="AA379" s="22"/>
      <c r="AB379" s="22"/>
    </row>
    <row r="380" customFormat="false" ht="15" hidden="false" customHeight="false" outlineLevel="0" collapsed="false">
      <c r="A380" s="22" t="n">
        <v>379</v>
      </c>
      <c r="B380" s="22" t="s">
        <v>1775</v>
      </c>
      <c r="C380" s="22" t="s">
        <v>1776</v>
      </c>
      <c r="D380" s="22" t="s">
        <v>149</v>
      </c>
      <c r="E380" s="22" t="s">
        <v>139</v>
      </c>
      <c r="F380" s="22" t="s">
        <v>104</v>
      </c>
      <c r="G380" s="23" t="n">
        <v>45289</v>
      </c>
      <c r="H380" s="24" t="n">
        <f aca="false">IF(G380="","",ROUND((Config!$C$4-G380)/365.25,2))</f>
        <v>2.76</v>
      </c>
      <c r="I380" s="25" t="str">
        <f aca="false">IF(H380="","",IF(H380&lt;=1,"Tramo 1",IF(H380&lt;=3,"Tramo 2",IF(H380&lt;=5,"Tramo 3","Tramo 4"))))</f>
        <v>Tramo 2</v>
      </c>
      <c r="J380" s="22" t="s">
        <v>140</v>
      </c>
      <c r="K380" s="22"/>
      <c r="L380" s="22" t="s">
        <v>1777</v>
      </c>
      <c r="M380" s="26" t="s">
        <v>1778</v>
      </c>
      <c r="N380" s="22"/>
      <c r="O380" s="22" t="s">
        <v>63</v>
      </c>
      <c r="P380" s="25" t="str">
        <f aca="false">IF(OR(O380="",O380="Sin información"),"",IFERROR(INDEX(Listas!$B$2:$B$9,MATCH(O380,Listas!$A$2:$A$9,0)),""))</f>
        <v/>
      </c>
      <c r="Q380" s="25" t="str">
        <f aca="false">IF(OR(O380="",O380="Sin información"),"",IFERROR(INDEX(Listas!$C$2:$C$9,MATCH(O380,Listas!$A$2:$A$9,0)),""))</f>
        <v/>
      </c>
      <c r="R380" s="22"/>
      <c r="S380" s="22"/>
      <c r="T380" s="25" t="str">
        <f aca="false">IF(S380="","",IFERROR(INDEX(Empleadores!$B$2:$B$601,MATCH(S380,Empleadores!$A$2:$A$601,0)),"No encontrado"))</f>
        <v/>
      </c>
      <c r="U380" s="25" t="str">
        <f aca="false">IF(C380="","",IF(V380="","No",IF(Config!$C$4-V380&lt;=Config!$C$15,"Sí","No")))</f>
        <v>Sí</v>
      </c>
      <c r="V380" s="23" t="n">
        <v>45968</v>
      </c>
      <c r="W380" s="22"/>
      <c r="X380" s="22"/>
      <c r="Y380" s="22" t="s">
        <v>181</v>
      </c>
      <c r="Z380" s="27" t="s">
        <v>1779</v>
      </c>
      <c r="AA380" s="22" t="s">
        <v>1780</v>
      </c>
      <c r="AB380" s="22" t="s">
        <v>183</v>
      </c>
    </row>
    <row r="381" customFormat="false" ht="15" hidden="false" customHeight="false" outlineLevel="0" collapsed="false">
      <c r="A381" s="22" t="n">
        <v>380</v>
      </c>
      <c r="B381" s="22" t="s">
        <v>1781</v>
      </c>
      <c r="C381" s="22" t="s">
        <v>1782</v>
      </c>
      <c r="D381" s="22" t="s">
        <v>138</v>
      </c>
      <c r="E381" s="22" t="s">
        <v>139</v>
      </c>
      <c r="F381" s="22" t="s">
        <v>104</v>
      </c>
      <c r="G381" s="23" t="n">
        <v>45289</v>
      </c>
      <c r="H381" s="24" t="n">
        <f aca="false">IF(G381="","",ROUND((Config!$C$4-G381)/365.25,2))</f>
        <v>2.76</v>
      </c>
      <c r="I381" s="25" t="str">
        <f aca="false">IF(H381="","",IF(H381&lt;=1,"Tramo 1",IF(H381&lt;=3,"Tramo 2",IF(H381&lt;=5,"Tramo 3","Tramo 4"))))</f>
        <v>Tramo 2</v>
      </c>
      <c r="J381" s="22" t="s">
        <v>140</v>
      </c>
      <c r="K381" s="22"/>
      <c r="L381" s="22" t="s">
        <v>1783</v>
      </c>
      <c r="M381" s="26" t="s">
        <v>1784</v>
      </c>
      <c r="N381" s="22"/>
      <c r="O381" s="22" t="s">
        <v>63</v>
      </c>
      <c r="P381" s="25" t="str">
        <f aca="false">IF(OR(O381="",O381="Sin información"),"",IFERROR(INDEX(Listas!$B$2:$B$9,MATCH(O381,Listas!$A$2:$A$9,0)),""))</f>
        <v/>
      </c>
      <c r="Q381" s="25" t="str">
        <f aca="false">IF(OR(O381="",O381="Sin información"),"",IFERROR(INDEX(Listas!$C$2:$C$9,MATCH(O381,Listas!$A$2:$A$9,0)),""))</f>
        <v/>
      </c>
      <c r="R381" s="22"/>
      <c r="S381" s="22"/>
      <c r="T381" s="25" t="str">
        <f aca="false">IF(S381="","",IFERROR(INDEX(Empleadores!$B$2:$B$601,MATCH(S381,Empleadores!$A$2:$A$601,0)),"No encontrado"))</f>
        <v/>
      </c>
      <c r="U381" s="25" t="str">
        <f aca="false">IF(C381="","",IF(V381="","No",IF(Config!$C$4-V381&lt;=Config!$C$15,"Sí","No")))</f>
        <v>No</v>
      </c>
      <c r="V381" s="23"/>
      <c r="W381" s="22"/>
      <c r="X381" s="22"/>
      <c r="Y381" s="22"/>
      <c r="Z381" s="27"/>
      <c r="AA381" s="22"/>
      <c r="AB381" s="22"/>
    </row>
    <row r="382" customFormat="false" ht="15" hidden="false" customHeight="false" outlineLevel="0" collapsed="false">
      <c r="A382" s="22" t="n">
        <v>381</v>
      </c>
      <c r="B382" s="22" t="s">
        <v>1785</v>
      </c>
      <c r="C382" s="22" t="s">
        <v>1786</v>
      </c>
      <c r="D382" s="22" t="s">
        <v>138</v>
      </c>
      <c r="E382" s="22" t="s">
        <v>139</v>
      </c>
      <c r="F382" s="22" t="s">
        <v>104</v>
      </c>
      <c r="G382" s="23" t="n">
        <v>45289</v>
      </c>
      <c r="H382" s="24" t="n">
        <f aca="false">IF(G382="","",ROUND((Config!$C$4-G382)/365.25,2))</f>
        <v>2.76</v>
      </c>
      <c r="I382" s="25" t="str">
        <f aca="false">IF(H382="","",IF(H382&lt;=1,"Tramo 1",IF(H382&lt;=3,"Tramo 2",IF(H382&lt;=5,"Tramo 3","Tramo 4"))))</f>
        <v>Tramo 2</v>
      </c>
      <c r="J382" s="22" t="s">
        <v>140</v>
      </c>
      <c r="K382" s="22"/>
      <c r="L382" s="22" t="s">
        <v>1787</v>
      </c>
      <c r="M382" s="26" t="s">
        <v>1788</v>
      </c>
      <c r="N382" s="22"/>
      <c r="O382" s="22" t="s">
        <v>63</v>
      </c>
      <c r="P382" s="25" t="str">
        <f aca="false">IF(OR(O382="",O382="Sin información"),"",IFERROR(INDEX(Listas!$B$2:$B$9,MATCH(O382,Listas!$A$2:$A$9,0)),""))</f>
        <v/>
      </c>
      <c r="Q382" s="25" t="str">
        <f aca="false">IF(OR(O382="",O382="Sin información"),"",IFERROR(INDEX(Listas!$C$2:$C$9,MATCH(O382,Listas!$A$2:$A$9,0)),""))</f>
        <v/>
      </c>
      <c r="R382" s="22"/>
      <c r="S382" s="22"/>
      <c r="T382" s="25" t="str">
        <f aca="false">IF(S382="","",IFERROR(INDEX(Empleadores!$B$2:$B$601,MATCH(S382,Empleadores!$A$2:$A$601,0)),"No encontrado"))</f>
        <v/>
      </c>
      <c r="U382" s="25" t="str">
        <f aca="false">IF(C382="","",IF(V382="","No",IF(Config!$C$4-V382&lt;=Config!$C$15,"Sí","No")))</f>
        <v>No</v>
      </c>
      <c r="V382" s="23"/>
      <c r="W382" s="22"/>
      <c r="X382" s="22"/>
      <c r="Y382" s="22"/>
      <c r="Z382" s="27"/>
      <c r="AA382" s="22"/>
      <c r="AB382" s="22"/>
    </row>
    <row r="383" customFormat="false" ht="15" hidden="false" customHeight="false" outlineLevel="0" collapsed="false">
      <c r="A383" s="22" t="n">
        <v>382</v>
      </c>
      <c r="B383" s="22" t="s">
        <v>1789</v>
      </c>
      <c r="C383" s="22" t="s">
        <v>1790</v>
      </c>
      <c r="D383" s="22" t="s">
        <v>138</v>
      </c>
      <c r="E383" s="22" t="s">
        <v>139</v>
      </c>
      <c r="F383" s="22" t="s">
        <v>104</v>
      </c>
      <c r="G383" s="23" t="n">
        <v>45289</v>
      </c>
      <c r="H383" s="24" t="n">
        <f aca="false">IF(G383="","",ROUND((Config!$C$4-G383)/365.25,2))</f>
        <v>2.76</v>
      </c>
      <c r="I383" s="25" t="str">
        <f aca="false">IF(H383="","",IF(H383&lt;=1,"Tramo 1",IF(H383&lt;=3,"Tramo 2",IF(H383&lt;=5,"Tramo 3","Tramo 4"))))</f>
        <v>Tramo 2</v>
      </c>
      <c r="J383" s="22" t="s">
        <v>140</v>
      </c>
      <c r="K383" s="22"/>
      <c r="L383" s="22" t="s">
        <v>1791</v>
      </c>
      <c r="M383" s="26" t="s">
        <v>1792</v>
      </c>
      <c r="N383" s="22"/>
      <c r="O383" s="22" t="s">
        <v>63</v>
      </c>
      <c r="P383" s="25" t="str">
        <f aca="false">IF(OR(O383="",O383="Sin información"),"",IFERROR(INDEX(Listas!$B$2:$B$9,MATCH(O383,Listas!$A$2:$A$9,0)),""))</f>
        <v/>
      </c>
      <c r="Q383" s="25" t="str">
        <f aca="false">IF(OR(O383="",O383="Sin información"),"",IFERROR(INDEX(Listas!$C$2:$C$9,MATCH(O383,Listas!$A$2:$A$9,0)),""))</f>
        <v/>
      </c>
      <c r="R383" s="22"/>
      <c r="S383" s="22"/>
      <c r="T383" s="25" t="str">
        <f aca="false">IF(S383="","",IFERROR(INDEX(Empleadores!$B$2:$B$601,MATCH(S383,Empleadores!$A$2:$A$601,0)),"No encontrado"))</f>
        <v/>
      </c>
      <c r="U383" s="25" t="str">
        <f aca="false">IF(C383="","",IF(V383="","No",IF(Config!$C$4-V383&lt;=Config!$C$15,"Sí","No")))</f>
        <v>No</v>
      </c>
      <c r="V383" s="23"/>
      <c r="W383" s="22"/>
      <c r="X383" s="22"/>
      <c r="Y383" s="22"/>
      <c r="Z383" s="27"/>
      <c r="AA383" s="22"/>
      <c r="AB383" s="22"/>
    </row>
    <row r="384" customFormat="false" ht="15" hidden="false" customHeight="false" outlineLevel="0" collapsed="false">
      <c r="A384" s="22" t="n">
        <v>383</v>
      </c>
      <c r="B384" s="22" t="s">
        <v>1793</v>
      </c>
      <c r="C384" s="22" t="s">
        <v>1794</v>
      </c>
      <c r="D384" s="22" t="s">
        <v>138</v>
      </c>
      <c r="E384" s="22" t="s">
        <v>139</v>
      </c>
      <c r="F384" s="22" t="s">
        <v>104</v>
      </c>
      <c r="G384" s="23" t="n">
        <v>45289</v>
      </c>
      <c r="H384" s="24" t="n">
        <f aca="false">IF(G384="","",ROUND((Config!$C$4-G384)/365.25,2))</f>
        <v>2.76</v>
      </c>
      <c r="I384" s="25" t="str">
        <f aca="false">IF(H384="","",IF(H384&lt;=1,"Tramo 1",IF(H384&lt;=3,"Tramo 2",IF(H384&lt;=5,"Tramo 3","Tramo 4"))))</f>
        <v>Tramo 2</v>
      </c>
      <c r="J384" s="22" t="s">
        <v>140</v>
      </c>
      <c r="K384" s="22"/>
      <c r="L384" s="22" t="s">
        <v>1795</v>
      </c>
      <c r="M384" s="26" t="s">
        <v>1796</v>
      </c>
      <c r="N384" s="22"/>
      <c r="O384" s="22" t="s">
        <v>63</v>
      </c>
      <c r="P384" s="25" t="str">
        <f aca="false">IF(OR(O384="",O384="Sin información"),"",IFERROR(INDEX(Listas!$B$2:$B$9,MATCH(O384,Listas!$A$2:$A$9,0)),""))</f>
        <v/>
      </c>
      <c r="Q384" s="25" t="str">
        <f aca="false">IF(OR(O384="",O384="Sin información"),"",IFERROR(INDEX(Listas!$C$2:$C$9,MATCH(O384,Listas!$A$2:$A$9,0)),""))</f>
        <v/>
      </c>
      <c r="R384" s="22"/>
      <c r="S384" s="22"/>
      <c r="T384" s="25" t="str">
        <f aca="false">IF(S384="","",IFERROR(INDEX(Empleadores!$B$2:$B$601,MATCH(S384,Empleadores!$A$2:$A$601,0)),"No encontrado"))</f>
        <v/>
      </c>
      <c r="U384" s="25" t="str">
        <f aca="false">IF(C384="","",IF(V384="","No",IF(Config!$C$4-V384&lt;=Config!$C$15,"Sí","No")))</f>
        <v>No</v>
      </c>
      <c r="V384" s="23"/>
      <c r="W384" s="22"/>
      <c r="X384" s="22"/>
      <c r="Y384" s="22"/>
      <c r="Z384" s="27"/>
      <c r="AA384" s="22"/>
      <c r="AB384" s="22"/>
    </row>
    <row r="385" customFormat="false" ht="15" hidden="false" customHeight="false" outlineLevel="0" collapsed="false">
      <c r="A385" s="22" t="n">
        <v>384</v>
      </c>
      <c r="B385" s="22" t="s">
        <v>1797</v>
      </c>
      <c r="C385" s="22" t="s">
        <v>1798</v>
      </c>
      <c r="D385" s="22" t="s">
        <v>138</v>
      </c>
      <c r="E385" s="22" t="s">
        <v>139</v>
      </c>
      <c r="F385" s="22" t="s">
        <v>104</v>
      </c>
      <c r="G385" s="23" t="n">
        <v>45289</v>
      </c>
      <c r="H385" s="24" t="n">
        <f aca="false">IF(G385="","",ROUND((Config!$C$4-G385)/365.25,2))</f>
        <v>2.76</v>
      </c>
      <c r="I385" s="25" t="str">
        <f aca="false">IF(H385="","",IF(H385&lt;=1,"Tramo 1",IF(H385&lt;=3,"Tramo 2",IF(H385&lt;=5,"Tramo 3","Tramo 4"))))</f>
        <v>Tramo 2</v>
      </c>
      <c r="J385" s="22" t="s">
        <v>140</v>
      </c>
      <c r="K385" s="22"/>
      <c r="L385" s="22" t="s">
        <v>1799</v>
      </c>
      <c r="M385" s="26" t="s">
        <v>1800</v>
      </c>
      <c r="N385" s="22"/>
      <c r="O385" s="22" t="s">
        <v>63</v>
      </c>
      <c r="P385" s="25" t="str">
        <f aca="false">IF(OR(O385="",O385="Sin información"),"",IFERROR(INDEX(Listas!$B$2:$B$9,MATCH(O385,Listas!$A$2:$A$9,0)),""))</f>
        <v/>
      </c>
      <c r="Q385" s="25" t="str">
        <f aca="false">IF(OR(O385="",O385="Sin información"),"",IFERROR(INDEX(Listas!$C$2:$C$9,MATCH(O385,Listas!$A$2:$A$9,0)),""))</f>
        <v/>
      </c>
      <c r="R385" s="22"/>
      <c r="S385" s="22"/>
      <c r="T385" s="25" t="str">
        <f aca="false">IF(S385="","",IFERROR(INDEX(Empleadores!$B$2:$B$601,MATCH(S385,Empleadores!$A$2:$A$601,0)),"No encontrado"))</f>
        <v/>
      </c>
      <c r="U385" s="25" t="str">
        <f aca="false">IF(C385="","",IF(V385="","No",IF(Config!$C$4-V385&lt;=Config!$C$15,"Sí","No")))</f>
        <v>No</v>
      </c>
      <c r="V385" s="23"/>
      <c r="W385" s="22"/>
      <c r="X385" s="22"/>
      <c r="Y385" s="22"/>
      <c r="Z385" s="27"/>
      <c r="AA385" s="22"/>
      <c r="AB385" s="22"/>
    </row>
    <row r="386" customFormat="false" ht="15" hidden="false" customHeight="false" outlineLevel="0" collapsed="false">
      <c r="A386" s="22" t="n">
        <v>385</v>
      </c>
      <c r="B386" s="22" t="s">
        <v>1801</v>
      </c>
      <c r="C386" s="22" t="s">
        <v>1802</v>
      </c>
      <c r="D386" s="22" t="s">
        <v>149</v>
      </c>
      <c r="E386" s="22" t="s">
        <v>139</v>
      </c>
      <c r="F386" s="22" t="s">
        <v>104</v>
      </c>
      <c r="G386" s="23" t="n">
        <v>45289</v>
      </c>
      <c r="H386" s="24" t="n">
        <f aca="false">IF(G386="","",ROUND((Config!$C$4-G386)/365.25,2))</f>
        <v>2.76</v>
      </c>
      <c r="I386" s="25" t="str">
        <f aca="false">IF(H386="","",IF(H386&lt;=1,"Tramo 1",IF(H386&lt;=3,"Tramo 2",IF(H386&lt;=5,"Tramo 3","Tramo 4"))))</f>
        <v>Tramo 2</v>
      </c>
      <c r="J386" s="22" t="s">
        <v>140</v>
      </c>
      <c r="K386" s="22"/>
      <c r="L386" s="22" t="s">
        <v>1803</v>
      </c>
      <c r="M386" s="26" t="s">
        <v>1804</v>
      </c>
      <c r="N386" s="22"/>
      <c r="O386" s="22" t="s">
        <v>63</v>
      </c>
      <c r="P386" s="25" t="str">
        <f aca="false">IF(OR(O386="",O386="Sin información"),"",IFERROR(INDEX(Listas!$B$2:$B$9,MATCH(O386,Listas!$A$2:$A$9,0)),""))</f>
        <v/>
      </c>
      <c r="Q386" s="25" t="str">
        <f aca="false">IF(OR(O386="",O386="Sin información"),"",IFERROR(INDEX(Listas!$C$2:$C$9,MATCH(O386,Listas!$A$2:$A$9,0)),""))</f>
        <v/>
      </c>
      <c r="R386" s="22"/>
      <c r="S386" s="22"/>
      <c r="T386" s="25" t="str">
        <f aca="false">IF(S386="","",IFERROR(INDEX(Empleadores!$B$2:$B$601,MATCH(S386,Empleadores!$A$2:$A$601,0)),"No encontrado"))</f>
        <v/>
      </c>
      <c r="U386" s="25" t="str">
        <f aca="false">IF(C386="","",IF(V386="","No",IF(Config!$C$4-V386&lt;=Config!$C$15,"Sí","No")))</f>
        <v>No</v>
      </c>
      <c r="V386" s="23"/>
      <c r="W386" s="22"/>
      <c r="X386" s="22"/>
      <c r="Y386" s="22"/>
      <c r="Z386" s="27"/>
      <c r="AA386" s="22"/>
      <c r="AB386" s="22"/>
    </row>
    <row r="387" customFormat="false" ht="15" hidden="false" customHeight="false" outlineLevel="0" collapsed="false">
      <c r="A387" s="22" t="n">
        <v>386</v>
      </c>
      <c r="B387" s="22" t="s">
        <v>1805</v>
      </c>
      <c r="C387" s="22" t="s">
        <v>1806</v>
      </c>
      <c r="D387" s="22" t="s">
        <v>149</v>
      </c>
      <c r="E387" s="22" t="s">
        <v>139</v>
      </c>
      <c r="F387" s="22" t="s">
        <v>104</v>
      </c>
      <c r="G387" s="23" t="n">
        <v>45289</v>
      </c>
      <c r="H387" s="24" t="n">
        <f aca="false">IF(G387="","",ROUND((Config!$C$4-G387)/365.25,2))</f>
        <v>2.76</v>
      </c>
      <c r="I387" s="25" t="str">
        <f aca="false">IF(H387="","",IF(H387&lt;=1,"Tramo 1",IF(H387&lt;=3,"Tramo 2",IF(H387&lt;=5,"Tramo 3","Tramo 4"))))</f>
        <v>Tramo 2</v>
      </c>
      <c r="J387" s="22" t="s">
        <v>140</v>
      </c>
      <c r="K387" s="22"/>
      <c r="L387" s="22" t="s">
        <v>1807</v>
      </c>
      <c r="M387" s="26" t="s">
        <v>1808</v>
      </c>
      <c r="N387" s="22"/>
      <c r="O387" s="22" t="s">
        <v>63</v>
      </c>
      <c r="P387" s="25" t="str">
        <f aca="false">IF(OR(O387="",O387="Sin información"),"",IFERROR(INDEX(Listas!$B$2:$B$9,MATCH(O387,Listas!$A$2:$A$9,0)),""))</f>
        <v/>
      </c>
      <c r="Q387" s="25" t="str">
        <f aca="false">IF(OR(O387="",O387="Sin información"),"",IFERROR(INDEX(Listas!$C$2:$C$9,MATCH(O387,Listas!$A$2:$A$9,0)),""))</f>
        <v/>
      </c>
      <c r="R387" s="22"/>
      <c r="S387" s="22"/>
      <c r="T387" s="25" t="str">
        <f aca="false">IF(S387="","",IFERROR(INDEX(Empleadores!$B$2:$B$601,MATCH(S387,Empleadores!$A$2:$A$601,0)),"No encontrado"))</f>
        <v/>
      </c>
      <c r="U387" s="25" t="str">
        <f aca="false">IF(C387="","",IF(V387="","No",IF(Config!$C$4-V387&lt;=Config!$C$15,"Sí","No")))</f>
        <v>No</v>
      </c>
      <c r="V387" s="23"/>
      <c r="W387" s="22"/>
      <c r="X387" s="22"/>
      <c r="Y387" s="22"/>
      <c r="Z387" s="27"/>
      <c r="AA387" s="22"/>
      <c r="AB387" s="22"/>
    </row>
    <row r="388" customFormat="false" ht="15" hidden="false" customHeight="false" outlineLevel="0" collapsed="false">
      <c r="A388" s="22" t="n">
        <v>387</v>
      </c>
      <c r="B388" s="22" t="s">
        <v>1809</v>
      </c>
      <c r="C388" s="22" t="s">
        <v>1810</v>
      </c>
      <c r="D388" s="22" t="s">
        <v>149</v>
      </c>
      <c r="E388" s="22" t="s">
        <v>139</v>
      </c>
      <c r="F388" s="22" t="s">
        <v>104</v>
      </c>
      <c r="G388" s="23" t="n">
        <v>45289</v>
      </c>
      <c r="H388" s="24" t="n">
        <f aca="false">IF(G388="","",ROUND((Config!$C$4-G388)/365.25,2))</f>
        <v>2.76</v>
      </c>
      <c r="I388" s="25" t="str">
        <f aca="false">IF(H388="","",IF(H388&lt;=1,"Tramo 1",IF(H388&lt;=3,"Tramo 2",IF(H388&lt;=5,"Tramo 3","Tramo 4"))))</f>
        <v>Tramo 2</v>
      </c>
      <c r="J388" s="22" t="s">
        <v>140</v>
      </c>
      <c r="K388" s="22"/>
      <c r="L388" s="22" t="s">
        <v>1811</v>
      </c>
      <c r="M388" s="26" t="s">
        <v>1812</v>
      </c>
      <c r="N388" s="22"/>
      <c r="O388" s="22" t="s">
        <v>63</v>
      </c>
      <c r="P388" s="25" t="str">
        <f aca="false">IF(OR(O388="",O388="Sin información"),"",IFERROR(INDEX(Listas!$B$2:$B$9,MATCH(O388,Listas!$A$2:$A$9,0)),""))</f>
        <v/>
      </c>
      <c r="Q388" s="25" t="str">
        <f aca="false">IF(OR(O388="",O388="Sin información"),"",IFERROR(INDEX(Listas!$C$2:$C$9,MATCH(O388,Listas!$A$2:$A$9,0)),""))</f>
        <v/>
      </c>
      <c r="R388" s="22"/>
      <c r="S388" s="22"/>
      <c r="T388" s="25" t="str">
        <f aca="false">IF(S388="","",IFERROR(INDEX(Empleadores!$B$2:$B$601,MATCH(S388,Empleadores!$A$2:$A$601,0)),"No encontrado"))</f>
        <v/>
      </c>
      <c r="U388" s="25" t="str">
        <f aca="false">IF(C388="","",IF(V388="","No",IF(Config!$C$4-V388&lt;=Config!$C$15,"Sí","No")))</f>
        <v>No</v>
      </c>
      <c r="V388" s="23"/>
      <c r="W388" s="22"/>
      <c r="X388" s="22"/>
      <c r="Y388" s="22"/>
      <c r="Z388" s="27"/>
      <c r="AA388" s="22"/>
      <c r="AB388" s="22"/>
    </row>
    <row r="389" customFormat="false" ht="15" hidden="false" customHeight="false" outlineLevel="0" collapsed="false">
      <c r="A389" s="22" t="n">
        <v>388</v>
      </c>
      <c r="B389" s="22" t="s">
        <v>1813</v>
      </c>
      <c r="C389" s="22" t="s">
        <v>1814</v>
      </c>
      <c r="D389" s="22" t="s">
        <v>149</v>
      </c>
      <c r="E389" s="22" t="s">
        <v>139</v>
      </c>
      <c r="F389" s="22" t="s">
        <v>104</v>
      </c>
      <c r="G389" s="23" t="n">
        <v>45289</v>
      </c>
      <c r="H389" s="24" t="n">
        <f aca="false">IF(G389="","",ROUND((Config!$C$4-G389)/365.25,2))</f>
        <v>2.76</v>
      </c>
      <c r="I389" s="25" t="str">
        <f aca="false">IF(H389="","",IF(H389&lt;=1,"Tramo 1",IF(H389&lt;=3,"Tramo 2",IF(H389&lt;=5,"Tramo 3","Tramo 4"))))</f>
        <v>Tramo 2</v>
      </c>
      <c r="J389" s="22" t="s">
        <v>140</v>
      </c>
      <c r="K389" s="22"/>
      <c r="L389" s="22" t="s">
        <v>1815</v>
      </c>
      <c r="M389" s="26" t="s">
        <v>1816</v>
      </c>
      <c r="N389" s="22"/>
      <c r="O389" s="22" t="s">
        <v>63</v>
      </c>
      <c r="P389" s="25" t="str">
        <f aca="false">IF(OR(O389="",O389="Sin información"),"",IFERROR(INDEX(Listas!$B$2:$B$9,MATCH(O389,Listas!$A$2:$A$9,0)),""))</f>
        <v/>
      </c>
      <c r="Q389" s="25" t="str">
        <f aca="false">IF(OR(O389="",O389="Sin información"),"",IFERROR(INDEX(Listas!$C$2:$C$9,MATCH(O389,Listas!$A$2:$A$9,0)),""))</f>
        <v/>
      </c>
      <c r="R389" s="22"/>
      <c r="S389" s="22"/>
      <c r="T389" s="25" t="str">
        <f aca="false">IF(S389="","",IFERROR(INDEX(Empleadores!$B$2:$B$601,MATCH(S389,Empleadores!$A$2:$A$601,0)),"No encontrado"))</f>
        <v/>
      </c>
      <c r="U389" s="25" t="str">
        <f aca="false">IF(C389="","",IF(V389="","No",IF(Config!$C$4-V389&lt;=Config!$C$15,"Sí","No")))</f>
        <v>No</v>
      </c>
      <c r="V389" s="23"/>
      <c r="W389" s="22"/>
      <c r="X389" s="22"/>
      <c r="Y389" s="22"/>
      <c r="Z389" s="27"/>
      <c r="AA389" s="22"/>
      <c r="AB389" s="22"/>
    </row>
    <row r="390" customFormat="false" ht="15" hidden="false" customHeight="false" outlineLevel="0" collapsed="false">
      <c r="A390" s="22" t="n">
        <v>389</v>
      </c>
      <c r="B390" s="22" t="s">
        <v>1817</v>
      </c>
      <c r="C390" s="22" t="s">
        <v>1818</v>
      </c>
      <c r="D390" s="22" t="s">
        <v>138</v>
      </c>
      <c r="E390" s="22" t="s">
        <v>139</v>
      </c>
      <c r="F390" s="22" t="s">
        <v>104</v>
      </c>
      <c r="G390" s="23" t="n">
        <v>45289</v>
      </c>
      <c r="H390" s="24" t="n">
        <f aca="false">IF(G390="","",ROUND((Config!$C$4-G390)/365.25,2))</f>
        <v>2.76</v>
      </c>
      <c r="I390" s="25" t="str">
        <f aca="false">IF(H390="","",IF(H390&lt;=1,"Tramo 1",IF(H390&lt;=3,"Tramo 2",IF(H390&lt;=5,"Tramo 3","Tramo 4"))))</f>
        <v>Tramo 2</v>
      </c>
      <c r="J390" s="22" t="s">
        <v>140</v>
      </c>
      <c r="K390" s="22"/>
      <c r="L390" s="22" t="s">
        <v>1819</v>
      </c>
      <c r="M390" s="26" t="s">
        <v>1820</v>
      </c>
      <c r="N390" s="22"/>
      <c r="O390" s="22" t="s">
        <v>63</v>
      </c>
      <c r="P390" s="25" t="str">
        <f aca="false">IF(OR(O390="",O390="Sin información"),"",IFERROR(INDEX(Listas!$B$2:$B$9,MATCH(O390,Listas!$A$2:$A$9,0)),""))</f>
        <v/>
      </c>
      <c r="Q390" s="25" t="str">
        <f aca="false">IF(OR(O390="",O390="Sin información"),"",IFERROR(INDEX(Listas!$C$2:$C$9,MATCH(O390,Listas!$A$2:$A$9,0)),""))</f>
        <v/>
      </c>
      <c r="R390" s="22"/>
      <c r="S390" s="22"/>
      <c r="T390" s="25" t="str">
        <f aca="false">IF(S390="","",IFERROR(INDEX(Empleadores!$B$2:$B$601,MATCH(S390,Empleadores!$A$2:$A$601,0)),"No encontrado"))</f>
        <v/>
      </c>
      <c r="U390" s="25" t="str">
        <f aca="false">IF(C390="","",IF(V390="","No",IF(Config!$C$4-V390&lt;=Config!$C$15,"Sí","No")))</f>
        <v>No</v>
      </c>
      <c r="V390" s="23"/>
      <c r="W390" s="22"/>
      <c r="X390" s="22"/>
      <c r="Y390" s="22"/>
      <c r="Z390" s="27"/>
      <c r="AA390" s="22"/>
      <c r="AB390" s="22"/>
    </row>
    <row r="391" customFormat="false" ht="15" hidden="false" customHeight="false" outlineLevel="0" collapsed="false">
      <c r="A391" s="22" t="n">
        <v>390</v>
      </c>
      <c r="B391" s="22" t="s">
        <v>1821</v>
      </c>
      <c r="C391" s="22" t="s">
        <v>1822</v>
      </c>
      <c r="D391" s="22" t="s">
        <v>138</v>
      </c>
      <c r="E391" s="22" t="s">
        <v>139</v>
      </c>
      <c r="F391" s="22" t="s">
        <v>104</v>
      </c>
      <c r="G391" s="23" t="n">
        <v>45289</v>
      </c>
      <c r="H391" s="24" t="n">
        <f aca="false">IF(G391="","",ROUND((Config!$C$4-G391)/365.25,2))</f>
        <v>2.76</v>
      </c>
      <c r="I391" s="25" t="str">
        <f aca="false">IF(H391="","",IF(H391&lt;=1,"Tramo 1",IF(H391&lt;=3,"Tramo 2",IF(H391&lt;=5,"Tramo 3","Tramo 4"))))</f>
        <v>Tramo 2</v>
      </c>
      <c r="J391" s="22" t="s">
        <v>166</v>
      </c>
      <c r="K391" s="22"/>
      <c r="L391" s="22" t="s">
        <v>1823</v>
      </c>
      <c r="M391" s="26" t="s">
        <v>1824</v>
      </c>
      <c r="N391" s="22"/>
      <c r="O391" s="22" t="s">
        <v>63</v>
      </c>
      <c r="P391" s="25" t="str">
        <f aca="false">IF(OR(O391="",O391="Sin información"),"",IFERROR(INDEX(Listas!$B$2:$B$9,MATCH(O391,Listas!$A$2:$A$9,0)),""))</f>
        <v/>
      </c>
      <c r="Q391" s="25" t="str">
        <f aca="false">IF(OR(O391="",O391="Sin información"),"",IFERROR(INDEX(Listas!$C$2:$C$9,MATCH(O391,Listas!$A$2:$A$9,0)),""))</f>
        <v/>
      </c>
      <c r="R391" s="22"/>
      <c r="S391" s="22"/>
      <c r="T391" s="25" t="str">
        <f aca="false">IF(S391="","",IFERROR(INDEX(Empleadores!$B$2:$B$601,MATCH(S391,Empleadores!$A$2:$A$601,0)),"No encontrado"))</f>
        <v/>
      </c>
      <c r="U391" s="25" t="str">
        <f aca="false">IF(C391="","",IF(V391="","No",IF(Config!$C$4-V391&lt;=Config!$C$15,"Sí","No")))</f>
        <v>No</v>
      </c>
      <c r="V391" s="23"/>
      <c r="W391" s="22"/>
      <c r="X391" s="22"/>
      <c r="Y391" s="22"/>
      <c r="Z391" s="27"/>
      <c r="AA391" s="22" t="s">
        <v>1825</v>
      </c>
      <c r="AB391" s="22" t="s">
        <v>1691</v>
      </c>
    </row>
    <row r="392" customFormat="false" ht="15" hidden="false" customHeight="false" outlineLevel="0" collapsed="false">
      <c r="A392" s="22" t="n">
        <v>391</v>
      </c>
      <c r="B392" s="22" t="s">
        <v>1826</v>
      </c>
      <c r="C392" s="22" t="s">
        <v>1827</v>
      </c>
      <c r="D392" s="22" t="s">
        <v>149</v>
      </c>
      <c r="E392" s="22" t="s">
        <v>139</v>
      </c>
      <c r="F392" s="22" t="s">
        <v>104</v>
      </c>
      <c r="G392" s="23" t="n">
        <v>45289</v>
      </c>
      <c r="H392" s="24" t="n">
        <f aca="false">IF(G392="","",ROUND((Config!$C$4-G392)/365.25,2))</f>
        <v>2.76</v>
      </c>
      <c r="I392" s="25" t="str">
        <f aca="false">IF(H392="","",IF(H392&lt;=1,"Tramo 1",IF(H392&lt;=3,"Tramo 2",IF(H392&lt;=5,"Tramo 3","Tramo 4"))))</f>
        <v>Tramo 2</v>
      </c>
      <c r="J392" s="22" t="s">
        <v>140</v>
      </c>
      <c r="K392" s="22"/>
      <c r="L392" s="22" t="s">
        <v>1828</v>
      </c>
      <c r="M392" s="26" t="s">
        <v>1829</v>
      </c>
      <c r="N392" s="22"/>
      <c r="O392" s="22" t="s">
        <v>63</v>
      </c>
      <c r="P392" s="25" t="str">
        <f aca="false">IF(OR(O392="",O392="Sin información"),"",IFERROR(INDEX(Listas!$B$2:$B$9,MATCH(O392,Listas!$A$2:$A$9,0)),""))</f>
        <v/>
      </c>
      <c r="Q392" s="25" t="str">
        <f aca="false">IF(OR(O392="",O392="Sin información"),"",IFERROR(INDEX(Listas!$C$2:$C$9,MATCH(O392,Listas!$A$2:$A$9,0)),""))</f>
        <v/>
      </c>
      <c r="R392" s="22"/>
      <c r="S392" s="22"/>
      <c r="T392" s="25" t="str">
        <f aca="false">IF(S392="","",IFERROR(INDEX(Empleadores!$B$2:$B$601,MATCH(S392,Empleadores!$A$2:$A$601,0)),"No encontrado"))</f>
        <v/>
      </c>
      <c r="U392" s="25" t="str">
        <f aca="false">IF(C392="","",IF(V392="","No",IF(Config!$C$4-V392&lt;=Config!$C$15,"Sí","No")))</f>
        <v>No</v>
      </c>
      <c r="V392" s="23"/>
      <c r="W392" s="22"/>
      <c r="X392" s="22"/>
      <c r="Y392" s="22"/>
      <c r="Z392" s="27"/>
      <c r="AA392" s="22"/>
      <c r="AB392" s="22"/>
    </row>
    <row r="393" customFormat="false" ht="15" hidden="false" customHeight="false" outlineLevel="0" collapsed="false">
      <c r="A393" s="22" t="n">
        <v>392</v>
      </c>
      <c r="B393" s="22" t="s">
        <v>1830</v>
      </c>
      <c r="C393" s="22" t="s">
        <v>1831</v>
      </c>
      <c r="D393" s="22" t="s">
        <v>138</v>
      </c>
      <c r="E393" s="22" t="s">
        <v>139</v>
      </c>
      <c r="F393" s="22" t="s">
        <v>104</v>
      </c>
      <c r="G393" s="23" t="n">
        <v>45289</v>
      </c>
      <c r="H393" s="24" t="n">
        <f aca="false">IF(G393="","",ROUND((Config!$C$4-G393)/365.25,2))</f>
        <v>2.76</v>
      </c>
      <c r="I393" s="25" t="str">
        <f aca="false">IF(H393="","",IF(H393&lt;=1,"Tramo 1",IF(H393&lt;=3,"Tramo 2",IF(H393&lt;=5,"Tramo 3","Tramo 4"))))</f>
        <v>Tramo 2</v>
      </c>
      <c r="J393" s="22" t="s">
        <v>140</v>
      </c>
      <c r="K393" s="22"/>
      <c r="L393" s="22" t="s">
        <v>1832</v>
      </c>
      <c r="M393" s="26" t="s">
        <v>1833</v>
      </c>
      <c r="N393" s="22"/>
      <c r="O393" s="22" t="s">
        <v>63</v>
      </c>
      <c r="P393" s="25" t="str">
        <f aca="false">IF(OR(O393="",O393="Sin información"),"",IFERROR(INDEX(Listas!$B$2:$B$9,MATCH(O393,Listas!$A$2:$A$9,0)),""))</f>
        <v/>
      </c>
      <c r="Q393" s="25" t="str">
        <f aca="false">IF(OR(O393="",O393="Sin información"),"",IFERROR(INDEX(Listas!$C$2:$C$9,MATCH(O393,Listas!$A$2:$A$9,0)),""))</f>
        <v/>
      </c>
      <c r="R393" s="22"/>
      <c r="S393" s="22"/>
      <c r="T393" s="25" t="str">
        <f aca="false">IF(S393="","",IFERROR(INDEX(Empleadores!$B$2:$B$601,MATCH(S393,Empleadores!$A$2:$A$601,0)),"No encontrado"))</f>
        <v/>
      </c>
      <c r="U393" s="25" t="str">
        <f aca="false">IF(C393="","",IF(V393="","No",IF(Config!$C$4-V393&lt;=Config!$C$15,"Sí","No")))</f>
        <v>No</v>
      </c>
      <c r="V393" s="23"/>
      <c r="W393" s="22"/>
      <c r="X393" s="22"/>
      <c r="Y393" s="22"/>
      <c r="Z393" s="27"/>
      <c r="AA393" s="22"/>
      <c r="AB393" s="22"/>
    </row>
    <row r="394" customFormat="false" ht="15" hidden="false" customHeight="false" outlineLevel="0" collapsed="false">
      <c r="A394" s="22" t="n">
        <v>393</v>
      </c>
      <c r="B394" s="22" t="s">
        <v>1834</v>
      </c>
      <c r="C394" s="22" t="s">
        <v>1835</v>
      </c>
      <c r="D394" s="22" t="s">
        <v>149</v>
      </c>
      <c r="E394" s="22" t="s">
        <v>139</v>
      </c>
      <c r="F394" s="22" t="s">
        <v>104</v>
      </c>
      <c r="G394" s="23" t="n">
        <v>45289</v>
      </c>
      <c r="H394" s="24" t="n">
        <f aca="false">IF(G394="","",ROUND((Config!$C$4-G394)/365.25,2))</f>
        <v>2.76</v>
      </c>
      <c r="I394" s="25" t="str">
        <f aca="false">IF(H394="","",IF(H394&lt;=1,"Tramo 1",IF(H394&lt;=3,"Tramo 2",IF(H394&lt;=5,"Tramo 3","Tramo 4"))))</f>
        <v>Tramo 2</v>
      </c>
      <c r="J394" s="22" t="s">
        <v>140</v>
      </c>
      <c r="K394" s="22"/>
      <c r="L394" s="22" t="s">
        <v>1836</v>
      </c>
      <c r="M394" s="26" t="s">
        <v>1837</v>
      </c>
      <c r="N394" s="22"/>
      <c r="O394" s="22" t="s">
        <v>63</v>
      </c>
      <c r="P394" s="25" t="str">
        <f aca="false">IF(OR(O394="",O394="Sin información"),"",IFERROR(INDEX(Listas!$B$2:$B$9,MATCH(O394,Listas!$A$2:$A$9,0)),""))</f>
        <v/>
      </c>
      <c r="Q394" s="25" t="str">
        <f aca="false">IF(OR(O394="",O394="Sin información"),"",IFERROR(INDEX(Listas!$C$2:$C$9,MATCH(O394,Listas!$A$2:$A$9,0)),""))</f>
        <v/>
      </c>
      <c r="R394" s="22"/>
      <c r="S394" s="22"/>
      <c r="T394" s="25" t="str">
        <f aca="false">IF(S394="","",IFERROR(INDEX(Empleadores!$B$2:$B$601,MATCH(S394,Empleadores!$A$2:$A$601,0)),"No encontrado"))</f>
        <v/>
      </c>
      <c r="U394" s="25" t="str">
        <f aca="false">IF(C394="","",IF(V394="","No",IF(Config!$C$4-V394&lt;=Config!$C$15,"Sí","No")))</f>
        <v>No</v>
      </c>
      <c r="V394" s="23"/>
      <c r="W394" s="22"/>
      <c r="X394" s="22"/>
      <c r="Y394" s="22"/>
      <c r="Z394" s="27"/>
      <c r="AA394" s="22"/>
      <c r="AB394" s="22"/>
    </row>
    <row r="395" customFormat="false" ht="15" hidden="false" customHeight="false" outlineLevel="0" collapsed="false">
      <c r="A395" s="22" t="n">
        <v>394</v>
      </c>
      <c r="B395" s="22" t="s">
        <v>1838</v>
      </c>
      <c r="C395" s="22" t="s">
        <v>1839</v>
      </c>
      <c r="D395" s="22" t="s">
        <v>138</v>
      </c>
      <c r="E395" s="22" t="s">
        <v>139</v>
      </c>
      <c r="F395" s="22" t="s">
        <v>104</v>
      </c>
      <c r="G395" s="23" t="n">
        <v>45289</v>
      </c>
      <c r="H395" s="24" t="n">
        <f aca="false">IF(G395="","",ROUND((Config!$C$4-G395)/365.25,2))</f>
        <v>2.76</v>
      </c>
      <c r="I395" s="25" t="str">
        <f aca="false">IF(H395="","",IF(H395&lt;=1,"Tramo 1",IF(H395&lt;=3,"Tramo 2",IF(H395&lt;=5,"Tramo 3","Tramo 4"))))</f>
        <v>Tramo 2</v>
      </c>
      <c r="J395" s="22" t="s">
        <v>140</v>
      </c>
      <c r="K395" s="22"/>
      <c r="L395" s="22" t="s">
        <v>1840</v>
      </c>
      <c r="M395" s="26" t="s">
        <v>1841</v>
      </c>
      <c r="N395" s="22"/>
      <c r="O395" s="22" t="s">
        <v>63</v>
      </c>
      <c r="P395" s="25" t="str">
        <f aca="false">IF(OR(O395="",O395="Sin información"),"",IFERROR(INDEX(Listas!$B$2:$B$9,MATCH(O395,Listas!$A$2:$A$9,0)),""))</f>
        <v/>
      </c>
      <c r="Q395" s="25" t="str">
        <f aca="false">IF(OR(O395="",O395="Sin información"),"",IFERROR(INDEX(Listas!$C$2:$C$9,MATCH(O395,Listas!$A$2:$A$9,0)),""))</f>
        <v/>
      </c>
      <c r="R395" s="22"/>
      <c r="S395" s="22"/>
      <c r="T395" s="25" t="str">
        <f aca="false">IF(S395="","",IFERROR(INDEX(Empleadores!$B$2:$B$601,MATCH(S395,Empleadores!$A$2:$A$601,0)),"No encontrado"))</f>
        <v/>
      </c>
      <c r="U395" s="25" t="str">
        <f aca="false">IF(C395="","",IF(V395="","No",IF(Config!$C$4-V395&lt;=Config!$C$15,"Sí","No")))</f>
        <v>No</v>
      </c>
      <c r="V395" s="23"/>
      <c r="W395" s="22"/>
      <c r="X395" s="22"/>
      <c r="Y395" s="22"/>
      <c r="Z395" s="27"/>
      <c r="AA395" s="22"/>
      <c r="AB395" s="22"/>
    </row>
    <row r="396" customFormat="false" ht="15" hidden="false" customHeight="false" outlineLevel="0" collapsed="false">
      <c r="A396" s="22" t="n">
        <v>395</v>
      </c>
      <c r="B396" s="22" t="s">
        <v>1842</v>
      </c>
      <c r="C396" s="22" t="s">
        <v>1843</v>
      </c>
      <c r="D396" s="22" t="s">
        <v>138</v>
      </c>
      <c r="E396" s="22" t="s">
        <v>139</v>
      </c>
      <c r="F396" s="22" t="s">
        <v>104</v>
      </c>
      <c r="G396" s="23" t="n">
        <v>45289</v>
      </c>
      <c r="H396" s="24" t="n">
        <f aca="false">IF(G396="","",ROUND((Config!$C$4-G396)/365.25,2))</f>
        <v>2.76</v>
      </c>
      <c r="I396" s="25" t="str">
        <f aca="false">IF(H396="","",IF(H396&lt;=1,"Tramo 1",IF(H396&lt;=3,"Tramo 2",IF(H396&lt;=5,"Tramo 3","Tramo 4"))))</f>
        <v>Tramo 2</v>
      </c>
      <c r="J396" s="22" t="s">
        <v>140</v>
      </c>
      <c r="K396" s="22"/>
      <c r="L396" s="22" t="s">
        <v>1844</v>
      </c>
      <c r="M396" s="26" t="s">
        <v>1845</v>
      </c>
      <c r="N396" s="22"/>
      <c r="O396" s="22" t="s">
        <v>63</v>
      </c>
      <c r="P396" s="25" t="str">
        <f aca="false">IF(OR(O396="",O396="Sin información"),"",IFERROR(INDEX(Listas!$B$2:$B$9,MATCH(O396,Listas!$A$2:$A$9,0)),""))</f>
        <v/>
      </c>
      <c r="Q396" s="25" t="str">
        <f aca="false">IF(OR(O396="",O396="Sin información"),"",IFERROR(INDEX(Listas!$C$2:$C$9,MATCH(O396,Listas!$A$2:$A$9,0)),""))</f>
        <v/>
      </c>
      <c r="R396" s="22"/>
      <c r="S396" s="22"/>
      <c r="T396" s="25" t="str">
        <f aca="false">IF(S396="","",IFERROR(INDEX(Empleadores!$B$2:$B$601,MATCH(S396,Empleadores!$A$2:$A$601,0)),"No encontrado"))</f>
        <v/>
      </c>
      <c r="U396" s="25" t="str">
        <f aca="false">IF(C396="","",IF(V396="","No",IF(Config!$C$4-V396&lt;=Config!$C$15,"Sí","No")))</f>
        <v>No</v>
      </c>
      <c r="V396" s="23"/>
      <c r="W396" s="22"/>
      <c r="X396" s="22"/>
      <c r="Y396" s="22"/>
      <c r="Z396" s="27"/>
      <c r="AA396" s="22"/>
      <c r="AB396" s="22"/>
    </row>
    <row r="397" customFormat="false" ht="15" hidden="false" customHeight="false" outlineLevel="0" collapsed="false">
      <c r="A397" s="22" t="n">
        <v>396</v>
      </c>
      <c r="B397" s="22" t="s">
        <v>1846</v>
      </c>
      <c r="C397" s="22" t="s">
        <v>1847</v>
      </c>
      <c r="D397" s="22" t="s">
        <v>138</v>
      </c>
      <c r="E397" s="22" t="s">
        <v>139</v>
      </c>
      <c r="F397" s="22" t="s">
        <v>104</v>
      </c>
      <c r="G397" s="23" t="n">
        <v>45289</v>
      </c>
      <c r="H397" s="24" t="n">
        <f aca="false">IF(G397="","",ROUND((Config!$C$4-G397)/365.25,2))</f>
        <v>2.76</v>
      </c>
      <c r="I397" s="25" t="str">
        <f aca="false">IF(H397="","",IF(H397&lt;=1,"Tramo 1",IF(H397&lt;=3,"Tramo 2",IF(H397&lt;=5,"Tramo 3","Tramo 4"))))</f>
        <v>Tramo 2</v>
      </c>
      <c r="J397" s="22" t="s">
        <v>140</v>
      </c>
      <c r="K397" s="22"/>
      <c r="L397" s="22" t="s">
        <v>1848</v>
      </c>
      <c r="M397" s="26" t="s">
        <v>1849</v>
      </c>
      <c r="N397" s="22"/>
      <c r="O397" s="22" t="s">
        <v>63</v>
      </c>
      <c r="P397" s="25" t="str">
        <f aca="false">IF(OR(O397="",O397="Sin información"),"",IFERROR(INDEX(Listas!$B$2:$B$9,MATCH(O397,Listas!$A$2:$A$9,0)),""))</f>
        <v/>
      </c>
      <c r="Q397" s="25" t="str">
        <f aca="false">IF(OR(O397="",O397="Sin información"),"",IFERROR(INDEX(Listas!$C$2:$C$9,MATCH(O397,Listas!$A$2:$A$9,0)),""))</f>
        <v/>
      </c>
      <c r="R397" s="22"/>
      <c r="S397" s="22"/>
      <c r="T397" s="25" t="str">
        <f aca="false">IF(S397="","",IFERROR(INDEX(Empleadores!$B$2:$B$601,MATCH(S397,Empleadores!$A$2:$A$601,0)),"No encontrado"))</f>
        <v/>
      </c>
      <c r="U397" s="25" t="str">
        <f aca="false">IF(C397="","",IF(V397="","No",IF(Config!$C$4-V397&lt;=Config!$C$15,"Sí","No")))</f>
        <v>No</v>
      </c>
      <c r="V397" s="23"/>
      <c r="W397" s="22"/>
      <c r="X397" s="22"/>
      <c r="Y397" s="22"/>
      <c r="Z397" s="27"/>
      <c r="AA397" s="22"/>
      <c r="AB397" s="22"/>
    </row>
    <row r="398" customFormat="false" ht="15" hidden="false" customHeight="false" outlineLevel="0" collapsed="false">
      <c r="A398" s="22" t="n">
        <v>397</v>
      </c>
      <c r="B398" s="22" t="s">
        <v>1850</v>
      </c>
      <c r="C398" s="22" t="s">
        <v>1851</v>
      </c>
      <c r="D398" s="22" t="s">
        <v>138</v>
      </c>
      <c r="E398" s="22" t="s">
        <v>139</v>
      </c>
      <c r="F398" s="22" t="s">
        <v>104</v>
      </c>
      <c r="G398" s="23" t="n">
        <v>45289</v>
      </c>
      <c r="H398" s="24" t="n">
        <f aca="false">IF(G398="","",ROUND((Config!$C$4-G398)/365.25,2))</f>
        <v>2.76</v>
      </c>
      <c r="I398" s="25" t="str">
        <f aca="false">IF(H398="","",IF(H398&lt;=1,"Tramo 1",IF(H398&lt;=3,"Tramo 2",IF(H398&lt;=5,"Tramo 3","Tramo 4"))))</f>
        <v>Tramo 2</v>
      </c>
      <c r="J398" s="22" t="s">
        <v>140</v>
      </c>
      <c r="K398" s="22"/>
      <c r="L398" s="22" t="s">
        <v>1852</v>
      </c>
      <c r="M398" s="26" t="s">
        <v>1853</v>
      </c>
      <c r="N398" s="22"/>
      <c r="O398" s="22" t="s">
        <v>63</v>
      </c>
      <c r="P398" s="25" t="str">
        <f aca="false">IF(OR(O398="",O398="Sin información"),"",IFERROR(INDEX(Listas!$B$2:$B$9,MATCH(O398,Listas!$A$2:$A$9,0)),""))</f>
        <v/>
      </c>
      <c r="Q398" s="25" t="str">
        <f aca="false">IF(OR(O398="",O398="Sin información"),"",IFERROR(INDEX(Listas!$C$2:$C$9,MATCH(O398,Listas!$A$2:$A$9,0)),""))</f>
        <v/>
      </c>
      <c r="R398" s="22"/>
      <c r="S398" s="22"/>
      <c r="T398" s="25" t="str">
        <f aca="false">IF(S398="","",IFERROR(INDEX(Empleadores!$B$2:$B$601,MATCH(S398,Empleadores!$A$2:$A$601,0)),"No encontrado"))</f>
        <v/>
      </c>
      <c r="U398" s="25" t="str">
        <f aca="false">IF(C398="","",IF(V398="","No",IF(Config!$C$4-V398&lt;=Config!$C$15,"Sí","No")))</f>
        <v>No</v>
      </c>
      <c r="V398" s="23"/>
      <c r="W398" s="22"/>
      <c r="X398" s="22"/>
      <c r="Y398" s="22"/>
      <c r="Z398" s="27"/>
      <c r="AA398" s="22"/>
      <c r="AB398" s="22"/>
    </row>
    <row r="399" customFormat="false" ht="15" hidden="false" customHeight="false" outlineLevel="0" collapsed="false">
      <c r="A399" s="22" t="n">
        <v>398</v>
      </c>
      <c r="B399" s="22" t="s">
        <v>1854</v>
      </c>
      <c r="C399" s="22" t="s">
        <v>1855</v>
      </c>
      <c r="D399" s="22" t="s">
        <v>149</v>
      </c>
      <c r="E399" s="22" t="s">
        <v>139</v>
      </c>
      <c r="F399" s="22" t="s">
        <v>104</v>
      </c>
      <c r="G399" s="23" t="n">
        <v>45289</v>
      </c>
      <c r="H399" s="24" t="n">
        <f aca="false">IF(G399="","",ROUND((Config!$C$4-G399)/365.25,2))</f>
        <v>2.76</v>
      </c>
      <c r="I399" s="25" t="str">
        <f aca="false">IF(H399="","",IF(H399&lt;=1,"Tramo 1",IF(H399&lt;=3,"Tramo 2",IF(H399&lt;=5,"Tramo 3","Tramo 4"))))</f>
        <v>Tramo 2</v>
      </c>
      <c r="J399" s="22" t="s">
        <v>140</v>
      </c>
      <c r="K399" s="22"/>
      <c r="L399" s="22" t="s">
        <v>1856</v>
      </c>
      <c r="M399" s="26" t="s">
        <v>1857</v>
      </c>
      <c r="N399" s="22"/>
      <c r="O399" s="22" t="s">
        <v>63</v>
      </c>
      <c r="P399" s="25" t="str">
        <f aca="false">IF(OR(O399="",O399="Sin información"),"",IFERROR(INDEX(Listas!$B$2:$B$9,MATCH(O399,Listas!$A$2:$A$9,0)),""))</f>
        <v/>
      </c>
      <c r="Q399" s="25" t="str">
        <f aca="false">IF(OR(O399="",O399="Sin información"),"",IFERROR(INDEX(Listas!$C$2:$C$9,MATCH(O399,Listas!$A$2:$A$9,0)),""))</f>
        <v/>
      </c>
      <c r="R399" s="22"/>
      <c r="S399" s="22"/>
      <c r="T399" s="25" t="str">
        <f aca="false">IF(S399="","",IFERROR(INDEX(Empleadores!$B$2:$B$601,MATCH(S399,Empleadores!$A$2:$A$601,0)),"No encontrado"))</f>
        <v/>
      </c>
      <c r="U399" s="25" t="str">
        <f aca="false">IF(C399="","",IF(V399="","No",IF(Config!$C$4-V399&lt;=Config!$C$15,"Sí","No")))</f>
        <v>No</v>
      </c>
      <c r="V399" s="23"/>
      <c r="W399" s="22"/>
      <c r="X399" s="22"/>
      <c r="Y399" s="22"/>
      <c r="Z399" s="27"/>
      <c r="AA399" s="22"/>
      <c r="AB399" s="22"/>
    </row>
    <row r="400" customFormat="false" ht="15" hidden="false" customHeight="false" outlineLevel="0" collapsed="false">
      <c r="A400" s="22" t="n">
        <v>399</v>
      </c>
      <c r="B400" s="22" t="s">
        <v>1858</v>
      </c>
      <c r="C400" s="22" t="s">
        <v>1859</v>
      </c>
      <c r="D400" s="22" t="s">
        <v>138</v>
      </c>
      <c r="E400" s="22" t="s">
        <v>139</v>
      </c>
      <c r="F400" s="22" t="s">
        <v>104</v>
      </c>
      <c r="G400" s="23" t="n">
        <v>45289</v>
      </c>
      <c r="H400" s="24" t="n">
        <f aca="false">IF(G400="","",ROUND((Config!$C$4-G400)/365.25,2))</f>
        <v>2.76</v>
      </c>
      <c r="I400" s="25" t="str">
        <f aca="false">IF(H400="","",IF(H400&lt;=1,"Tramo 1",IF(H400&lt;=3,"Tramo 2",IF(H400&lt;=5,"Tramo 3","Tramo 4"))))</f>
        <v>Tramo 2</v>
      </c>
      <c r="J400" s="22" t="s">
        <v>140</v>
      </c>
      <c r="K400" s="22"/>
      <c r="L400" s="22" t="s">
        <v>1860</v>
      </c>
      <c r="M400" s="26" t="s">
        <v>1861</v>
      </c>
      <c r="N400" s="22"/>
      <c r="O400" s="22" t="s">
        <v>63</v>
      </c>
      <c r="P400" s="25" t="str">
        <f aca="false">IF(OR(O400="",O400="Sin información"),"",IFERROR(INDEX(Listas!$B$2:$B$9,MATCH(O400,Listas!$A$2:$A$9,0)),""))</f>
        <v/>
      </c>
      <c r="Q400" s="25" t="str">
        <f aca="false">IF(OR(O400="",O400="Sin información"),"",IFERROR(INDEX(Listas!$C$2:$C$9,MATCH(O400,Listas!$A$2:$A$9,0)),""))</f>
        <v/>
      </c>
      <c r="R400" s="22"/>
      <c r="S400" s="22"/>
      <c r="T400" s="25" t="str">
        <f aca="false">IF(S400="","",IFERROR(INDEX(Empleadores!$B$2:$B$601,MATCH(S400,Empleadores!$A$2:$A$601,0)),"No encontrado"))</f>
        <v/>
      </c>
      <c r="U400" s="25" t="str">
        <f aca="false">IF(C400="","",IF(V400="","No",IF(Config!$C$4-V400&lt;=Config!$C$15,"Sí","No")))</f>
        <v>No</v>
      </c>
      <c r="V400" s="23"/>
      <c r="W400" s="22"/>
      <c r="X400" s="22"/>
      <c r="Y400" s="22"/>
      <c r="Z400" s="27"/>
      <c r="AA400" s="22"/>
      <c r="AB400" s="22"/>
    </row>
    <row r="401" customFormat="false" ht="15" hidden="false" customHeight="false" outlineLevel="0" collapsed="false">
      <c r="A401" s="22" t="n">
        <v>400</v>
      </c>
      <c r="B401" s="22" t="s">
        <v>1862</v>
      </c>
      <c r="C401" s="22" t="s">
        <v>1863</v>
      </c>
      <c r="D401" s="22" t="s">
        <v>149</v>
      </c>
      <c r="E401" s="22" t="s">
        <v>139</v>
      </c>
      <c r="F401" s="22" t="s">
        <v>104</v>
      </c>
      <c r="G401" s="23" t="n">
        <v>45289</v>
      </c>
      <c r="H401" s="24" t="n">
        <f aca="false">IF(G401="","",ROUND((Config!$C$4-G401)/365.25,2))</f>
        <v>2.76</v>
      </c>
      <c r="I401" s="25" t="str">
        <f aca="false">IF(H401="","",IF(H401&lt;=1,"Tramo 1",IF(H401&lt;=3,"Tramo 2",IF(H401&lt;=5,"Tramo 3","Tramo 4"))))</f>
        <v>Tramo 2</v>
      </c>
      <c r="J401" s="22" t="s">
        <v>140</v>
      </c>
      <c r="K401" s="22"/>
      <c r="L401" s="22" t="s">
        <v>1864</v>
      </c>
      <c r="M401" s="26" t="s">
        <v>1865</v>
      </c>
      <c r="N401" s="22"/>
      <c r="O401" s="22" t="s">
        <v>63</v>
      </c>
      <c r="P401" s="25" t="str">
        <f aca="false">IF(OR(O401="",O401="Sin información"),"",IFERROR(INDEX(Listas!$B$2:$B$9,MATCH(O401,Listas!$A$2:$A$9,0)),""))</f>
        <v/>
      </c>
      <c r="Q401" s="25" t="str">
        <f aca="false">IF(OR(O401="",O401="Sin información"),"",IFERROR(INDEX(Listas!$C$2:$C$9,MATCH(O401,Listas!$A$2:$A$9,0)),""))</f>
        <v/>
      </c>
      <c r="R401" s="22"/>
      <c r="S401" s="22"/>
      <c r="T401" s="25" t="str">
        <f aca="false">IF(S401="","",IFERROR(INDEX(Empleadores!$B$2:$B$601,MATCH(S401,Empleadores!$A$2:$A$601,0)),"No encontrado"))</f>
        <v/>
      </c>
      <c r="U401" s="25" t="str">
        <f aca="false">IF(C401="","",IF(V401="","No",IF(Config!$C$4-V401&lt;=Config!$C$15,"Sí","No")))</f>
        <v>No</v>
      </c>
      <c r="V401" s="23"/>
      <c r="W401" s="22"/>
      <c r="X401" s="22"/>
      <c r="Y401" s="22"/>
      <c r="Z401" s="27"/>
      <c r="AA401" s="22"/>
      <c r="AB401" s="22"/>
    </row>
    <row r="402" customFormat="false" ht="15" hidden="false" customHeight="false" outlineLevel="0" collapsed="false">
      <c r="A402" s="22" t="n">
        <v>401</v>
      </c>
      <c r="B402" s="22" t="s">
        <v>1866</v>
      </c>
      <c r="C402" s="22" t="s">
        <v>1867</v>
      </c>
      <c r="D402" s="22" t="s">
        <v>149</v>
      </c>
      <c r="E402" s="22" t="s">
        <v>139</v>
      </c>
      <c r="F402" s="22" t="s">
        <v>104</v>
      </c>
      <c r="G402" s="23" t="n">
        <v>45289</v>
      </c>
      <c r="H402" s="24" t="n">
        <f aca="false">IF(G402="","",ROUND((Config!$C$4-G402)/365.25,2))</f>
        <v>2.76</v>
      </c>
      <c r="I402" s="25" t="str">
        <f aca="false">IF(H402="","",IF(H402&lt;=1,"Tramo 1",IF(H402&lt;=3,"Tramo 2",IF(H402&lt;=5,"Tramo 3","Tramo 4"))))</f>
        <v>Tramo 2</v>
      </c>
      <c r="J402" s="22" t="s">
        <v>140</v>
      </c>
      <c r="K402" s="22"/>
      <c r="L402" s="22" t="s">
        <v>1868</v>
      </c>
      <c r="M402" s="26" t="s">
        <v>1869</v>
      </c>
      <c r="N402" s="22"/>
      <c r="O402" s="22" t="s">
        <v>63</v>
      </c>
      <c r="P402" s="25" t="str">
        <f aca="false">IF(OR(O402="",O402="Sin información"),"",IFERROR(INDEX(Listas!$B$2:$B$9,MATCH(O402,Listas!$A$2:$A$9,0)),""))</f>
        <v/>
      </c>
      <c r="Q402" s="25" t="str">
        <f aca="false">IF(OR(O402="",O402="Sin información"),"",IFERROR(INDEX(Listas!$C$2:$C$9,MATCH(O402,Listas!$A$2:$A$9,0)),""))</f>
        <v/>
      </c>
      <c r="R402" s="22"/>
      <c r="S402" s="22"/>
      <c r="T402" s="25" t="str">
        <f aca="false">IF(S402="","",IFERROR(INDEX(Empleadores!$B$2:$B$601,MATCH(S402,Empleadores!$A$2:$A$601,0)),"No encontrado"))</f>
        <v/>
      </c>
      <c r="U402" s="25" t="str">
        <f aca="false">IF(C402="","",IF(V402="","No",IF(Config!$C$4-V402&lt;=Config!$C$15,"Sí","No")))</f>
        <v>No</v>
      </c>
      <c r="V402" s="23"/>
      <c r="W402" s="22"/>
      <c r="X402" s="22"/>
      <c r="Y402" s="22"/>
      <c r="Z402" s="27"/>
      <c r="AA402" s="22"/>
      <c r="AB402" s="22"/>
    </row>
    <row r="403" customFormat="false" ht="15" hidden="false" customHeight="false" outlineLevel="0" collapsed="false">
      <c r="A403" s="22" t="n">
        <v>402</v>
      </c>
      <c r="B403" s="22" t="s">
        <v>1870</v>
      </c>
      <c r="C403" s="22" t="s">
        <v>1871</v>
      </c>
      <c r="D403" s="22" t="s">
        <v>138</v>
      </c>
      <c r="E403" s="22" t="s">
        <v>139</v>
      </c>
      <c r="F403" s="22" t="s">
        <v>104</v>
      </c>
      <c r="G403" s="23" t="n">
        <v>45289</v>
      </c>
      <c r="H403" s="24" t="n">
        <f aca="false">IF(G403="","",ROUND((Config!$C$4-G403)/365.25,2))</f>
        <v>2.76</v>
      </c>
      <c r="I403" s="25" t="str">
        <f aca="false">IF(H403="","",IF(H403&lt;=1,"Tramo 1",IF(H403&lt;=3,"Tramo 2",IF(H403&lt;=5,"Tramo 3","Tramo 4"))))</f>
        <v>Tramo 2</v>
      </c>
      <c r="J403" s="22" t="s">
        <v>140</v>
      </c>
      <c r="K403" s="22"/>
      <c r="L403" s="22" t="s">
        <v>1872</v>
      </c>
      <c r="M403" s="26" t="s">
        <v>1873</v>
      </c>
      <c r="N403" s="22"/>
      <c r="O403" s="22" t="s">
        <v>63</v>
      </c>
      <c r="P403" s="25" t="str">
        <f aca="false">IF(OR(O403="",O403="Sin información"),"",IFERROR(INDEX(Listas!$B$2:$B$9,MATCH(O403,Listas!$A$2:$A$9,0)),""))</f>
        <v/>
      </c>
      <c r="Q403" s="25" t="str">
        <f aca="false">IF(OR(O403="",O403="Sin información"),"",IFERROR(INDEX(Listas!$C$2:$C$9,MATCH(O403,Listas!$A$2:$A$9,0)),""))</f>
        <v/>
      </c>
      <c r="R403" s="22"/>
      <c r="S403" s="22"/>
      <c r="T403" s="25" t="str">
        <f aca="false">IF(S403="","",IFERROR(INDEX(Empleadores!$B$2:$B$601,MATCH(S403,Empleadores!$A$2:$A$601,0)),"No encontrado"))</f>
        <v/>
      </c>
      <c r="U403" s="25" t="str">
        <f aca="false">IF(C403="","",IF(V403="","No",IF(Config!$C$4-V403&lt;=Config!$C$15,"Sí","No")))</f>
        <v>No</v>
      </c>
      <c r="V403" s="23"/>
      <c r="W403" s="22"/>
      <c r="X403" s="22"/>
      <c r="Y403" s="22"/>
      <c r="Z403" s="27"/>
      <c r="AA403" s="22"/>
      <c r="AB403" s="22"/>
    </row>
    <row r="404" customFormat="false" ht="15" hidden="false" customHeight="false" outlineLevel="0" collapsed="false">
      <c r="A404" s="22" t="n">
        <v>403</v>
      </c>
      <c r="B404" s="22" t="s">
        <v>1874</v>
      </c>
      <c r="C404" s="22" t="s">
        <v>1875</v>
      </c>
      <c r="D404" s="22" t="s">
        <v>138</v>
      </c>
      <c r="E404" s="22" t="s">
        <v>139</v>
      </c>
      <c r="F404" s="22" t="s">
        <v>104</v>
      </c>
      <c r="G404" s="23" t="n">
        <v>45289</v>
      </c>
      <c r="H404" s="24" t="n">
        <f aca="false">IF(G404="","",ROUND((Config!$C$4-G404)/365.25,2))</f>
        <v>2.76</v>
      </c>
      <c r="I404" s="25" t="str">
        <f aca="false">IF(H404="","",IF(H404&lt;=1,"Tramo 1",IF(H404&lt;=3,"Tramo 2",IF(H404&lt;=5,"Tramo 3","Tramo 4"))))</f>
        <v>Tramo 2</v>
      </c>
      <c r="J404" s="22" t="s">
        <v>140</v>
      </c>
      <c r="K404" s="22"/>
      <c r="L404" s="22" t="s">
        <v>1876</v>
      </c>
      <c r="M404" s="26" t="s">
        <v>1877</v>
      </c>
      <c r="N404" s="22"/>
      <c r="O404" s="22" t="s">
        <v>63</v>
      </c>
      <c r="P404" s="25" t="str">
        <f aca="false">IF(OR(O404="",O404="Sin información"),"",IFERROR(INDEX(Listas!$B$2:$B$9,MATCH(O404,Listas!$A$2:$A$9,0)),""))</f>
        <v/>
      </c>
      <c r="Q404" s="25" t="str">
        <f aca="false">IF(OR(O404="",O404="Sin información"),"",IFERROR(INDEX(Listas!$C$2:$C$9,MATCH(O404,Listas!$A$2:$A$9,0)),""))</f>
        <v/>
      </c>
      <c r="R404" s="22"/>
      <c r="S404" s="22"/>
      <c r="T404" s="25" t="str">
        <f aca="false">IF(S404="","",IFERROR(INDEX(Empleadores!$B$2:$B$601,MATCH(S404,Empleadores!$A$2:$A$601,0)),"No encontrado"))</f>
        <v/>
      </c>
      <c r="U404" s="25" t="str">
        <f aca="false">IF(C404="","",IF(V404="","No",IF(Config!$C$4-V404&lt;=Config!$C$15,"Sí","No")))</f>
        <v>No</v>
      </c>
      <c r="V404" s="23"/>
      <c r="W404" s="22"/>
      <c r="X404" s="22"/>
      <c r="Y404" s="22"/>
      <c r="Z404" s="27"/>
      <c r="AA404" s="22"/>
      <c r="AB404" s="22"/>
    </row>
    <row r="405" customFormat="false" ht="15" hidden="false" customHeight="false" outlineLevel="0" collapsed="false">
      <c r="A405" s="22" t="n">
        <v>404</v>
      </c>
      <c r="B405" s="22" t="s">
        <v>1878</v>
      </c>
      <c r="C405" s="22" t="s">
        <v>1879</v>
      </c>
      <c r="D405" s="22" t="s">
        <v>138</v>
      </c>
      <c r="E405" s="22" t="s">
        <v>139</v>
      </c>
      <c r="F405" s="22" t="s">
        <v>104</v>
      </c>
      <c r="G405" s="23" t="n">
        <v>45289</v>
      </c>
      <c r="H405" s="24" t="n">
        <f aca="false">IF(G405="","",ROUND((Config!$C$4-G405)/365.25,2))</f>
        <v>2.76</v>
      </c>
      <c r="I405" s="25" t="str">
        <f aca="false">IF(H405="","",IF(H405&lt;=1,"Tramo 1",IF(H405&lt;=3,"Tramo 2",IF(H405&lt;=5,"Tramo 3","Tramo 4"))))</f>
        <v>Tramo 2</v>
      </c>
      <c r="J405" s="22" t="s">
        <v>140</v>
      </c>
      <c r="K405" s="22"/>
      <c r="L405" s="22" t="s">
        <v>1880</v>
      </c>
      <c r="M405" s="26" t="s">
        <v>1881</v>
      </c>
      <c r="N405" s="22"/>
      <c r="O405" s="22" t="s">
        <v>63</v>
      </c>
      <c r="P405" s="25" t="str">
        <f aca="false">IF(OR(O405="",O405="Sin información"),"",IFERROR(INDEX(Listas!$B$2:$B$9,MATCH(O405,Listas!$A$2:$A$9,0)),""))</f>
        <v/>
      </c>
      <c r="Q405" s="25" t="str">
        <f aca="false">IF(OR(O405="",O405="Sin información"),"",IFERROR(INDEX(Listas!$C$2:$C$9,MATCH(O405,Listas!$A$2:$A$9,0)),""))</f>
        <v/>
      </c>
      <c r="R405" s="22"/>
      <c r="S405" s="22"/>
      <c r="T405" s="25" t="str">
        <f aca="false">IF(S405="","",IFERROR(INDEX(Empleadores!$B$2:$B$601,MATCH(S405,Empleadores!$A$2:$A$601,0)),"No encontrado"))</f>
        <v/>
      </c>
      <c r="U405" s="25" t="str">
        <f aca="false">IF(C405="","",IF(V405="","No",IF(Config!$C$4-V405&lt;=Config!$C$15,"Sí","No")))</f>
        <v>No</v>
      </c>
      <c r="V405" s="23"/>
      <c r="W405" s="22"/>
      <c r="X405" s="22"/>
      <c r="Y405" s="22"/>
      <c r="Z405" s="27"/>
      <c r="AA405" s="22"/>
      <c r="AB405" s="22"/>
    </row>
    <row r="406" customFormat="false" ht="15" hidden="false" customHeight="false" outlineLevel="0" collapsed="false">
      <c r="A406" s="22" t="n">
        <v>405</v>
      </c>
      <c r="B406" s="22" t="s">
        <v>1882</v>
      </c>
      <c r="C406" s="22" t="s">
        <v>1883</v>
      </c>
      <c r="D406" s="22" t="s">
        <v>138</v>
      </c>
      <c r="E406" s="22" t="s">
        <v>139</v>
      </c>
      <c r="F406" s="22" t="s">
        <v>104</v>
      </c>
      <c r="G406" s="23" t="n">
        <v>45289</v>
      </c>
      <c r="H406" s="24" t="n">
        <f aca="false">IF(G406="","",ROUND((Config!$C$4-G406)/365.25,2))</f>
        <v>2.76</v>
      </c>
      <c r="I406" s="25" t="str">
        <f aca="false">IF(H406="","",IF(H406&lt;=1,"Tramo 1",IF(H406&lt;=3,"Tramo 2",IF(H406&lt;=5,"Tramo 3","Tramo 4"))))</f>
        <v>Tramo 2</v>
      </c>
      <c r="J406" s="22" t="s">
        <v>140</v>
      </c>
      <c r="K406" s="22"/>
      <c r="L406" s="22" t="s">
        <v>1884</v>
      </c>
      <c r="M406" s="26" t="s">
        <v>1885</v>
      </c>
      <c r="N406" s="22"/>
      <c r="O406" s="22" t="s">
        <v>63</v>
      </c>
      <c r="P406" s="25" t="str">
        <f aca="false">IF(OR(O406="",O406="Sin información"),"",IFERROR(INDEX(Listas!$B$2:$B$9,MATCH(O406,Listas!$A$2:$A$9,0)),""))</f>
        <v/>
      </c>
      <c r="Q406" s="25" t="str">
        <f aca="false">IF(OR(O406="",O406="Sin información"),"",IFERROR(INDEX(Listas!$C$2:$C$9,MATCH(O406,Listas!$A$2:$A$9,0)),""))</f>
        <v/>
      </c>
      <c r="R406" s="22"/>
      <c r="S406" s="22"/>
      <c r="T406" s="25" t="str">
        <f aca="false">IF(S406="","",IFERROR(INDEX(Empleadores!$B$2:$B$601,MATCH(S406,Empleadores!$A$2:$A$601,0)),"No encontrado"))</f>
        <v/>
      </c>
      <c r="U406" s="25" t="str">
        <f aca="false">IF(C406="","",IF(V406="","No",IF(Config!$C$4-V406&lt;=Config!$C$15,"Sí","No")))</f>
        <v>No</v>
      </c>
      <c r="V406" s="23"/>
      <c r="W406" s="22"/>
      <c r="X406" s="22"/>
      <c r="Y406" s="22"/>
      <c r="Z406" s="27"/>
      <c r="AA406" s="22"/>
      <c r="AB406" s="22"/>
    </row>
    <row r="407" customFormat="false" ht="15" hidden="false" customHeight="false" outlineLevel="0" collapsed="false">
      <c r="A407" s="22" t="n">
        <v>406</v>
      </c>
      <c r="B407" s="22" t="s">
        <v>1886</v>
      </c>
      <c r="C407" s="22" t="s">
        <v>1887</v>
      </c>
      <c r="D407" s="22" t="s">
        <v>138</v>
      </c>
      <c r="E407" s="22" t="s">
        <v>139</v>
      </c>
      <c r="F407" s="22" t="s">
        <v>104</v>
      </c>
      <c r="G407" s="23" t="n">
        <v>45289</v>
      </c>
      <c r="H407" s="24" t="n">
        <f aca="false">IF(G407="","",ROUND((Config!$C$4-G407)/365.25,2))</f>
        <v>2.76</v>
      </c>
      <c r="I407" s="25" t="str">
        <f aca="false">IF(H407="","",IF(H407&lt;=1,"Tramo 1",IF(H407&lt;=3,"Tramo 2",IF(H407&lt;=5,"Tramo 3","Tramo 4"))))</f>
        <v>Tramo 2</v>
      </c>
      <c r="J407" s="22" t="s">
        <v>140</v>
      </c>
      <c r="K407" s="22"/>
      <c r="L407" s="22" t="s">
        <v>1888</v>
      </c>
      <c r="M407" s="26" t="s">
        <v>1889</v>
      </c>
      <c r="N407" s="22"/>
      <c r="O407" s="22" t="s">
        <v>63</v>
      </c>
      <c r="P407" s="25" t="str">
        <f aca="false">IF(OR(O407="",O407="Sin información"),"",IFERROR(INDEX(Listas!$B$2:$B$9,MATCH(O407,Listas!$A$2:$A$9,0)),""))</f>
        <v/>
      </c>
      <c r="Q407" s="25" t="str">
        <f aca="false">IF(OR(O407="",O407="Sin información"),"",IFERROR(INDEX(Listas!$C$2:$C$9,MATCH(O407,Listas!$A$2:$A$9,0)),""))</f>
        <v/>
      </c>
      <c r="R407" s="22"/>
      <c r="S407" s="22"/>
      <c r="T407" s="25" t="str">
        <f aca="false">IF(S407="","",IFERROR(INDEX(Empleadores!$B$2:$B$601,MATCH(S407,Empleadores!$A$2:$A$601,0)),"No encontrado"))</f>
        <v/>
      </c>
      <c r="U407" s="25" t="str">
        <f aca="false">IF(C407="","",IF(V407="","No",IF(Config!$C$4-V407&lt;=Config!$C$15,"Sí","No")))</f>
        <v>No</v>
      </c>
      <c r="V407" s="23"/>
      <c r="W407" s="22"/>
      <c r="X407" s="22"/>
      <c r="Y407" s="22"/>
      <c r="Z407" s="27"/>
      <c r="AA407" s="22"/>
      <c r="AB407" s="22"/>
    </row>
    <row r="408" customFormat="false" ht="15" hidden="false" customHeight="false" outlineLevel="0" collapsed="false">
      <c r="A408" s="22" t="n">
        <v>407</v>
      </c>
      <c r="B408" s="22" t="s">
        <v>1890</v>
      </c>
      <c r="C408" s="22" t="s">
        <v>1891</v>
      </c>
      <c r="D408" s="22" t="s">
        <v>138</v>
      </c>
      <c r="E408" s="22" t="s">
        <v>139</v>
      </c>
      <c r="F408" s="22" t="s">
        <v>104</v>
      </c>
      <c r="G408" s="23" t="n">
        <v>45289</v>
      </c>
      <c r="H408" s="24" t="n">
        <f aca="false">IF(G408="","",ROUND((Config!$C$4-G408)/365.25,2))</f>
        <v>2.76</v>
      </c>
      <c r="I408" s="25" t="str">
        <f aca="false">IF(H408="","",IF(H408&lt;=1,"Tramo 1",IF(H408&lt;=3,"Tramo 2",IF(H408&lt;=5,"Tramo 3","Tramo 4"))))</f>
        <v>Tramo 2</v>
      </c>
      <c r="J408" s="22" t="s">
        <v>140</v>
      </c>
      <c r="K408" s="22"/>
      <c r="L408" s="22" t="s">
        <v>1892</v>
      </c>
      <c r="M408" s="26" t="s">
        <v>1893</v>
      </c>
      <c r="N408" s="22"/>
      <c r="O408" s="22" t="s">
        <v>63</v>
      </c>
      <c r="P408" s="25" t="str">
        <f aca="false">IF(OR(O408="",O408="Sin información"),"",IFERROR(INDEX(Listas!$B$2:$B$9,MATCH(O408,Listas!$A$2:$A$9,0)),""))</f>
        <v/>
      </c>
      <c r="Q408" s="25" t="str">
        <f aca="false">IF(OR(O408="",O408="Sin información"),"",IFERROR(INDEX(Listas!$C$2:$C$9,MATCH(O408,Listas!$A$2:$A$9,0)),""))</f>
        <v/>
      </c>
      <c r="R408" s="22"/>
      <c r="S408" s="22"/>
      <c r="T408" s="25" t="str">
        <f aca="false">IF(S408="","",IFERROR(INDEX(Empleadores!$B$2:$B$601,MATCH(S408,Empleadores!$A$2:$A$601,0)),"No encontrado"))</f>
        <v/>
      </c>
      <c r="U408" s="25" t="str">
        <f aca="false">IF(C408="","",IF(V408="","No",IF(Config!$C$4-V408&lt;=Config!$C$15,"Sí","No")))</f>
        <v>No</v>
      </c>
      <c r="V408" s="23"/>
      <c r="W408" s="22"/>
      <c r="X408" s="22"/>
      <c r="Y408" s="22"/>
      <c r="Z408" s="27"/>
      <c r="AA408" s="22"/>
      <c r="AB408" s="22"/>
    </row>
    <row r="409" customFormat="false" ht="15" hidden="false" customHeight="false" outlineLevel="0" collapsed="false">
      <c r="A409" s="22" t="n">
        <v>408</v>
      </c>
      <c r="B409" s="22" t="s">
        <v>1894</v>
      </c>
      <c r="C409" s="22" t="s">
        <v>1895</v>
      </c>
      <c r="D409" s="22" t="s">
        <v>138</v>
      </c>
      <c r="E409" s="22" t="s">
        <v>139</v>
      </c>
      <c r="F409" s="22" t="s">
        <v>104</v>
      </c>
      <c r="G409" s="23" t="n">
        <v>45289</v>
      </c>
      <c r="H409" s="24" t="n">
        <f aca="false">IF(G409="","",ROUND((Config!$C$4-G409)/365.25,2))</f>
        <v>2.76</v>
      </c>
      <c r="I409" s="25" t="str">
        <f aca="false">IF(H409="","",IF(H409&lt;=1,"Tramo 1",IF(H409&lt;=3,"Tramo 2",IF(H409&lt;=5,"Tramo 3","Tramo 4"))))</f>
        <v>Tramo 2</v>
      </c>
      <c r="J409" s="22" t="s">
        <v>140</v>
      </c>
      <c r="K409" s="22"/>
      <c r="L409" s="22" t="s">
        <v>1896</v>
      </c>
      <c r="M409" s="26" t="s">
        <v>1897</v>
      </c>
      <c r="N409" s="22"/>
      <c r="O409" s="22" t="s">
        <v>63</v>
      </c>
      <c r="P409" s="25" t="str">
        <f aca="false">IF(OR(O409="",O409="Sin información"),"",IFERROR(INDEX(Listas!$B$2:$B$9,MATCH(O409,Listas!$A$2:$A$9,0)),""))</f>
        <v/>
      </c>
      <c r="Q409" s="25" t="str">
        <f aca="false">IF(OR(O409="",O409="Sin información"),"",IFERROR(INDEX(Listas!$C$2:$C$9,MATCH(O409,Listas!$A$2:$A$9,0)),""))</f>
        <v/>
      </c>
      <c r="R409" s="22"/>
      <c r="S409" s="22"/>
      <c r="T409" s="25" t="str">
        <f aca="false">IF(S409="","",IFERROR(INDEX(Empleadores!$B$2:$B$601,MATCH(S409,Empleadores!$A$2:$A$601,0)),"No encontrado"))</f>
        <v/>
      </c>
      <c r="U409" s="25" t="str">
        <f aca="false">IF(C409="","",IF(V409="","No",IF(Config!$C$4-V409&lt;=Config!$C$15,"Sí","No")))</f>
        <v>No</v>
      </c>
      <c r="V409" s="23"/>
      <c r="W409" s="22"/>
      <c r="X409" s="22"/>
      <c r="Y409" s="22"/>
      <c r="Z409" s="27"/>
      <c r="AA409" s="22"/>
      <c r="AB409" s="22"/>
    </row>
    <row r="410" customFormat="false" ht="15" hidden="false" customHeight="false" outlineLevel="0" collapsed="false">
      <c r="A410" s="22" t="n">
        <v>409</v>
      </c>
      <c r="B410" s="22" t="s">
        <v>1898</v>
      </c>
      <c r="C410" s="22" t="s">
        <v>1899</v>
      </c>
      <c r="D410" s="22" t="s">
        <v>138</v>
      </c>
      <c r="E410" s="22" t="s">
        <v>139</v>
      </c>
      <c r="F410" s="22" t="s">
        <v>104</v>
      </c>
      <c r="G410" s="23" t="n">
        <v>45289</v>
      </c>
      <c r="H410" s="24" t="n">
        <f aca="false">IF(G410="","",ROUND((Config!$C$4-G410)/365.25,2))</f>
        <v>2.76</v>
      </c>
      <c r="I410" s="25" t="str">
        <f aca="false">IF(H410="","",IF(H410&lt;=1,"Tramo 1",IF(H410&lt;=3,"Tramo 2",IF(H410&lt;=5,"Tramo 3","Tramo 4"))))</f>
        <v>Tramo 2</v>
      </c>
      <c r="J410" s="22" t="s">
        <v>140</v>
      </c>
      <c r="K410" s="22"/>
      <c r="L410" s="22" t="s">
        <v>1900</v>
      </c>
      <c r="M410" s="26" t="s">
        <v>1901</v>
      </c>
      <c r="N410" s="22"/>
      <c r="O410" s="22" t="s">
        <v>63</v>
      </c>
      <c r="P410" s="25" t="str">
        <f aca="false">IF(OR(O410="",O410="Sin información"),"",IFERROR(INDEX(Listas!$B$2:$B$9,MATCH(O410,Listas!$A$2:$A$9,0)),""))</f>
        <v/>
      </c>
      <c r="Q410" s="25" t="str">
        <f aca="false">IF(OR(O410="",O410="Sin información"),"",IFERROR(INDEX(Listas!$C$2:$C$9,MATCH(O410,Listas!$A$2:$A$9,0)),""))</f>
        <v/>
      </c>
      <c r="R410" s="22"/>
      <c r="S410" s="22"/>
      <c r="T410" s="25" t="str">
        <f aca="false">IF(S410="","",IFERROR(INDEX(Empleadores!$B$2:$B$601,MATCH(S410,Empleadores!$A$2:$A$601,0)),"No encontrado"))</f>
        <v/>
      </c>
      <c r="U410" s="25" t="str">
        <f aca="false">IF(C410="","",IF(V410="","No",IF(Config!$C$4-V410&lt;=Config!$C$15,"Sí","No")))</f>
        <v>No</v>
      </c>
      <c r="V410" s="23"/>
      <c r="W410" s="22"/>
      <c r="X410" s="22"/>
      <c r="Y410" s="22"/>
      <c r="Z410" s="27"/>
      <c r="AA410" s="22"/>
      <c r="AB410" s="22"/>
    </row>
    <row r="411" customFormat="false" ht="15" hidden="false" customHeight="false" outlineLevel="0" collapsed="false">
      <c r="A411" s="22" t="n">
        <v>410</v>
      </c>
      <c r="B411" s="22" t="s">
        <v>1902</v>
      </c>
      <c r="C411" s="22" t="s">
        <v>1903</v>
      </c>
      <c r="D411" s="22" t="s">
        <v>149</v>
      </c>
      <c r="E411" s="22" t="s">
        <v>139</v>
      </c>
      <c r="F411" s="22" t="s">
        <v>104</v>
      </c>
      <c r="G411" s="23" t="n">
        <v>45289</v>
      </c>
      <c r="H411" s="24" t="n">
        <f aca="false">IF(G411="","",ROUND((Config!$C$4-G411)/365.25,2))</f>
        <v>2.76</v>
      </c>
      <c r="I411" s="25" t="str">
        <f aca="false">IF(H411="","",IF(H411&lt;=1,"Tramo 1",IF(H411&lt;=3,"Tramo 2",IF(H411&lt;=5,"Tramo 3","Tramo 4"))))</f>
        <v>Tramo 2</v>
      </c>
      <c r="J411" s="22" t="s">
        <v>140</v>
      </c>
      <c r="K411" s="22"/>
      <c r="L411" s="22" t="s">
        <v>1904</v>
      </c>
      <c r="M411" s="26" t="s">
        <v>1905</v>
      </c>
      <c r="N411" s="22"/>
      <c r="O411" s="22" t="s">
        <v>63</v>
      </c>
      <c r="P411" s="25" t="str">
        <f aca="false">IF(OR(O411="",O411="Sin información"),"",IFERROR(INDEX(Listas!$B$2:$B$9,MATCH(O411,Listas!$A$2:$A$9,0)),""))</f>
        <v/>
      </c>
      <c r="Q411" s="25" t="str">
        <f aca="false">IF(OR(O411="",O411="Sin información"),"",IFERROR(INDEX(Listas!$C$2:$C$9,MATCH(O411,Listas!$A$2:$A$9,0)),""))</f>
        <v/>
      </c>
      <c r="R411" s="22"/>
      <c r="S411" s="22"/>
      <c r="T411" s="25" t="str">
        <f aca="false">IF(S411="","",IFERROR(INDEX(Empleadores!$B$2:$B$601,MATCH(S411,Empleadores!$A$2:$A$601,0)),"No encontrado"))</f>
        <v/>
      </c>
      <c r="U411" s="25" t="str">
        <f aca="false">IF(C411="","",IF(V411="","No",IF(Config!$C$4-V411&lt;=Config!$C$15,"Sí","No")))</f>
        <v>No</v>
      </c>
      <c r="V411" s="23"/>
      <c r="W411" s="22"/>
      <c r="X411" s="22"/>
      <c r="Y411" s="22"/>
      <c r="Z411" s="27"/>
      <c r="AA411" s="22"/>
      <c r="AB411" s="22"/>
    </row>
    <row r="412" customFormat="false" ht="15" hidden="false" customHeight="false" outlineLevel="0" collapsed="false">
      <c r="A412" s="22" t="n">
        <v>411</v>
      </c>
      <c r="B412" s="22" t="s">
        <v>1906</v>
      </c>
      <c r="C412" s="22" t="s">
        <v>1907</v>
      </c>
      <c r="D412" s="22" t="s">
        <v>138</v>
      </c>
      <c r="E412" s="22" t="s">
        <v>139</v>
      </c>
      <c r="F412" s="22" t="s">
        <v>104</v>
      </c>
      <c r="G412" s="23" t="n">
        <v>45289</v>
      </c>
      <c r="H412" s="24" t="n">
        <f aca="false">IF(G412="","",ROUND((Config!$C$4-G412)/365.25,2))</f>
        <v>2.76</v>
      </c>
      <c r="I412" s="25" t="str">
        <f aca="false">IF(H412="","",IF(H412&lt;=1,"Tramo 1",IF(H412&lt;=3,"Tramo 2",IF(H412&lt;=5,"Tramo 3","Tramo 4"))))</f>
        <v>Tramo 2</v>
      </c>
      <c r="J412" s="22" t="s">
        <v>140</v>
      </c>
      <c r="K412" s="22"/>
      <c r="L412" s="22" t="s">
        <v>1908</v>
      </c>
      <c r="M412" s="26" t="s">
        <v>1909</v>
      </c>
      <c r="N412" s="22"/>
      <c r="O412" s="22" t="s">
        <v>63</v>
      </c>
      <c r="P412" s="25" t="str">
        <f aca="false">IF(OR(O412="",O412="Sin información"),"",IFERROR(INDEX(Listas!$B$2:$B$9,MATCH(O412,Listas!$A$2:$A$9,0)),""))</f>
        <v/>
      </c>
      <c r="Q412" s="25" t="str">
        <f aca="false">IF(OR(O412="",O412="Sin información"),"",IFERROR(INDEX(Listas!$C$2:$C$9,MATCH(O412,Listas!$A$2:$A$9,0)),""))</f>
        <v/>
      </c>
      <c r="R412" s="22"/>
      <c r="S412" s="22"/>
      <c r="T412" s="25" t="str">
        <f aca="false">IF(S412="","",IFERROR(INDEX(Empleadores!$B$2:$B$601,MATCH(S412,Empleadores!$A$2:$A$601,0)),"No encontrado"))</f>
        <v/>
      </c>
      <c r="U412" s="25" t="str">
        <f aca="false">IF(C412="","",IF(V412="","No",IF(Config!$C$4-V412&lt;=Config!$C$15,"Sí","No")))</f>
        <v>No</v>
      </c>
      <c r="V412" s="23"/>
      <c r="W412" s="22"/>
      <c r="X412" s="22"/>
      <c r="Y412" s="22"/>
      <c r="Z412" s="27"/>
      <c r="AA412" s="22"/>
      <c r="AB412" s="22"/>
    </row>
    <row r="413" customFormat="false" ht="15" hidden="false" customHeight="false" outlineLevel="0" collapsed="false">
      <c r="A413" s="22" t="n">
        <v>412</v>
      </c>
      <c r="B413" s="22" t="s">
        <v>1910</v>
      </c>
      <c r="C413" s="22" t="s">
        <v>1911</v>
      </c>
      <c r="D413" s="22" t="s">
        <v>138</v>
      </c>
      <c r="E413" s="22" t="s">
        <v>139</v>
      </c>
      <c r="F413" s="22" t="s">
        <v>104</v>
      </c>
      <c r="G413" s="23" t="n">
        <v>45289</v>
      </c>
      <c r="H413" s="24" t="n">
        <f aca="false">IF(G413="","",ROUND((Config!$C$4-G413)/365.25,2))</f>
        <v>2.76</v>
      </c>
      <c r="I413" s="25" t="str">
        <f aca="false">IF(H413="","",IF(H413&lt;=1,"Tramo 1",IF(H413&lt;=3,"Tramo 2",IF(H413&lt;=5,"Tramo 3","Tramo 4"))))</f>
        <v>Tramo 2</v>
      </c>
      <c r="J413" s="22" t="s">
        <v>140</v>
      </c>
      <c r="K413" s="22"/>
      <c r="L413" s="22" t="s">
        <v>1912</v>
      </c>
      <c r="M413" s="26" t="s">
        <v>1913</v>
      </c>
      <c r="N413" s="22"/>
      <c r="O413" s="22" t="s">
        <v>63</v>
      </c>
      <c r="P413" s="25" t="str">
        <f aca="false">IF(OR(O413="",O413="Sin información"),"",IFERROR(INDEX(Listas!$B$2:$B$9,MATCH(O413,Listas!$A$2:$A$9,0)),""))</f>
        <v/>
      </c>
      <c r="Q413" s="25" t="str">
        <f aca="false">IF(OR(O413="",O413="Sin información"),"",IFERROR(INDEX(Listas!$C$2:$C$9,MATCH(O413,Listas!$A$2:$A$9,0)),""))</f>
        <v/>
      </c>
      <c r="R413" s="22"/>
      <c r="S413" s="22"/>
      <c r="T413" s="25" t="str">
        <f aca="false">IF(S413="","",IFERROR(INDEX(Empleadores!$B$2:$B$601,MATCH(S413,Empleadores!$A$2:$A$601,0)),"No encontrado"))</f>
        <v/>
      </c>
      <c r="U413" s="25" t="str">
        <f aca="false">IF(C413="","",IF(V413="","No",IF(Config!$C$4-V413&lt;=Config!$C$15,"Sí","No")))</f>
        <v>No</v>
      </c>
      <c r="V413" s="23"/>
      <c r="W413" s="22"/>
      <c r="X413" s="22"/>
      <c r="Y413" s="22"/>
      <c r="Z413" s="27"/>
      <c r="AA413" s="22"/>
      <c r="AB413" s="22"/>
    </row>
    <row r="414" customFormat="false" ht="15" hidden="false" customHeight="false" outlineLevel="0" collapsed="false">
      <c r="A414" s="22" t="n">
        <v>413</v>
      </c>
      <c r="B414" s="22" t="s">
        <v>1914</v>
      </c>
      <c r="C414" s="22" t="s">
        <v>1915</v>
      </c>
      <c r="D414" s="22" t="s">
        <v>138</v>
      </c>
      <c r="E414" s="22" t="s">
        <v>139</v>
      </c>
      <c r="F414" s="22" t="s">
        <v>104</v>
      </c>
      <c r="G414" s="23" t="n">
        <v>45289</v>
      </c>
      <c r="H414" s="24" t="n">
        <f aca="false">IF(G414="","",ROUND((Config!$C$4-G414)/365.25,2))</f>
        <v>2.76</v>
      </c>
      <c r="I414" s="25" t="str">
        <f aca="false">IF(H414="","",IF(H414&lt;=1,"Tramo 1",IF(H414&lt;=3,"Tramo 2",IF(H414&lt;=5,"Tramo 3","Tramo 4"))))</f>
        <v>Tramo 2</v>
      </c>
      <c r="J414" s="22" t="s">
        <v>140</v>
      </c>
      <c r="K414" s="22"/>
      <c r="L414" s="22" t="s">
        <v>1916</v>
      </c>
      <c r="M414" s="26" t="s">
        <v>1917</v>
      </c>
      <c r="N414" s="22"/>
      <c r="O414" s="22" t="s">
        <v>63</v>
      </c>
      <c r="P414" s="25" t="str">
        <f aca="false">IF(OR(O414="",O414="Sin información"),"",IFERROR(INDEX(Listas!$B$2:$B$9,MATCH(O414,Listas!$A$2:$A$9,0)),""))</f>
        <v/>
      </c>
      <c r="Q414" s="25" t="str">
        <f aca="false">IF(OR(O414="",O414="Sin información"),"",IFERROR(INDEX(Listas!$C$2:$C$9,MATCH(O414,Listas!$A$2:$A$9,0)),""))</f>
        <v/>
      </c>
      <c r="R414" s="22"/>
      <c r="S414" s="22"/>
      <c r="T414" s="25" t="str">
        <f aca="false">IF(S414="","",IFERROR(INDEX(Empleadores!$B$2:$B$601,MATCH(S414,Empleadores!$A$2:$A$601,0)),"No encontrado"))</f>
        <v/>
      </c>
      <c r="U414" s="25" t="str">
        <f aca="false">IF(C414="","",IF(V414="","No",IF(Config!$C$4-V414&lt;=Config!$C$15,"Sí","No")))</f>
        <v>No</v>
      </c>
      <c r="V414" s="23"/>
      <c r="W414" s="22"/>
      <c r="X414" s="22"/>
      <c r="Y414" s="22"/>
      <c r="Z414" s="27"/>
      <c r="AA414" s="22"/>
      <c r="AB414" s="22"/>
    </row>
    <row r="415" customFormat="false" ht="15" hidden="false" customHeight="false" outlineLevel="0" collapsed="false">
      <c r="A415" s="22" t="n">
        <v>414</v>
      </c>
      <c r="B415" s="22" t="s">
        <v>1918</v>
      </c>
      <c r="C415" s="22" t="s">
        <v>1919</v>
      </c>
      <c r="D415" s="22" t="s">
        <v>138</v>
      </c>
      <c r="E415" s="22" t="s">
        <v>139</v>
      </c>
      <c r="F415" s="22" t="s">
        <v>104</v>
      </c>
      <c r="G415" s="23" t="n">
        <v>45289</v>
      </c>
      <c r="H415" s="24" t="n">
        <f aca="false">IF(G415="","",ROUND((Config!$C$4-G415)/365.25,2))</f>
        <v>2.76</v>
      </c>
      <c r="I415" s="25" t="str">
        <f aca="false">IF(H415="","",IF(H415&lt;=1,"Tramo 1",IF(H415&lt;=3,"Tramo 2",IF(H415&lt;=5,"Tramo 3","Tramo 4"))))</f>
        <v>Tramo 2</v>
      </c>
      <c r="J415" s="22" t="s">
        <v>140</v>
      </c>
      <c r="K415" s="22"/>
      <c r="L415" s="22" t="s">
        <v>1920</v>
      </c>
      <c r="M415" s="26" t="s">
        <v>1921</v>
      </c>
      <c r="N415" s="22"/>
      <c r="O415" s="22" t="s">
        <v>63</v>
      </c>
      <c r="P415" s="25" t="str">
        <f aca="false">IF(OR(O415="",O415="Sin información"),"",IFERROR(INDEX(Listas!$B$2:$B$9,MATCH(O415,Listas!$A$2:$A$9,0)),""))</f>
        <v/>
      </c>
      <c r="Q415" s="25" t="str">
        <f aca="false">IF(OR(O415="",O415="Sin información"),"",IFERROR(INDEX(Listas!$C$2:$C$9,MATCH(O415,Listas!$A$2:$A$9,0)),""))</f>
        <v/>
      </c>
      <c r="R415" s="22"/>
      <c r="S415" s="22"/>
      <c r="T415" s="25" t="str">
        <f aca="false">IF(S415="","",IFERROR(INDEX(Empleadores!$B$2:$B$601,MATCH(S415,Empleadores!$A$2:$A$601,0)),"No encontrado"))</f>
        <v/>
      </c>
      <c r="U415" s="25" t="str">
        <f aca="false">IF(C415="","",IF(V415="","No",IF(Config!$C$4-V415&lt;=Config!$C$15,"Sí","No")))</f>
        <v>No</v>
      </c>
      <c r="V415" s="23"/>
      <c r="W415" s="22"/>
      <c r="X415" s="22"/>
      <c r="Y415" s="22"/>
      <c r="Z415" s="27"/>
      <c r="AA415" s="22"/>
      <c r="AB415" s="22"/>
    </row>
    <row r="416" customFormat="false" ht="15" hidden="false" customHeight="false" outlineLevel="0" collapsed="false">
      <c r="A416" s="22" t="n">
        <v>415</v>
      </c>
      <c r="B416" s="22" t="s">
        <v>1922</v>
      </c>
      <c r="C416" s="22" t="s">
        <v>1923</v>
      </c>
      <c r="D416" s="22" t="s">
        <v>138</v>
      </c>
      <c r="E416" s="22" t="s">
        <v>139</v>
      </c>
      <c r="F416" s="22" t="s">
        <v>104</v>
      </c>
      <c r="G416" s="23" t="n">
        <v>45289</v>
      </c>
      <c r="H416" s="24" t="n">
        <f aca="false">IF(G416="","",ROUND((Config!$C$4-G416)/365.25,2))</f>
        <v>2.76</v>
      </c>
      <c r="I416" s="25" t="str">
        <f aca="false">IF(H416="","",IF(H416&lt;=1,"Tramo 1",IF(H416&lt;=3,"Tramo 2",IF(H416&lt;=5,"Tramo 3","Tramo 4"))))</f>
        <v>Tramo 2</v>
      </c>
      <c r="J416" s="22" t="s">
        <v>140</v>
      </c>
      <c r="K416" s="22"/>
      <c r="L416" s="22" t="s">
        <v>1924</v>
      </c>
      <c r="M416" s="26" t="s">
        <v>1925</v>
      </c>
      <c r="N416" s="22"/>
      <c r="O416" s="22" t="s">
        <v>63</v>
      </c>
      <c r="P416" s="25" t="str">
        <f aca="false">IF(OR(O416="",O416="Sin información"),"",IFERROR(INDEX(Listas!$B$2:$B$9,MATCH(O416,Listas!$A$2:$A$9,0)),""))</f>
        <v/>
      </c>
      <c r="Q416" s="25" t="str">
        <f aca="false">IF(OR(O416="",O416="Sin información"),"",IFERROR(INDEX(Listas!$C$2:$C$9,MATCH(O416,Listas!$A$2:$A$9,0)),""))</f>
        <v/>
      </c>
      <c r="R416" s="22"/>
      <c r="S416" s="22"/>
      <c r="T416" s="25" t="str">
        <f aca="false">IF(S416="","",IFERROR(INDEX(Empleadores!$B$2:$B$601,MATCH(S416,Empleadores!$A$2:$A$601,0)),"No encontrado"))</f>
        <v/>
      </c>
      <c r="U416" s="25" t="str">
        <f aca="false">IF(C416="","",IF(V416="","No",IF(Config!$C$4-V416&lt;=Config!$C$15,"Sí","No")))</f>
        <v>No</v>
      </c>
      <c r="V416" s="23"/>
      <c r="W416" s="22"/>
      <c r="X416" s="22"/>
      <c r="Y416" s="22"/>
      <c r="Z416" s="27"/>
      <c r="AA416" s="22"/>
      <c r="AB416" s="22"/>
    </row>
    <row r="417" customFormat="false" ht="15" hidden="false" customHeight="false" outlineLevel="0" collapsed="false">
      <c r="A417" s="22" t="n">
        <v>416</v>
      </c>
      <c r="B417" s="22" t="s">
        <v>1926</v>
      </c>
      <c r="C417" s="22" t="s">
        <v>1927</v>
      </c>
      <c r="D417" s="22" t="s">
        <v>149</v>
      </c>
      <c r="E417" s="22" t="s">
        <v>139</v>
      </c>
      <c r="F417" s="22" t="s">
        <v>104</v>
      </c>
      <c r="G417" s="23" t="n">
        <v>45289</v>
      </c>
      <c r="H417" s="24" t="n">
        <f aca="false">IF(G417="","",ROUND((Config!$C$4-G417)/365.25,2))</f>
        <v>2.76</v>
      </c>
      <c r="I417" s="25" t="str">
        <f aca="false">IF(H417="","",IF(H417&lt;=1,"Tramo 1",IF(H417&lt;=3,"Tramo 2",IF(H417&lt;=5,"Tramo 3","Tramo 4"))))</f>
        <v>Tramo 2</v>
      </c>
      <c r="J417" s="22" t="s">
        <v>140</v>
      </c>
      <c r="K417" s="22"/>
      <c r="L417" s="22" t="s">
        <v>1928</v>
      </c>
      <c r="M417" s="26" t="s">
        <v>1929</v>
      </c>
      <c r="N417" s="22"/>
      <c r="O417" s="22" t="s">
        <v>63</v>
      </c>
      <c r="P417" s="25" t="str">
        <f aca="false">IF(OR(O417="",O417="Sin información"),"",IFERROR(INDEX(Listas!$B$2:$B$9,MATCH(O417,Listas!$A$2:$A$9,0)),""))</f>
        <v/>
      </c>
      <c r="Q417" s="25" t="str">
        <f aca="false">IF(OR(O417="",O417="Sin información"),"",IFERROR(INDEX(Listas!$C$2:$C$9,MATCH(O417,Listas!$A$2:$A$9,0)),""))</f>
        <v/>
      </c>
      <c r="R417" s="22"/>
      <c r="S417" s="22"/>
      <c r="T417" s="25" t="str">
        <f aca="false">IF(S417="","",IFERROR(INDEX(Empleadores!$B$2:$B$601,MATCH(S417,Empleadores!$A$2:$A$601,0)),"No encontrado"))</f>
        <v/>
      </c>
      <c r="U417" s="25" t="str">
        <f aca="false">IF(C417="","",IF(V417="","No",IF(Config!$C$4-V417&lt;=Config!$C$15,"Sí","No")))</f>
        <v>No</v>
      </c>
      <c r="V417" s="23"/>
      <c r="W417" s="22"/>
      <c r="X417" s="22"/>
      <c r="Y417" s="22"/>
      <c r="Z417" s="27"/>
      <c r="AA417" s="22" t="s">
        <v>1930</v>
      </c>
      <c r="AB417" s="22" t="s">
        <v>1691</v>
      </c>
    </row>
    <row r="418" customFormat="false" ht="15" hidden="false" customHeight="false" outlineLevel="0" collapsed="false">
      <c r="A418" s="22" t="n">
        <v>417</v>
      </c>
      <c r="B418" s="22" t="s">
        <v>1931</v>
      </c>
      <c r="C418" s="22" t="s">
        <v>1932</v>
      </c>
      <c r="D418" s="22" t="s">
        <v>149</v>
      </c>
      <c r="E418" s="22" t="s">
        <v>139</v>
      </c>
      <c r="F418" s="22" t="s">
        <v>104</v>
      </c>
      <c r="G418" s="23" t="n">
        <v>45289</v>
      </c>
      <c r="H418" s="24" t="n">
        <f aca="false">IF(G418="","",ROUND((Config!$C$4-G418)/365.25,2))</f>
        <v>2.76</v>
      </c>
      <c r="I418" s="25" t="str">
        <f aca="false">IF(H418="","",IF(H418&lt;=1,"Tramo 1",IF(H418&lt;=3,"Tramo 2",IF(H418&lt;=5,"Tramo 3","Tramo 4"))))</f>
        <v>Tramo 2</v>
      </c>
      <c r="J418" s="22" t="s">
        <v>140</v>
      </c>
      <c r="K418" s="22"/>
      <c r="L418" s="22" t="s">
        <v>1933</v>
      </c>
      <c r="M418" s="26" t="s">
        <v>1934</v>
      </c>
      <c r="N418" s="22"/>
      <c r="O418" s="22" t="s">
        <v>63</v>
      </c>
      <c r="P418" s="25" t="str">
        <f aca="false">IF(OR(O418="",O418="Sin información"),"",IFERROR(INDEX(Listas!$B$2:$B$9,MATCH(O418,Listas!$A$2:$A$9,0)),""))</f>
        <v/>
      </c>
      <c r="Q418" s="25" t="str">
        <f aca="false">IF(OR(O418="",O418="Sin información"),"",IFERROR(INDEX(Listas!$C$2:$C$9,MATCH(O418,Listas!$A$2:$A$9,0)),""))</f>
        <v/>
      </c>
      <c r="R418" s="22"/>
      <c r="S418" s="22"/>
      <c r="T418" s="25" t="str">
        <f aca="false">IF(S418="","",IFERROR(INDEX(Empleadores!$B$2:$B$601,MATCH(S418,Empleadores!$A$2:$A$601,0)),"No encontrado"))</f>
        <v/>
      </c>
      <c r="U418" s="25" t="str">
        <f aca="false">IF(C418="","",IF(V418="","No",IF(Config!$C$4-V418&lt;=Config!$C$15,"Sí","No")))</f>
        <v>No</v>
      </c>
      <c r="V418" s="23"/>
      <c r="W418" s="22"/>
      <c r="X418" s="22"/>
      <c r="Y418" s="22"/>
      <c r="Z418" s="27"/>
      <c r="AA418" s="22"/>
      <c r="AB418" s="22"/>
    </row>
    <row r="419" customFormat="false" ht="15" hidden="false" customHeight="false" outlineLevel="0" collapsed="false">
      <c r="A419" s="22" t="n">
        <v>418</v>
      </c>
      <c r="B419" s="22" t="s">
        <v>1935</v>
      </c>
      <c r="C419" s="22" t="s">
        <v>1936</v>
      </c>
      <c r="D419" s="22" t="s">
        <v>138</v>
      </c>
      <c r="E419" s="22" t="s">
        <v>139</v>
      </c>
      <c r="F419" s="22" t="s">
        <v>104</v>
      </c>
      <c r="G419" s="23" t="n">
        <v>45289</v>
      </c>
      <c r="H419" s="24" t="n">
        <f aca="false">IF(G419="","",ROUND((Config!$C$4-G419)/365.25,2))</f>
        <v>2.76</v>
      </c>
      <c r="I419" s="25" t="str">
        <f aca="false">IF(H419="","",IF(H419&lt;=1,"Tramo 1",IF(H419&lt;=3,"Tramo 2",IF(H419&lt;=5,"Tramo 3","Tramo 4"))))</f>
        <v>Tramo 2</v>
      </c>
      <c r="J419" s="22" t="s">
        <v>140</v>
      </c>
      <c r="K419" s="22"/>
      <c r="L419" s="22" t="s">
        <v>1937</v>
      </c>
      <c r="M419" s="26" t="s">
        <v>1938</v>
      </c>
      <c r="N419" s="22"/>
      <c r="O419" s="22" t="s">
        <v>63</v>
      </c>
      <c r="P419" s="25" t="str">
        <f aca="false">IF(OR(O419="",O419="Sin información"),"",IFERROR(INDEX(Listas!$B$2:$B$9,MATCH(O419,Listas!$A$2:$A$9,0)),""))</f>
        <v/>
      </c>
      <c r="Q419" s="25" t="str">
        <f aca="false">IF(OR(O419="",O419="Sin información"),"",IFERROR(INDEX(Listas!$C$2:$C$9,MATCH(O419,Listas!$A$2:$A$9,0)),""))</f>
        <v/>
      </c>
      <c r="R419" s="22"/>
      <c r="S419" s="22"/>
      <c r="T419" s="25" t="str">
        <f aca="false">IF(S419="","",IFERROR(INDEX(Empleadores!$B$2:$B$601,MATCH(S419,Empleadores!$A$2:$A$601,0)),"No encontrado"))</f>
        <v/>
      </c>
      <c r="U419" s="25" t="str">
        <f aca="false">IF(C419="","",IF(V419="","No",IF(Config!$C$4-V419&lt;=Config!$C$15,"Sí","No")))</f>
        <v>No</v>
      </c>
      <c r="V419" s="23"/>
      <c r="W419" s="22"/>
      <c r="X419" s="22"/>
      <c r="Y419" s="22"/>
      <c r="Z419" s="27"/>
      <c r="AA419" s="22"/>
      <c r="AB419" s="22"/>
    </row>
    <row r="420" customFormat="false" ht="15" hidden="false" customHeight="false" outlineLevel="0" collapsed="false">
      <c r="A420" s="22" t="n">
        <v>419</v>
      </c>
      <c r="B420" s="22" t="s">
        <v>1939</v>
      </c>
      <c r="C420" s="22" t="s">
        <v>1940</v>
      </c>
      <c r="D420" s="22" t="s">
        <v>138</v>
      </c>
      <c r="E420" s="22" t="s">
        <v>139</v>
      </c>
      <c r="F420" s="22" t="s">
        <v>104</v>
      </c>
      <c r="G420" s="23" t="n">
        <v>45289</v>
      </c>
      <c r="H420" s="24" t="n">
        <f aca="false">IF(G420="","",ROUND((Config!$C$4-G420)/365.25,2))</f>
        <v>2.76</v>
      </c>
      <c r="I420" s="25" t="str">
        <f aca="false">IF(H420="","",IF(H420&lt;=1,"Tramo 1",IF(H420&lt;=3,"Tramo 2",IF(H420&lt;=5,"Tramo 3","Tramo 4"))))</f>
        <v>Tramo 2</v>
      </c>
      <c r="J420" s="22" t="s">
        <v>140</v>
      </c>
      <c r="K420" s="22"/>
      <c r="L420" s="22" t="s">
        <v>1941</v>
      </c>
      <c r="M420" s="26" t="s">
        <v>1942</v>
      </c>
      <c r="N420" s="22"/>
      <c r="O420" s="22" t="s">
        <v>63</v>
      </c>
      <c r="P420" s="25" t="str">
        <f aca="false">IF(OR(O420="",O420="Sin información"),"",IFERROR(INDEX(Listas!$B$2:$B$9,MATCH(O420,Listas!$A$2:$A$9,0)),""))</f>
        <v/>
      </c>
      <c r="Q420" s="25" t="str">
        <f aca="false">IF(OR(O420="",O420="Sin información"),"",IFERROR(INDEX(Listas!$C$2:$C$9,MATCH(O420,Listas!$A$2:$A$9,0)),""))</f>
        <v/>
      </c>
      <c r="R420" s="22"/>
      <c r="S420" s="22"/>
      <c r="T420" s="25" t="str">
        <f aca="false">IF(S420="","",IFERROR(INDEX(Empleadores!$B$2:$B$601,MATCH(S420,Empleadores!$A$2:$A$601,0)),"No encontrado"))</f>
        <v/>
      </c>
      <c r="U420" s="25" t="str">
        <f aca="false">IF(C420="","",IF(V420="","No",IF(Config!$C$4-V420&lt;=Config!$C$15,"Sí","No")))</f>
        <v>No</v>
      </c>
      <c r="V420" s="23"/>
      <c r="W420" s="22"/>
      <c r="X420" s="22"/>
      <c r="Y420" s="22"/>
      <c r="Z420" s="27"/>
      <c r="AA420" s="22"/>
      <c r="AB420" s="22"/>
    </row>
    <row r="421" customFormat="false" ht="15" hidden="false" customHeight="false" outlineLevel="0" collapsed="false">
      <c r="A421" s="22" t="n">
        <v>420</v>
      </c>
      <c r="B421" s="22" t="s">
        <v>1943</v>
      </c>
      <c r="C421" s="22" t="s">
        <v>1944</v>
      </c>
      <c r="D421" s="22" t="s">
        <v>149</v>
      </c>
      <c r="E421" s="22" t="s">
        <v>139</v>
      </c>
      <c r="F421" s="22" t="s">
        <v>104</v>
      </c>
      <c r="G421" s="23" t="n">
        <v>45289</v>
      </c>
      <c r="H421" s="24" t="n">
        <f aca="false">IF(G421="","",ROUND((Config!$C$4-G421)/365.25,2))</f>
        <v>2.76</v>
      </c>
      <c r="I421" s="25" t="str">
        <f aca="false">IF(H421="","",IF(H421&lt;=1,"Tramo 1",IF(H421&lt;=3,"Tramo 2",IF(H421&lt;=5,"Tramo 3","Tramo 4"))))</f>
        <v>Tramo 2</v>
      </c>
      <c r="J421" s="22" t="s">
        <v>140</v>
      </c>
      <c r="K421" s="22"/>
      <c r="L421" s="22" t="s">
        <v>1945</v>
      </c>
      <c r="M421" s="26" t="s">
        <v>1946</v>
      </c>
      <c r="N421" s="22"/>
      <c r="O421" s="22" t="s">
        <v>63</v>
      </c>
      <c r="P421" s="25" t="str">
        <f aca="false">IF(OR(O421="",O421="Sin información"),"",IFERROR(INDEX(Listas!$B$2:$B$9,MATCH(O421,Listas!$A$2:$A$9,0)),""))</f>
        <v/>
      </c>
      <c r="Q421" s="25" t="str">
        <f aca="false">IF(OR(O421="",O421="Sin información"),"",IFERROR(INDEX(Listas!$C$2:$C$9,MATCH(O421,Listas!$A$2:$A$9,0)),""))</f>
        <v/>
      </c>
      <c r="R421" s="22"/>
      <c r="S421" s="22"/>
      <c r="T421" s="25" t="str">
        <f aca="false">IF(S421="","",IFERROR(INDEX(Empleadores!$B$2:$B$601,MATCH(S421,Empleadores!$A$2:$A$601,0)),"No encontrado"))</f>
        <v/>
      </c>
      <c r="U421" s="25" t="str">
        <f aca="false">IF(C421="","",IF(V421="","No",IF(Config!$C$4-V421&lt;=Config!$C$15,"Sí","No")))</f>
        <v>No</v>
      </c>
      <c r="V421" s="23"/>
      <c r="W421" s="22"/>
      <c r="X421" s="22"/>
      <c r="Y421" s="22"/>
      <c r="Z421" s="27"/>
      <c r="AA421" s="22"/>
      <c r="AB421" s="22"/>
    </row>
    <row r="422" customFormat="false" ht="15" hidden="false" customHeight="false" outlineLevel="0" collapsed="false">
      <c r="A422" s="22" t="n">
        <v>421</v>
      </c>
      <c r="B422" s="22" t="s">
        <v>1947</v>
      </c>
      <c r="C422" s="22" t="s">
        <v>1948</v>
      </c>
      <c r="D422" s="22" t="s">
        <v>149</v>
      </c>
      <c r="E422" s="22" t="s">
        <v>139</v>
      </c>
      <c r="F422" s="22" t="s">
        <v>104</v>
      </c>
      <c r="G422" s="23" t="n">
        <v>45289</v>
      </c>
      <c r="H422" s="24" t="n">
        <f aca="false">IF(G422="","",ROUND((Config!$C$4-G422)/365.25,2))</f>
        <v>2.76</v>
      </c>
      <c r="I422" s="25" t="str">
        <f aca="false">IF(H422="","",IF(H422&lt;=1,"Tramo 1",IF(H422&lt;=3,"Tramo 2",IF(H422&lt;=5,"Tramo 3","Tramo 4"))))</f>
        <v>Tramo 2</v>
      </c>
      <c r="J422" s="22" t="s">
        <v>140</v>
      </c>
      <c r="K422" s="22"/>
      <c r="L422" s="22" t="s">
        <v>1949</v>
      </c>
      <c r="M422" s="26" t="s">
        <v>1950</v>
      </c>
      <c r="N422" s="22"/>
      <c r="O422" s="22" t="s">
        <v>63</v>
      </c>
      <c r="P422" s="25" t="str">
        <f aca="false">IF(OR(O422="",O422="Sin información"),"",IFERROR(INDEX(Listas!$B$2:$B$9,MATCH(O422,Listas!$A$2:$A$9,0)),""))</f>
        <v/>
      </c>
      <c r="Q422" s="25" t="str">
        <f aca="false">IF(OR(O422="",O422="Sin información"),"",IFERROR(INDEX(Listas!$C$2:$C$9,MATCH(O422,Listas!$A$2:$A$9,0)),""))</f>
        <v/>
      </c>
      <c r="R422" s="22"/>
      <c r="S422" s="22"/>
      <c r="T422" s="25" t="str">
        <f aca="false">IF(S422="","",IFERROR(INDEX(Empleadores!$B$2:$B$601,MATCH(S422,Empleadores!$A$2:$A$601,0)),"No encontrado"))</f>
        <v/>
      </c>
      <c r="U422" s="25" t="str">
        <f aca="false">IF(C422="","",IF(V422="","No",IF(Config!$C$4-V422&lt;=Config!$C$15,"Sí","No")))</f>
        <v>No</v>
      </c>
      <c r="V422" s="23"/>
      <c r="W422" s="22"/>
      <c r="X422" s="22"/>
      <c r="Y422" s="22"/>
      <c r="Z422" s="27"/>
      <c r="AA422" s="22"/>
      <c r="AB422" s="22"/>
    </row>
    <row r="423" customFormat="false" ht="15" hidden="false" customHeight="false" outlineLevel="0" collapsed="false">
      <c r="A423" s="22" t="n">
        <v>422</v>
      </c>
      <c r="B423" s="22" t="s">
        <v>1951</v>
      </c>
      <c r="C423" s="22" t="s">
        <v>1952</v>
      </c>
      <c r="D423" s="22" t="s">
        <v>138</v>
      </c>
      <c r="E423" s="22" t="s">
        <v>139</v>
      </c>
      <c r="F423" s="22" t="s">
        <v>104</v>
      </c>
      <c r="G423" s="23" t="n">
        <v>45289</v>
      </c>
      <c r="H423" s="24" t="n">
        <f aca="false">IF(G423="","",ROUND((Config!$C$4-G423)/365.25,2))</f>
        <v>2.76</v>
      </c>
      <c r="I423" s="25" t="str">
        <f aca="false">IF(H423="","",IF(H423&lt;=1,"Tramo 1",IF(H423&lt;=3,"Tramo 2",IF(H423&lt;=5,"Tramo 3","Tramo 4"))))</f>
        <v>Tramo 2</v>
      </c>
      <c r="J423" s="22" t="s">
        <v>140</v>
      </c>
      <c r="K423" s="22"/>
      <c r="L423" s="22" t="s">
        <v>1953</v>
      </c>
      <c r="M423" s="26" t="s">
        <v>1954</v>
      </c>
      <c r="N423" s="22"/>
      <c r="O423" s="22" t="s">
        <v>63</v>
      </c>
      <c r="P423" s="25" t="str">
        <f aca="false">IF(OR(O423="",O423="Sin información"),"",IFERROR(INDEX(Listas!$B$2:$B$9,MATCH(O423,Listas!$A$2:$A$9,0)),""))</f>
        <v/>
      </c>
      <c r="Q423" s="25" t="str">
        <f aca="false">IF(OR(O423="",O423="Sin información"),"",IFERROR(INDEX(Listas!$C$2:$C$9,MATCH(O423,Listas!$A$2:$A$9,0)),""))</f>
        <v/>
      </c>
      <c r="R423" s="22"/>
      <c r="S423" s="22"/>
      <c r="T423" s="25" t="str">
        <f aca="false">IF(S423="","",IFERROR(INDEX(Empleadores!$B$2:$B$601,MATCH(S423,Empleadores!$A$2:$A$601,0)),"No encontrado"))</f>
        <v/>
      </c>
      <c r="U423" s="25" t="str">
        <f aca="false">IF(C423="","",IF(V423="","No",IF(Config!$C$4-V423&lt;=Config!$C$15,"Sí","No")))</f>
        <v>No</v>
      </c>
      <c r="V423" s="23"/>
      <c r="W423" s="22"/>
      <c r="X423" s="22"/>
      <c r="Y423" s="22"/>
      <c r="Z423" s="27"/>
      <c r="AA423" s="22"/>
      <c r="AB423" s="22"/>
    </row>
    <row r="424" customFormat="false" ht="15" hidden="false" customHeight="false" outlineLevel="0" collapsed="false">
      <c r="A424" s="22" t="n">
        <v>423</v>
      </c>
      <c r="B424" s="22" t="s">
        <v>1955</v>
      </c>
      <c r="C424" s="22" t="s">
        <v>1956</v>
      </c>
      <c r="D424" s="22" t="s">
        <v>149</v>
      </c>
      <c r="E424" s="22" t="s">
        <v>139</v>
      </c>
      <c r="F424" s="22" t="s">
        <v>104</v>
      </c>
      <c r="G424" s="23" t="n">
        <v>45289</v>
      </c>
      <c r="H424" s="24" t="n">
        <f aca="false">IF(G424="","",ROUND((Config!$C$4-G424)/365.25,2))</f>
        <v>2.76</v>
      </c>
      <c r="I424" s="25" t="str">
        <f aca="false">IF(H424="","",IF(H424&lt;=1,"Tramo 1",IF(H424&lt;=3,"Tramo 2",IF(H424&lt;=5,"Tramo 3","Tramo 4"))))</f>
        <v>Tramo 2</v>
      </c>
      <c r="J424" s="22" t="s">
        <v>140</v>
      </c>
      <c r="K424" s="22"/>
      <c r="L424" s="22" t="s">
        <v>1957</v>
      </c>
      <c r="M424" s="26" t="s">
        <v>1958</v>
      </c>
      <c r="N424" s="22"/>
      <c r="O424" s="22" t="s">
        <v>63</v>
      </c>
      <c r="P424" s="25" t="str">
        <f aca="false">IF(OR(O424="",O424="Sin información"),"",IFERROR(INDEX(Listas!$B$2:$B$9,MATCH(O424,Listas!$A$2:$A$9,0)),""))</f>
        <v/>
      </c>
      <c r="Q424" s="25" t="str">
        <f aca="false">IF(OR(O424="",O424="Sin información"),"",IFERROR(INDEX(Listas!$C$2:$C$9,MATCH(O424,Listas!$A$2:$A$9,0)),""))</f>
        <v/>
      </c>
      <c r="R424" s="22"/>
      <c r="S424" s="22"/>
      <c r="T424" s="25" t="str">
        <f aca="false">IF(S424="","",IFERROR(INDEX(Empleadores!$B$2:$B$601,MATCH(S424,Empleadores!$A$2:$A$601,0)),"No encontrado"))</f>
        <v/>
      </c>
      <c r="U424" s="25" t="str">
        <f aca="false">IF(C424="","",IF(V424="","No",IF(Config!$C$4-V424&lt;=Config!$C$15,"Sí","No")))</f>
        <v>No</v>
      </c>
      <c r="V424" s="23"/>
      <c r="W424" s="22"/>
      <c r="X424" s="22"/>
      <c r="Y424" s="22"/>
      <c r="Z424" s="27"/>
      <c r="AA424" s="22"/>
      <c r="AB424" s="22"/>
    </row>
    <row r="425" customFormat="false" ht="15" hidden="false" customHeight="false" outlineLevel="0" collapsed="false">
      <c r="A425" s="22" t="n">
        <v>424</v>
      </c>
      <c r="B425" s="22" t="s">
        <v>1959</v>
      </c>
      <c r="C425" s="22" t="s">
        <v>1960</v>
      </c>
      <c r="D425" s="22" t="s">
        <v>149</v>
      </c>
      <c r="E425" s="22" t="s">
        <v>139</v>
      </c>
      <c r="F425" s="22" t="s">
        <v>104</v>
      </c>
      <c r="G425" s="23" t="n">
        <v>45289</v>
      </c>
      <c r="H425" s="24" t="n">
        <f aca="false">IF(G425="","",ROUND((Config!$C$4-G425)/365.25,2))</f>
        <v>2.76</v>
      </c>
      <c r="I425" s="25" t="str">
        <f aca="false">IF(H425="","",IF(H425&lt;=1,"Tramo 1",IF(H425&lt;=3,"Tramo 2",IF(H425&lt;=5,"Tramo 3","Tramo 4"))))</f>
        <v>Tramo 2</v>
      </c>
      <c r="J425" s="22" t="s">
        <v>140</v>
      </c>
      <c r="K425" s="22"/>
      <c r="L425" s="22" t="s">
        <v>1961</v>
      </c>
      <c r="M425" s="26" t="s">
        <v>1962</v>
      </c>
      <c r="N425" s="22"/>
      <c r="O425" s="22" t="s">
        <v>63</v>
      </c>
      <c r="P425" s="25" t="str">
        <f aca="false">IF(OR(O425="",O425="Sin información"),"",IFERROR(INDEX(Listas!$B$2:$B$9,MATCH(O425,Listas!$A$2:$A$9,0)),""))</f>
        <v/>
      </c>
      <c r="Q425" s="25" t="str">
        <f aca="false">IF(OR(O425="",O425="Sin información"),"",IFERROR(INDEX(Listas!$C$2:$C$9,MATCH(O425,Listas!$A$2:$A$9,0)),""))</f>
        <v/>
      </c>
      <c r="R425" s="22"/>
      <c r="S425" s="22"/>
      <c r="T425" s="25" t="str">
        <f aca="false">IF(S425="","",IFERROR(INDEX(Empleadores!$B$2:$B$601,MATCH(S425,Empleadores!$A$2:$A$601,0)),"No encontrado"))</f>
        <v/>
      </c>
      <c r="U425" s="25" t="str">
        <f aca="false">IF(C425="","",IF(V425="","No",IF(Config!$C$4-V425&lt;=Config!$C$15,"Sí","No")))</f>
        <v>No</v>
      </c>
      <c r="V425" s="23"/>
      <c r="W425" s="22"/>
      <c r="X425" s="22"/>
      <c r="Y425" s="22"/>
      <c r="Z425" s="27"/>
      <c r="AA425" s="22"/>
      <c r="AB425" s="22"/>
    </row>
    <row r="426" customFormat="false" ht="15" hidden="false" customHeight="false" outlineLevel="0" collapsed="false">
      <c r="A426" s="22" t="n">
        <v>425</v>
      </c>
      <c r="B426" s="22" t="s">
        <v>1963</v>
      </c>
      <c r="C426" s="22" t="s">
        <v>1964</v>
      </c>
      <c r="D426" s="22" t="s">
        <v>149</v>
      </c>
      <c r="E426" s="22" t="s">
        <v>139</v>
      </c>
      <c r="F426" s="22" t="s">
        <v>104</v>
      </c>
      <c r="G426" s="23" t="n">
        <v>45289</v>
      </c>
      <c r="H426" s="24" t="n">
        <f aca="false">IF(G426="","",ROUND((Config!$C$4-G426)/365.25,2))</f>
        <v>2.76</v>
      </c>
      <c r="I426" s="25" t="str">
        <f aca="false">IF(H426="","",IF(H426&lt;=1,"Tramo 1",IF(H426&lt;=3,"Tramo 2",IF(H426&lt;=5,"Tramo 3","Tramo 4"))))</f>
        <v>Tramo 2</v>
      </c>
      <c r="J426" s="22" t="s">
        <v>140</v>
      </c>
      <c r="K426" s="22"/>
      <c r="L426" s="22" t="s">
        <v>1965</v>
      </c>
      <c r="M426" s="26" t="s">
        <v>1966</v>
      </c>
      <c r="N426" s="22"/>
      <c r="O426" s="22" t="s">
        <v>63</v>
      </c>
      <c r="P426" s="25" t="str">
        <f aca="false">IF(OR(O426="",O426="Sin información"),"",IFERROR(INDEX(Listas!$B$2:$B$9,MATCH(O426,Listas!$A$2:$A$9,0)),""))</f>
        <v/>
      </c>
      <c r="Q426" s="25" t="str">
        <f aca="false">IF(OR(O426="",O426="Sin información"),"",IFERROR(INDEX(Listas!$C$2:$C$9,MATCH(O426,Listas!$A$2:$A$9,0)),""))</f>
        <v/>
      </c>
      <c r="R426" s="22"/>
      <c r="S426" s="22"/>
      <c r="T426" s="25" t="str">
        <f aca="false">IF(S426="","",IFERROR(INDEX(Empleadores!$B$2:$B$601,MATCH(S426,Empleadores!$A$2:$A$601,0)),"No encontrado"))</f>
        <v/>
      </c>
      <c r="U426" s="25" t="str">
        <f aca="false">IF(C426="","",IF(V426="","No",IF(Config!$C$4-V426&lt;=Config!$C$15,"Sí","No")))</f>
        <v>No</v>
      </c>
      <c r="V426" s="23"/>
      <c r="W426" s="22"/>
      <c r="X426" s="22"/>
      <c r="Y426" s="22"/>
      <c r="Z426" s="27"/>
      <c r="AA426" s="22"/>
      <c r="AB426" s="22"/>
    </row>
    <row r="427" customFormat="false" ht="15" hidden="false" customHeight="false" outlineLevel="0" collapsed="false">
      <c r="A427" s="22" t="n">
        <v>426</v>
      </c>
      <c r="B427" s="22" t="s">
        <v>1967</v>
      </c>
      <c r="C427" s="22" t="s">
        <v>1968</v>
      </c>
      <c r="D427" s="22" t="s">
        <v>138</v>
      </c>
      <c r="E427" s="22" t="s">
        <v>139</v>
      </c>
      <c r="F427" s="22" t="s">
        <v>104</v>
      </c>
      <c r="G427" s="23" t="n">
        <v>45289</v>
      </c>
      <c r="H427" s="24" t="n">
        <f aca="false">IF(G427="","",ROUND((Config!$C$4-G427)/365.25,2))</f>
        <v>2.76</v>
      </c>
      <c r="I427" s="25" t="str">
        <f aca="false">IF(H427="","",IF(H427&lt;=1,"Tramo 1",IF(H427&lt;=3,"Tramo 2",IF(H427&lt;=5,"Tramo 3","Tramo 4"))))</f>
        <v>Tramo 2</v>
      </c>
      <c r="J427" s="22" t="s">
        <v>140</v>
      </c>
      <c r="K427" s="22"/>
      <c r="L427" s="22" t="s">
        <v>1969</v>
      </c>
      <c r="M427" s="26" t="s">
        <v>1970</v>
      </c>
      <c r="N427" s="22"/>
      <c r="O427" s="22" t="s">
        <v>63</v>
      </c>
      <c r="P427" s="25" t="str">
        <f aca="false">IF(OR(O427="",O427="Sin información"),"",IFERROR(INDEX(Listas!$B$2:$B$9,MATCH(O427,Listas!$A$2:$A$9,0)),""))</f>
        <v/>
      </c>
      <c r="Q427" s="25" t="str">
        <f aca="false">IF(OR(O427="",O427="Sin información"),"",IFERROR(INDEX(Listas!$C$2:$C$9,MATCH(O427,Listas!$A$2:$A$9,0)),""))</f>
        <v/>
      </c>
      <c r="R427" s="22"/>
      <c r="S427" s="22"/>
      <c r="T427" s="25" t="str">
        <f aca="false">IF(S427="","",IFERROR(INDEX(Empleadores!$B$2:$B$601,MATCH(S427,Empleadores!$A$2:$A$601,0)),"No encontrado"))</f>
        <v/>
      </c>
      <c r="U427" s="25" t="str">
        <f aca="false">IF(C427="","",IF(V427="","No",IF(Config!$C$4-V427&lt;=Config!$C$15,"Sí","No")))</f>
        <v>No</v>
      </c>
      <c r="V427" s="23"/>
      <c r="W427" s="22"/>
      <c r="X427" s="22"/>
      <c r="Y427" s="22"/>
      <c r="Z427" s="27"/>
      <c r="AA427" s="22"/>
      <c r="AB427" s="22"/>
    </row>
    <row r="428" customFormat="false" ht="15" hidden="false" customHeight="false" outlineLevel="0" collapsed="false">
      <c r="A428" s="22" t="n">
        <v>427</v>
      </c>
      <c r="B428" s="22" t="s">
        <v>1971</v>
      </c>
      <c r="C428" s="22" t="s">
        <v>1972</v>
      </c>
      <c r="D428" s="22" t="s">
        <v>149</v>
      </c>
      <c r="E428" s="22" t="s">
        <v>139</v>
      </c>
      <c r="F428" s="22" t="s">
        <v>104</v>
      </c>
      <c r="G428" s="23" t="n">
        <v>45289</v>
      </c>
      <c r="H428" s="24" t="n">
        <f aca="false">IF(G428="","",ROUND((Config!$C$4-G428)/365.25,2))</f>
        <v>2.76</v>
      </c>
      <c r="I428" s="25" t="str">
        <f aca="false">IF(H428="","",IF(H428&lt;=1,"Tramo 1",IF(H428&lt;=3,"Tramo 2",IF(H428&lt;=5,"Tramo 3","Tramo 4"))))</f>
        <v>Tramo 2</v>
      </c>
      <c r="J428" s="22" t="s">
        <v>140</v>
      </c>
      <c r="K428" s="22"/>
      <c r="L428" s="22" t="s">
        <v>1973</v>
      </c>
      <c r="M428" s="26" t="s">
        <v>1974</v>
      </c>
      <c r="N428" s="22"/>
      <c r="O428" s="22" t="s">
        <v>63</v>
      </c>
      <c r="P428" s="25" t="str">
        <f aca="false">IF(OR(O428="",O428="Sin información"),"",IFERROR(INDEX(Listas!$B$2:$B$9,MATCH(O428,Listas!$A$2:$A$9,0)),""))</f>
        <v/>
      </c>
      <c r="Q428" s="25" t="str">
        <f aca="false">IF(OR(O428="",O428="Sin información"),"",IFERROR(INDEX(Listas!$C$2:$C$9,MATCH(O428,Listas!$A$2:$A$9,0)),""))</f>
        <v/>
      </c>
      <c r="R428" s="22"/>
      <c r="S428" s="22"/>
      <c r="T428" s="25" t="str">
        <f aca="false">IF(S428="","",IFERROR(INDEX(Empleadores!$B$2:$B$601,MATCH(S428,Empleadores!$A$2:$A$601,0)),"No encontrado"))</f>
        <v/>
      </c>
      <c r="U428" s="25" t="str">
        <f aca="false">IF(C428="","",IF(V428="","No",IF(Config!$C$4-V428&lt;=Config!$C$15,"Sí","No")))</f>
        <v>No</v>
      </c>
      <c r="V428" s="23"/>
      <c r="W428" s="22"/>
      <c r="X428" s="22"/>
      <c r="Y428" s="22"/>
      <c r="Z428" s="27"/>
      <c r="AA428" s="22"/>
      <c r="AB428" s="22"/>
    </row>
    <row r="429" customFormat="false" ht="15" hidden="false" customHeight="false" outlineLevel="0" collapsed="false">
      <c r="A429" s="22" t="n">
        <v>428</v>
      </c>
      <c r="B429" s="22" t="s">
        <v>1975</v>
      </c>
      <c r="C429" s="22" t="s">
        <v>1976</v>
      </c>
      <c r="D429" s="22" t="s">
        <v>149</v>
      </c>
      <c r="E429" s="22" t="s">
        <v>139</v>
      </c>
      <c r="F429" s="22" t="s">
        <v>104</v>
      </c>
      <c r="G429" s="23" t="n">
        <v>45289</v>
      </c>
      <c r="H429" s="24" t="n">
        <f aca="false">IF(G429="","",ROUND((Config!$C$4-G429)/365.25,2))</f>
        <v>2.76</v>
      </c>
      <c r="I429" s="25" t="str">
        <f aca="false">IF(H429="","",IF(H429&lt;=1,"Tramo 1",IF(H429&lt;=3,"Tramo 2",IF(H429&lt;=5,"Tramo 3","Tramo 4"))))</f>
        <v>Tramo 2</v>
      </c>
      <c r="J429" s="22" t="s">
        <v>140</v>
      </c>
      <c r="K429" s="22"/>
      <c r="L429" s="22" t="s">
        <v>1977</v>
      </c>
      <c r="M429" s="26" t="s">
        <v>1978</v>
      </c>
      <c r="N429" s="22"/>
      <c r="O429" s="22" t="s">
        <v>63</v>
      </c>
      <c r="P429" s="25" t="str">
        <f aca="false">IF(OR(O429="",O429="Sin información"),"",IFERROR(INDEX(Listas!$B$2:$B$9,MATCH(O429,Listas!$A$2:$A$9,0)),""))</f>
        <v/>
      </c>
      <c r="Q429" s="25" t="str">
        <f aca="false">IF(OR(O429="",O429="Sin información"),"",IFERROR(INDEX(Listas!$C$2:$C$9,MATCH(O429,Listas!$A$2:$A$9,0)),""))</f>
        <v/>
      </c>
      <c r="R429" s="22"/>
      <c r="S429" s="22"/>
      <c r="T429" s="25" t="str">
        <f aca="false">IF(S429="","",IFERROR(INDEX(Empleadores!$B$2:$B$601,MATCH(S429,Empleadores!$A$2:$A$601,0)),"No encontrado"))</f>
        <v/>
      </c>
      <c r="U429" s="25" t="str">
        <f aca="false">IF(C429="","",IF(V429="","No",IF(Config!$C$4-V429&lt;=Config!$C$15,"Sí","No")))</f>
        <v>No</v>
      </c>
      <c r="V429" s="23"/>
      <c r="W429" s="22"/>
      <c r="X429" s="22"/>
      <c r="Y429" s="22"/>
      <c r="Z429" s="27"/>
      <c r="AA429" s="22"/>
      <c r="AB429" s="22"/>
    </row>
    <row r="430" customFormat="false" ht="15" hidden="false" customHeight="false" outlineLevel="0" collapsed="false">
      <c r="A430" s="22" t="n">
        <v>429</v>
      </c>
      <c r="B430" s="22" t="s">
        <v>1979</v>
      </c>
      <c r="C430" s="22" t="s">
        <v>1980</v>
      </c>
      <c r="D430" s="22" t="s">
        <v>149</v>
      </c>
      <c r="E430" s="22" t="s">
        <v>139</v>
      </c>
      <c r="F430" s="22" t="s">
        <v>104</v>
      </c>
      <c r="G430" s="23" t="n">
        <v>45289</v>
      </c>
      <c r="H430" s="24" t="n">
        <f aca="false">IF(G430="","",ROUND((Config!$C$4-G430)/365.25,2))</f>
        <v>2.76</v>
      </c>
      <c r="I430" s="25" t="str">
        <f aca="false">IF(H430="","",IF(H430&lt;=1,"Tramo 1",IF(H430&lt;=3,"Tramo 2",IF(H430&lt;=5,"Tramo 3","Tramo 4"))))</f>
        <v>Tramo 2</v>
      </c>
      <c r="J430" s="22" t="s">
        <v>140</v>
      </c>
      <c r="K430" s="22"/>
      <c r="L430" s="22" t="s">
        <v>1981</v>
      </c>
      <c r="M430" s="26" t="s">
        <v>1982</v>
      </c>
      <c r="N430" s="22"/>
      <c r="O430" s="22" t="s">
        <v>63</v>
      </c>
      <c r="P430" s="25" t="str">
        <f aca="false">IF(OR(O430="",O430="Sin información"),"",IFERROR(INDEX(Listas!$B$2:$B$9,MATCH(O430,Listas!$A$2:$A$9,0)),""))</f>
        <v/>
      </c>
      <c r="Q430" s="25" t="str">
        <f aca="false">IF(OR(O430="",O430="Sin información"),"",IFERROR(INDEX(Listas!$C$2:$C$9,MATCH(O430,Listas!$A$2:$A$9,0)),""))</f>
        <v/>
      </c>
      <c r="R430" s="22"/>
      <c r="S430" s="22"/>
      <c r="T430" s="25" t="str">
        <f aca="false">IF(S430="","",IFERROR(INDEX(Empleadores!$B$2:$B$601,MATCH(S430,Empleadores!$A$2:$A$601,0)),"No encontrado"))</f>
        <v/>
      </c>
      <c r="U430" s="25" t="str">
        <f aca="false">IF(C430="","",IF(V430="","No",IF(Config!$C$4-V430&lt;=Config!$C$15,"Sí","No")))</f>
        <v>No</v>
      </c>
      <c r="V430" s="23"/>
      <c r="W430" s="22"/>
      <c r="X430" s="22"/>
      <c r="Y430" s="22"/>
      <c r="Z430" s="27"/>
      <c r="AA430" s="22"/>
      <c r="AB430" s="22"/>
    </row>
    <row r="431" customFormat="false" ht="15" hidden="false" customHeight="false" outlineLevel="0" collapsed="false">
      <c r="A431" s="22" t="n">
        <v>430</v>
      </c>
      <c r="B431" s="22" t="s">
        <v>1983</v>
      </c>
      <c r="C431" s="22" t="s">
        <v>1984</v>
      </c>
      <c r="D431" s="22" t="s">
        <v>138</v>
      </c>
      <c r="E431" s="22" t="s">
        <v>139</v>
      </c>
      <c r="F431" s="22" t="s">
        <v>104</v>
      </c>
      <c r="G431" s="23" t="n">
        <v>45289</v>
      </c>
      <c r="H431" s="24" t="n">
        <f aca="false">IF(G431="","",ROUND((Config!$C$4-G431)/365.25,2))</f>
        <v>2.76</v>
      </c>
      <c r="I431" s="25" t="str">
        <f aca="false">IF(H431="","",IF(H431&lt;=1,"Tramo 1",IF(H431&lt;=3,"Tramo 2",IF(H431&lt;=5,"Tramo 3","Tramo 4"))))</f>
        <v>Tramo 2</v>
      </c>
      <c r="J431" s="22" t="s">
        <v>140</v>
      </c>
      <c r="K431" s="22"/>
      <c r="L431" s="22" t="s">
        <v>1985</v>
      </c>
      <c r="M431" s="26" t="s">
        <v>1986</v>
      </c>
      <c r="N431" s="22"/>
      <c r="O431" s="22" t="s">
        <v>63</v>
      </c>
      <c r="P431" s="25" t="str">
        <f aca="false">IF(OR(O431="",O431="Sin información"),"",IFERROR(INDEX(Listas!$B$2:$B$9,MATCH(O431,Listas!$A$2:$A$9,0)),""))</f>
        <v/>
      </c>
      <c r="Q431" s="25" t="str">
        <f aca="false">IF(OR(O431="",O431="Sin información"),"",IFERROR(INDEX(Listas!$C$2:$C$9,MATCH(O431,Listas!$A$2:$A$9,0)),""))</f>
        <v/>
      </c>
      <c r="R431" s="22"/>
      <c r="S431" s="22"/>
      <c r="T431" s="25" t="str">
        <f aca="false">IF(S431="","",IFERROR(INDEX(Empleadores!$B$2:$B$601,MATCH(S431,Empleadores!$A$2:$A$601,0)),"No encontrado"))</f>
        <v/>
      </c>
      <c r="U431" s="25" t="str">
        <f aca="false">IF(C431="","",IF(V431="","No",IF(Config!$C$4-V431&lt;=Config!$C$15,"Sí","No")))</f>
        <v>No</v>
      </c>
      <c r="V431" s="23"/>
      <c r="W431" s="22"/>
      <c r="X431" s="22"/>
      <c r="Y431" s="22"/>
      <c r="Z431" s="27"/>
      <c r="AA431" s="22"/>
      <c r="AB431" s="22"/>
    </row>
    <row r="432" customFormat="false" ht="15" hidden="false" customHeight="false" outlineLevel="0" collapsed="false">
      <c r="A432" s="22" t="n">
        <v>431</v>
      </c>
      <c r="B432" s="22" t="s">
        <v>1987</v>
      </c>
      <c r="C432" s="22" t="s">
        <v>1988</v>
      </c>
      <c r="D432" s="22" t="s">
        <v>138</v>
      </c>
      <c r="E432" s="22" t="s">
        <v>139</v>
      </c>
      <c r="F432" s="22" t="s">
        <v>104</v>
      </c>
      <c r="G432" s="23" t="n">
        <v>45289</v>
      </c>
      <c r="H432" s="24" t="n">
        <f aca="false">IF(G432="","",ROUND((Config!$C$4-G432)/365.25,2))</f>
        <v>2.76</v>
      </c>
      <c r="I432" s="25" t="str">
        <f aca="false">IF(H432="","",IF(H432&lt;=1,"Tramo 1",IF(H432&lt;=3,"Tramo 2",IF(H432&lt;=5,"Tramo 3","Tramo 4"))))</f>
        <v>Tramo 2</v>
      </c>
      <c r="J432" s="22" t="s">
        <v>140</v>
      </c>
      <c r="K432" s="22"/>
      <c r="L432" s="22" t="s">
        <v>1989</v>
      </c>
      <c r="M432" s="26" t="s">
        <v>1990</v>
      </c>
      <c r="N432" s="22"/>
      <c r="O432" s="22" t="s">
        <v>63</v>
      </c>
      <c r="P432" s="25" t="str">
        <f aca="false">IF(OR(O432="",O432="Sin información"),"",IFERROR(INDEX(Listas!$B$2:$B$9,MATCH(O432,Listas!$A$2:$A$9,0)),""))</f>
        <v/>
      </c>
      <c r="Q432" s="25" t="str">
        <f aca="false">IF(OR(O432="",O432="Sin información"),"",IFERROR(INDEX(Listas!$C$2:$C$9,MATCH(O432,Listas!$A$2:$A$9,0)),""))</f>
        <v/>
      </c>
      <c r="R432" s="22"/>
      <c r="S432" s="22"/>
      <c r="T432" s="25" t="str">
        <f aca="false">IF(S432="","",IFERROR(INDEX(Empleadores!$B$2:$B$601,MATCH(S432,Empleadores!$A$2:$A$601,0)),"No encontrado"))</f>
        <v/>
      </c>
      <c r="U432" s="25" t="str">
        <f aca="false">IF(C432="","",IF(V432="","No",IF(Config!$C$4-V432&lt;=Config!$C$15,"Sí","No")))</f>
        <v>No</v>
      </c>
      <c r="V432" s="23"/>
      <c r="W432" s="22"/>
      <c r="X432" s="22"/>
      <c r="Y432" s="22"/>
      <c r="Z432" s="27"/>
      <c r="AA432" s="22"/>
      <c r="AB432" s="22"/>
    </row>
    <row r="433" customFormat="false" ht="15" hidden="false" customHeight="false" outlineLevel="0" collapsed="false">
      <c r="A433" s="22" t="n">
        <v>432</v>
      </c>
      <c r="B433" s="22" t="s">
        <v>1991</v>
      </c>
      <c r="C433" s="22" t="s">
        <v>1992</v>
      </c>
      <c r="D433" s="22" t="s">
        <v>138</v>
      </c>
      <c r="E433" s="22" t="s">
        <v>139</v>
      </c>
      <c r="F433" s="22" t="s">
        <v>104</v>
      </c>
      <c r="G433" s="23" t="n">
        <v>45289</v>
      </c>
      <c r="H433" s="24" t="n">
        <f aca="false">IF(G433="","",ROUND((Config!$C$4-G433)/365.25,2))</f>
        <v>2.76</v>
      </c>
      <c r="I433" s="25" t="str">
        <f aca="false">IF(H433="","",IF(H433&lt;=1,"Tramo 1",IF(H433&lt;=3,"Tramo 2",IF(H433&lt;=5,"Tramo 3","Tramo 4"))))</f>
        <v>Tramo 2</v>
      </c>
      <c r="J433" s="22" t="s">
        <v>140</v>
      </c>
      <c r="K433" s="22"/>
      <c r="L433" s="22" t="s">
        <v>1993</v>
      </c>
      <c r="M433" s="26" t="s">
        <v>1994</v>
      </c>
      <c r="N433" s="22"/>
      <c r="O433" s="22" t="s">
        <v>63</v>
      </c>
      <c r="P433" s="25" t="str">
        <f aca="false">IF(OR(O433="",O433="Sin información"),"",IFERROR(INDEX(Listas!$B$2:$B$9,MATCH(O433,Listas!$A$2:$A$9,0)),""))</f>
        <v/>
      </c>
      <c r="Q433" s="25" t="str">
        <f aca="false">IF(OR(O433="",O433="Sin información"),"",IFERROR(INDEX(Listas!$C$2:$C$9,MATCH(O433,Listas!$A$2:$A$9,0)),""))</f>
        <v/>
      </c>
      <c r="R433" s="22"/>
      <c r="S433" s="22"/>
      <c r="T433" s="25" t="str">
        <f aca="false">IF(S433="","",IFERROR(INDEX(Empleadores!$B$2:$B$601,MATCH(S433,Empleadores!$A$2:$A$601,0)),"No encontrado"))</f>
        <v/>
      </c>
      <c r="U433" s="25" t="str">
        <f aca="false">IF(C433="","",IF(V433="","No",IF(Config!$C$4-V433&lt;=Config!$C$15,"Sí","No")))</f>
        <v>No</v>
      </c>
      <c r="V433" s="23"/>
      <c r="W433" s="22"/>
      <c r="X433" s="22"/>
      <c r="Y433" s="22"/>
      <c r="Z433" s="27"/>
      <c r="AA433" s="22" t="s">
        <v>1995</v>
      </c>
      <c r="AB433" s="22" t="s">
        <v>1691</v>
      </c>
    </row>
    <row r="434" customFormat="false" ht="15" hidden="false" customHeight="false" outlineLevel="0" collapsed="false">
      <c r="A434" s="22" t="n">
        <v>433</v>
      </c>
      <c r="B434" s="22" t="s">
        <v>1996</v>
      </c>
      <c r="C434" s="22" t="s">
        <v>1997</v>
      </c>
      <c r="D434" s="22" t="s">
        <v>138</v>
      </c>
      <c r="E434" s="22" t="s">
        <v>139</v>
      </c>
      <c r="F434" s="22" t="s">
        <v>104</v>
      </c>
      <c r="G434" s="23" t="n">
        <v>45289</v>
      </c>
      <c r="H434" s="24" t="n">
        <f aca="false">IF(G434="","",ROUND((Config!$C$4-G434)/365.25,2))</f>
        <v>2.76</v>
      </c>
      <c r="I434" s="25" t="str">
        <f aca="false">IF(H434="","",IF(H434&lt;=1,"Tramo 1",IF(H434&lt;=3,"Tramo 2",IF(H434&lt;=5,"Tramo 3","Tramo 4"))))</f>
        <v>Tramo 2</v>
      </c>
      <c r="J434" s="22" t="s">
        <v>140</v>
      </c>
      <c r="K434" s="22"/>
      <c r="L434" s="22" t="s">
        <v>1998</v>
      </c>
      <c r="M434" s="26" t="s">
        <v>1999</v>
      </c>
      <c r="N434" s="22"/>
      <c r="O434" s="22" t="s">
        <v>63</v>
      </c>
      <c r="P434" s="25" t="str">
        <f aca="false">IF(OR(O434="",O434="Sin información"),"",IFERROR(INDEX(Listas!$B$2:$B$9,MATCH(O434,Listas!$A$2:$A$9,0)),""))</f>
        <v/>
      </c>
      <c r="Q434" s="25" t="str">
        <f aca="false">IF(OR(O434="",O434="Sin información"),"",IFERROR(INDEX(Listas!$C$2:$C$9,MATCH(O434,Listas!$A$2:$A$9,0)),""))</f>
        <v/>
      </c>
      <c r="R434" s="22"/>
      <c r="S434" s="22"/>
      <c r="T434" s="25" t="str">
        <f aca="false">IF(S434="","",IFERROR(INDEX(Empleadores!$B$2:$B$601,MATCH(S434,Empleadores!$A$2:$A$601,0)),"No encontrado"))</f>
        <v/>
      </c>
      <c r="U434" s="25" t="str">
        <f aca="false">IF(C434="","",IF(V434="","No",IF(Config!$C$4-V434&lt;=Config!$C$15,"Sí","No")))</f>
        <v>No</v>
      </c>
      <c r="V434" s="23"/>
      <c r="W434" s="22"/>
      <c r="X434" s="22"/>
      <c r="Y434" s="22"/>
      <c r="Z434" s="27"/>
      <c r="AA434" s="22"/>
      <c r="AB434" s="22"/>
    </row>
    <row r="435" customFormat="false" ht="15" hidden="false" customHeight="false" outlineLevel="0" collapsed="false">
      <c r="A435" s="22" t="n">
        <v>434</v>
      </c>
      <c r="B435" s="22" t="s">
        <v>2000</v>
      </c>
      <c r="C435" s="22" t="s">
        <v>2001</v>
      </c>
      <c r="D435" s="22" t="s">
        <v>138</v>
      </c>
      <c r="E435" s="22" t="s">
        <v>139</v>
      </c>
      <c r="F435" s="22" t="s">
        <v>104</v>
      </c>
      <c r="G435" s="23" t="n">
        <v>45289</v>
      </c>
      <c r="H435" s="24" t="n">
        <f aca="false">IF(G435="","",ROUND((Config!$C$4-G435)/365.25,2))</f>
        <v>2.76</v>
      </c>
      <c r="I435" s="25" t="str">
        <f aca="false">IF(H435="","",IF(H435&lt;=1,"Tramo 1",IF(H435&lt;=3,"Tramo 2",IF(H435&lt;=5,"Tramo 3","Tramo 4"))))</f>
        <v>Tramo 2</v>
      </c>
      <c r="J435" s="22" t="s">
        <v>140</v>
      </c>
      <c r="K435" s="22"/>
      <c r="L435" s="22" t="s">
        <v>2002</v>
      </c>
      <c r="M435" s="26" t="s">
        <v>2003</v>
      </c>
      <c r="N435" s="22"/>
      <c r="O435" s="22" t="s">
        <v>63</v>
      </c>
      <c r="P435" s="25" t="str">
        <f aca="false">IF(OR(O435="",O435="Sin información"),"",IFERROR(INDEX(Listas!$B$2:$B$9,MATCH(O435,Listas!$A$2:$A$9,0)),""))</f>
        <v/>
      </c>
      <c r="Q435" s="25" t="str">
        <f aca="false">IF(OR(O435="",O435="Sin información"),"",IFERROR(INDEX(Listas!$C$2:$C$9,MATCH(O435,Listas!$A$2:$A$9,0)),""))</f>
        <v/>
      </c>
      <c r="R435" s="22"/>
      <c r="S435" s="22"/>
      <c r="T435" s="25" t="str">
        <f aca="false">IF(S435="","",IFERROR(INDEX(Empleadores!$B$2:$B$601,MATCH(S435,Empleadores!$A$2:$A$601,0)),"No encontrado"))</f>
        <v/>
      </c>
      <c r="U435" s="25" t="str">
        <f aca="false">IF(C435="","",IF(V435="","No",IF(Config!$C$4-V435&lt;=Config!$C$15,"Sí","No")))</f>
        <v>No</v>
      </c>
      <c r="V435" s="23"/>
      <c r="W435" s="22"/>
      <c r="X435" s="22"/>
      <c r="Y435" s="22"/>
      <c r="Z435" s="27"/>
      <c r="AA435" s="22"/>
      <c r="AB435" s="22"/>
    </row>
    <row r="436" customFormat="false" ht="15" hidden="false" customHeight="false" outlineLevel="0" collapsed="false">
      <c r="A436" s="22" t="n">
        <v>435</v>
      </c>
      <c r="B436" s="22" t="s">
        <v>2004</v>
      </c>
      <c r="C436" s="22" t="s">
        <v>2005</v>
      </c>
      <c r="D436" s="22" t="s">
        <v>138</v>
      </c>
      <c r="E436" s="22" t="s">
        <v>139</v>
      </c>
      <c r="F436" s="22" t="s">
        <v>104</v>
      </c>
      <c r="G436" s="23" t="n">
        <v>45289</v>
      </c>
      <c r="H436" s="24" t="n">
        <f aca="false">IF(G436="","",ROUND((Config!$C$4-G436)/365.25,2))</f>
        <v>2.76</v>
      </c>
      <c r="I436" s="25" t="str">
        <f aca="false">IF(H436="","",IF(H436&lt;=1,"Tramo 1",IF(H436&lt;=3,"Tramo 2",IF(H436&lt;=5,"Tramo 3","Tramo 4"))))</f>
        <v>Tramo 2</v>
      </c>
      <c r="J436" s="22" t="s">
        <v>140</v>
      </c>
      <c r="K436" s="22"/>
      <c r="L436" s="22" t="s">
        <v>2006</v>
      </c>
      <c r="M436" s="26" t="s">
        <v>2007</v>
      </c>
      <c r="N436" s="22"/>
      <c r="O436" s="22" t="s">
        <v>63</v>
      </c>
      <c r="P436" s="25" t="str">
        <f aca="false">IF(OR(O436="",O436="Sin información"),"",IFERROR(INDEX(Listas!$B$2:$B$9,MATCH(O436,Listas!$A$2:$A$9,0)),""))</f>
        <v/>
      </c>
      <c r="Q436" s="25" t="str">
        <f aca="false">IF(OR(O436="",O436="Sin información"),"",IFERROR(INDEX(Listas!$C$2:$C$9,MATCH(O436,Listas!$A$2:$A$9,0)),""))</f>
        <v/>
      </c>
      <c r="R436" s="22"/>
      <c r="S436" s="22"/>
      <c r="T436" s="25" t="str">
        <f aca="false">IF(S436="","",IFERROR(INDEX(Empleadores!$B$2:$B$601,MATCH(S436,Empleadores!$A$2:$A$601,0)),"No encontrado"))</f>
        <v/>
      </c>
      <c r="U436" s="25" t="str">
        <f aca="false">IF(C436="","",IF(V436="","No",IF(Config!$C$4-V436&lt;=Config!$C$15,"Sí","No")))</f>
        <v>No</v>
      </c>
      <c r="V436" s="23"/>
      <c r="W436" s="22"/>
      <c r="X436" s="22"/>
      <c r="Y436" s="22"/>
      <c r="Z436" s="27"/>
      <c r="AA436" s="22"/>
      <c r="AB436" s="22"/>
    </row>
    <row r="437" customFormat="false" ht="15" hidden="false" customHeight="false" outlineLevel="0" collapsed="false">
      <c r="A437" s="22" t="n">
        <v>436</v>
      </c>
      <c r="B437" s="22" t="s">
        <v>2008</v>
      </c>
      <c r="C437" s="22" t="s">
        <v>2009</v>
      </c>
      <c r="D437" s="22" t="s">
        <v>138</v>
      </c>
      <c r="E437" s="22" t="s">
        <v>139</v>
      </c>
      <c r="F437" s="22" t="s">
        <v>104</v>
      </c>
      <c r="G437" s="23" t="n">
        <v>45289</v>
      </c>
      <c r="H437" s="24" t="n">
        <f aca="false">IF(G437="","",ROUND((Config!$C$4-G437)/365.25,2))</f>
        <v>2.76</v>
      </c>
      <c r="I437" s="25" t="str">
        <f aca="false">IF(H437="","",IF(H437&lt;=1,"Tramo 1",IF(H437&lt;=3,"Tramo 2",IF(H437&lt;=5,"Tramo 3","Tramo 4"))))</f>
        <v>Tramo 2</v>
      </c>
      <c r="J437" s="22" t="s">
        <v>140</v>
      </c>
      <c r="K437" s="22"/>
      <c r="L437" s="22" t="s">
        <v>2010</v>
      </c>
      <c r="M437" s="26" t="s">
        <v>2011</v>
      </c>
      <c r="N437" s="22"/>
      <c r="O437" s="22" t="s">
        <v>63</v>
      </c>
      <c r="P437" s="25" t="str">
        <f aca="false">IF(OR(O437="",O437="Sin información"),"",IFERROR(INDEX(Listas!$B$2:$B$9,MATCH(O437,Listas!$A$2:$A$9,0)),""))</f>
        <v/>
      </c>
      <c r="Q437" s="25" t="str">
        <f aca="false">IF(OR(O437="",O437="Sin información"),"",IFERROR(INDEX(Listas!$C$2:$C$9,MATCH(O437,Listas!$A$2:$A$9,0)),""))</f>
        <v/>
      </c>
      <c r="R437" s="22"/>
      <c r="S437" s="22"/>
      <c r="T437" s="25" t="str">
        <f aca="false">IF(S437="","",IFERROR(INDEX(Empleadores!$B$2:$B$601,MATCH(S437,Empleadores!$A$2:$A$601,0)),"No encontrado"))</f>
        <v/>
      </c>
      <c r="U437" s="25" t="str">
        <f aca="false">IF(C437="","",IF(V437="","No",IF(Config!$C$4-V437&lt;=Config!$C$15,"Sí","No")))</f>
        <v>No</v>
      </c>
      <c r="V437" s="23"/>
      <c r="W437" s="22"/>
      <c r="X437" s="22"/>
      <c r="Y437" s="22"/>
      <c r="Z437" s="27"/>
      <c r="AA437" s="22"/>
      <c r="AB437" s="22"/>
    </row>
    <row r="438" customFormat="false" ht="15" hidden="false" customHeight="false" outlineLevel="0" collapsed="false">
      <c r="A438" s="22" t="n">
        <v>437</v>
      </c>
      <c r="B438" s="22" t="s">
        <v>2012</v>
      </c>
      <c r="C438" s="22" t="s">
        <v>2013</v>
      </c>
      <c r="D438" s="22" t="s">
        <v>138</v>
      </c>
      <c r="E438" s="22" t="s">
        <v>139</v>
      </c>
      <c r="F438" s="22" t="s">
        <v>104</v>
      </c>
      <c r="G438" s="23" t="n">
        <v>45289</v>
      </c>
      <c r="H438" s="24" t="n">
        <f aca="false">IF(G438="","",ROUND((Config!$C$4-G438)/365.25,2))</f>
        <v>2.76</v>
      </c>
      <c r="I438" s="25" t="str">
        <f aca="false">IF(H438="","",IF(H438&lt;=1,"Tramo 1",IF(H438&lt;=3,"Tramo 2",IF(H438&lt;=5,"Tramo 3","Tramo 4"))))</f>
        <v>Tramo 2</v>
      </c>
      <c r="J438" s="22" t="s">
        <v>140</v>
      </c>
      <c r="K438" s="22"/>
      <c r="L438" s="22" t="s">
        <v>2014</v>
      </c>
      <c r="M438" s="26" t="s">
        <v>2015</v>
      </c>
      <c r="N438" s="22"/>
      <c r="O438" s="22" t="s">
        <v>63</v>
      </c>
      <c r="P438" s="25" t="str">
        <f aca="false">IF(OR(O438="",O438="Sin información"),"",IFERROR(INDEX(Listas!$B$2:$B$9,MATCH(O438,Listas!$A$2:$A$9,0)),""))</f>
        <v/>
      </c>
      <c r="Q438" s="25" t="str">
        <f aca="false">IF(OR(O438="",O438="Sin información"),"",IFERROR(INDEX(Listas!$C$2:$C$9,MATCH(O438,Listas!$A$2:$A$9,0)),""))</f>
        <v/>
      </c>
      <c r="R438" s="22"/>
      <c r="S438" s="22"/>
      <c r="T438" s="25" t="str">
        <f aca="false">IF(S438="","",IFERROR(INDEX(Empleadores!$B$2:$B$601,MATCH(S438,Empleadores!$A$2:$A$601,0)),"No encontrado"))</f>
        <v/>
      </c>
      <c r="U438" s="25" t="str">
        <f aca="false">IF(C438="","",IF(V438="","No",IF(Config!$C$4-V438&lt;=Config!$C$15,"Sí","No")))</f>
        <v>No</v>
      </c>
      <c r="V438" s="23"/>
      <c r="W438" s="22"/>
      <c r="X438" s="22"/>
      <c r="Y438" s="22"/>
      <c r="Z438" s="27"/>
      <c r="AA438" s="22"/>
      <c r="AB438" s="22"/>
    </row>
    <row r="439" customFormat="false" ht="15" hidden="false" customHeight="false" outlineLevel="0" collapsed="false">
      <c r="A439" s="22" t="n">
        <v>438</v>
      </c>
      <c r="B439" s="22" t="s">
        <v>2016</v>
      </c>
      <c r="C439" s="22" t="s">
        <v>2017</v>
      </c>
      <c r="D439" s="22" t="s">
        <v>138</v>
      </c>
      <c r="E439" s="22" t="s">
        <v>139</v>
      </c>
      <c r="F439" s="22" t="s">
        <v>104</v>
      </c>
      <c r="G439" s="23" t="n">
        <v>45289</v>
      </c>
      <c r="H439" s="24" t="n">
        <f aca="false">IF(G439="","",ROUND((Config!$C$4-G439)/365.25,2))</f>
        <v>2.76</v>
      </c>
      <c r="I439" s="25" t="str">
        <f aca="false">IF(H439="","",IF(H439&lt;=1,"Tramo 1",IF(H439&lt;=3,"Tramo 2",IF(H439&lt;=5,"Tramo 3","Tramo 4"))))</f>
        <v>Tramo 2</v>
      </c>
      <c r="J439" s="22" t="s">
        <v>140</v>
      </c>
      <c r="K439" s="22"/>
      <c r="L439" s="22" t="s">
        <v>2018</v>
      </c>
      <c r="M439" s="26" t="s">
        <v>2019</v>
      </c>
      <c r="N439" s="22"/>
      <c r="O439" s="22" t="s">
        <v>63</v>
      </c>
      <c r="P439" s="25" t="str">
        <f aca="false">IF(OR(O439="",O439="Sin información"),"",IFERROR(INDEX(Listas!$B$2:$B$9,MATCH(O439,Listas!$A$2:$A$9,0)),""))</f>
        <v/>
      </c>
      <c r="Q439" s="25" t="str">
        <f aca="false">IF(OR(O439="",O439="Sin información"),"",IFERROR(INDEX(Listas!$C$2:$C$9,MATCH(O439,Listas!$A$2:$A$9,0)),""))</f>
        <v/>
      </c>
      <c r="R439" s="22"/>
      <c r="S439" s="22"/>
      <c r="T439" s="25" t="str">
        <f aca="false">IF(S439="","",IFERROR(INDEX(Empleadores!$B$2:$B$601,MATCH(S439,Empleadores!$A$2:$A$601,0)),"No encontrado"))</f>
        <v/>
      </c>
      <c r="U439" s="25" t="str">
        <f aca="false">IF(C439="","",IF(V439="","No",IF(Config!$C$4-V439&lt;=Config!$C$15,"Sí","No")))</f>
        <v>No</v>
      </c>
      <c r="V439" s="23"/>
      <c r="W439" s="22"/>
      <c r="X439" s="22"/>
      <c r="Y439" s="22"/>
      <c r="Z439" s="27"/>
      <c r="AA439" s="22"/>
      <c r="AB439" s="22"/>
    </row>
    <row r="440" customFormat="false" ht="15" hidden="false" customHeight="false" outlineLevel="0" collapsed="false">
      <c r="A440" s="22" t="n">
        <v>439</v>
      </c>
      <c r="B440" s="22" t="s">
        <v>2020</v>
      </c>
      <c r="C440" s="22" t="s">
        <v>2021</v>
      </c>
      <c r="D440" s="22" t="s">
        <v>149</v>
      </c>
      <c r="E440" s="22" t="s">
        <v>139</v>
      </c>
      <c r="F440" s="22" t="s">
        <v>104</v>
      </c>
      <c r="G440" s="23" t="n">
        <v>45289</v>
      </c>
      <c r="H440" s="24" t="n">
        <f aca="false">IF(G440="","",ROUND((Config!$C$4-G440)/365.25,2))</f>
        <v>2.76</v>
      </c>
      <c r="I440" s="25" t="str">
        <f aca="false">IF(H440="","",IF(H440&lt;=1,"Tramo 1",IF(H440&lt;=3,"Tramo 2",IF(H440&lt;=5,"Tramo 3","Tramo 4"))))</f>
        <v>Tramo 2</v>
      </c>
      <c r="J440" s="22" t="s">
        <v>140</v>
      </c>
      <c r="K440" s="22"/>
      <c r="L440" s="22" t="s">
        <v>2022</v>
      </c>
      <c r="M440" s="26" t="s">
        <v>2023</v>
      </c>
      <c r="N440" s="22"/>
      <c r="O440" s="22" t="s">
        <v>63</v>
      </c>
      <c r="P440" s="25" t="str">
        <f aca="false">IF(OR(O440="",O440="Sin información"),"",IFERROR(INDEX(Listas!$B$2:$B$9,MATCH(O440,Listas!$A$2:$A$9,0)),""))</f>
        <v/>
      </c>
      <c r="Q440" s="25" t="str">
        <f aca="false">IF(OR(O440="",O440="Sin información"),"",IFERROR(INDEX(Listas!$C$2:$C$9,MATCH(O440,Listas!$A$2:$A$9,0)),""))</f>
        <v/>
      </c>
      <c r="R440" s="22"/>
      <c r="S440" s="22"/>
      <c r="T440" s="25" t="str">
        <f aca="false">IF(S440="","",IFERROR(INDEX(Empleadores!$B$2:$B$601,MATCH(S440,Empleadores!$A$2:$A$601,0)),"No encontrado"))</f>
        <v/>
      </c>
      <c r="U440" s="25" t="str">
        <f aca="false">IF(C440="","",IF(V440="","No",IF(Config!$C$4-V440&lt;=Config!$C$15,"Sí","No")))</f>
        <v>No</v>
      </c>
      <c r="V440" s="23"/>
      <c r="W440" s="22"/>
      <c r="X440" s="22"/>
      <c r="Y440" s="22"/>
      <c r="Z440" s="27"/>
      <c r="AA440" s="22"/>
      <c r="AB440" s="22"/>
    </row>
    <row r="441" customFormat="false" ht="15" hidden="false" customHeight="false" outlineLevel="0" collapsed="false">
      <c r="A441" s="22" t="n">
        <v>440</v>
      </c>
      <c r="B441" s="22" t="s">
        <v>2024</v>
      </c>
      <c r="C441" s="22" t="s">
        <v>2025</v>
      </c>
      <c r="D441" s="22" t="s">
        <v>149</v>
      </c>
      <c r="E441" s="22" t="s">
        <v>139</v>
      </c>
      <c r="F441" s="22" t="s">
        <v>104</v>
      </c>
      <c r="G441" s="23" t="n">
        <v>45289</v>
      </c>
      <c r="H441" s="24" t="n">
        <f aca="false">IF(G441="","",ROUND((Config!$C$4-G441)/365.25,2))</f>
        <v>2.76</v>
      </c>
      <c r="I441" s="25" t="str">
        <f aca="false">IF(H441="","",IF(H441&lt;=1,"Tramo 1",IF(H441&lt;=3,"Tramo 2",IF(H441&lt;=5,"Tramo 3","Tramo 4"))))</f>
        <v>Tramo 2</v>
      </c>
      <c r="J441" s="22" t="s">
        <v>140</v>
      </c>
      <c r="K441" s="22"/>
      <c r="L441" s="22" t="s">
        <v>2026</v>
      </c>
      <c r="M441" s="26" t="s">
        <v>2027</v>
      </c>
      <c r="N441" s="22"/>
      <c r="O441" s="22" t="s">
        <v>63</v>
      </c>
      <c r="P441" s="25" t="str">
        <f aca="false">IF(OR(O441="",O441="Sin información"),"",IFERROR(INDEX(Listas!$B$2:$B$9,MATCH(O441,Listas!$A$2:$A$9,0)),""))</f>
        <v/>
      </c>
      <c r="Q441" s="25" t="str">
        <f aca="false">IF(OR(O441="",O441="Sin información"),"",IFERROR(INDEX(Listas!$C$2:$C$9,MATCH(O441,Listas!$A$2:$A$9,0)),""))</f>
        <v/>
      </c>
      <c r="R441" s="22"/>
      <c r="S441" s="22"/>
      <c r="T441" s="25" t="str">
        <f aca="false">IF(S441="","",IFERROR(INDEX(Empleadores!$B$2:$B$601,MATCH(S441,Empleadores!$A$2:$A$601,0)),"No encontrado"))</f>
        <v/>
      </c>
      <c r="U441" s="25" t="str">
        <f aca="false">IF(C441="","",IF(V441="","No",IF(Config!$C$4-V441&lt;=Config!$C$15,"Sí","No")))</f>
        <v>No</v>
      </c>
      <c r="V441" s="23"/>
      <c r="W441" s="22"/>
      <c r="X441" s="22"/>
      <c r="Y441" s="22"/>
      <c r="Z441" s="27"/>
      <c r="AA441" s="22"/>
      <c r="AB441" s="22"/>
    </row>
    <row r="442" customFormat="false" ht="15" hidden="false" customHeight="false" outlineLevel="0" collapsed="false">
      <c r="A442" s="22" t="n">
        <v>441</v>
      </c>
      <c r="B442" s="22" t="s">
        <v>2028</v>
      </c>
      <c r="C442" s="22" t="s">
        <v>2029</v>
      </c>
      <c r="D442" s="22" t="s">
        <v>149</v>
      </c>
      <c r="E442" s="22" t="s">
        <v>139</v>
      </c>
      <c r="F442" s="22" t="s">
        <v>104</v>
      </c>
      <c r="G442" s="23" t="n">
        <v>45289</v>
      </c>
      <c r="H442" s="24" t="n">
        <f aca="false">IF(G442="","",ROUND((Config!$C$4-G442)/365.25,2))</f>
        <v>2.76</v>
      </c>
      <c r="I442" s="25" t="str">
        <f aca="false">IF(H442="","",IF(H442&lt;=1,"Tramo 1",IF(H442&lt;=3,"Tramo 2",IF(H442&lt;=5,"Tramo 3","Tramo 4"))))</f>
        <v>Tramo 2</v>
      </c>
      <c r="J442" s="22" t="s">
        <v>140</v>
      </c>
      <c r="K442" s="22"/>
      <c r="L442" s="22" t="s">
        <v>2030</v>
      </c>
      <c r="M442" s="26" t="s">
        <v>2031</v>
      </c>
      <c r="N442" s="22"/>
      <c r="O442" s="22" t="s">
        <v>63</v>
      </c>
      <c r="P442" s="25" t="str">
        <f aca="false">IF(OR(O442="",O442="Sin información"),"",IFERROR(INDEX(Listas!$B$2:$B$9,MATCH(O442,Listas!$A$2:$A$9,0)),""))</f>
        <v/>
      </c>
      <c r="Q442" s="25" t="str">
        <f aca="false">IF(OR(O442="",O442="Sin información"),"",IFERROR(INDEX(Listas!$C$2:$C$9,MATCH(O442,Listas!$A$2:$A$9,0)),""))</f>
        <v/>
      </c>
      <c r="R442" s="22"/>
      <c r="S442" s="22"/>
      <c r="T442" s="25" t="str">
        <f aca="false">IF(S442="","",IFERROR(INDEX(Empleadores!$B$2:$B$601,MATCH(S442,Empleadores!$A$2:$A$601,0)),"No encontrado"))</f>
        <v/>
      </c>
      <c r="U442" s="25" t="str">
        <f aca="false">IF(C442="","",IF(V442="","No",IF(Config!$C$4-V442&lt;=Config!$C$15,"Sí","No")))</f>
        <v>No</v>
      </c>
      <c r="V442" s="23"/>
      <c r="W442" s="22"/>
      <c r="X442" s="22"/>
      <c r="Y442" s="22"/>
      <c r="Z442" s="27"/>
      <c r="AA442" s="22"/>
      <c r="AB442" s="22"/>
    </row>
    <row r="443" customFormat="false" ht="15" hidden="false" customHeight="false" outlineLevel="0" collapsed="false">
      <c r="A443" s="22" t="n">
        <v>442</v>
      </c>
      <c r="B443" s="22" t="s">
        <v>2032</v>
      </c>
      <c r="C443" s="22" t="s">
        <v>2033</v>
      </c>
      <c r="D443" s="22" t="s">
        <v>138</v>
      </c>
      <c r="E443" s="22" t="s">
        <v>139</v>
      </c>
      <c r="F443" s="22" t="s">
        <v>104</v>
      </c>
      <c r="G443" s="23" t="n">
        <v>45289</v>
      </c>
      <c r="H443" s="24" t="n">
        <f aca="false">IF(G443="","",ROUND((Config!$C$4-G443)/365.25,2))</f>
        <v>2.76</v>
      </c>
      <c r="I443" s="25" t="str">
        <f aca="false">IF(H443="","",IF(H443&lt;=1,"Tramo 1",IF(H443&lt;=3,"Tramo 2",IF(H443&lt;=5,"Tramo 3","Tramo 4"))))</f>
        <v>Tramo 2</v>
      </c>
      <c r="J443" s="22" t="s">
        <v>140</v>
      </c>
      <c r="K443" s="22"/>
      <c r="L443" s="22" t="s">
        <v>2034</v>
      </c>
      <c r="M443" s="26" t="s">
        <v>2035</v>
      </c>
      <c r="N443" s="22"/>
      <c r="O443" s="22" t="s">
        <v>63</v>
      </c>
      <c r="P443" s="25" t="str">
        <f aca="false">IF(OR(O443="",O443="Sin información"),"",IFERROR(INDEX(Listas!$B$2:$B$9,MATCH(O443,Listas!$A$2:$A$9,0)),""))</f>
        <v/>
      </c>
      <c r="Q443" s="25" t="str">
        <f aca="false">IF(OR(O443="",O443="Sin información"),"",IFERROR(INDEX(Listas!$C$2:$C$9,MATCH(O443,Listas!$A$2:$A$9,0)),""))</f>
        <v/>
      </c>
      <c r="R443" s="22"/>
      <c r="S443" s="22"/>
      <c r="T443" s="25" t="str">
        <f aca="false">IF(S443="","",IFERROR(INDEX(Empleadores!$B$2:$B$601,MATCH(S443,Empleadores!$A$2:$A$601,0)),"No encontrado"))</f>
        <v/>
      </c>
      <c r="U443" s="25" t="str">
        <f aca="false">IF(C443="","",IF(V443="","No",IF(Config!$C$4-V443&lt;=Config!$C$15,"Sí","No")))</f>
        <v>No</v>
      </c>
      <c r="V443" s="23"/>
      <c r="W443" s="22"/>
      <c r="X443" s="22"/>
      <c r="Y443" s="22"/>
      <c r="Z443" s="27"/>
      <c r="AA443" s="22"/>
      <c r="AB443" s="22"/>
    </row>
    <row r="444" customFormat="false" ht="15" hidden="false" customHeight="false" outlineLevel="0" collapsed="false">
      <c r="A444" s="22" t="n">
        <v>443</v>
      </c>
      <c r="B444" s="22" t="s">
        <v>2036</v>
      </c>
      <c r="C444" s="22" t="s">
        <v>2037</v>
      </c>
      <c r="D444" s="22" t="s">
        <v>149</v>
      </c>
      <c r="E444" s="22" t="s">
        <v>139</v>
      </c>
      <c r="F444" s="22" t="s">
        <v>104</v>
      </c>
      <c r="G444" s="23" t="n">
        <v>45289</v>
      </c>
      <c r="H444" s="24" t="n">
        <f aca="false">IF(G444="","",ROUND((Config!$C$4-G444)/365.25,2))</f>
        <v>2.76</v>
      </c>
      <c r="I444" s="25" t="str">
        <f aca="false">IF(H444="","",IF(H444&lt;=1,"Tramo 1",IF(H444&lt;=3,"Tramo 2",IF(H444&lt;=5,"Tramo 3","Tramo 4"))))</f>
        <v>Tramo 2</v>
      </c>
      <c r="J444" s="22" t="s">
        <v>140</v>
      </c>
      <c r="K444" s="22"/>
      <c r="L444" s="22" t="s">
        <v>2038</v>
      </c>
      <c r="M444" s="26" t="s">
        <v>2039</v>
      </c>
      <c r="N444" s="22"/>
      <c r="O444" s="22" t="s">
        <v>63</v>
      </c>
      <c r="P444" s="25" t="str">
        <f aca="false">IF(OR(O444="",O444="Sin información"),"",IFERROR(INDEX(Listas!$B$2:$B$9,MATCH(O444,Listas!$A$2:$A$9,0)),""))</f>
        <v/>
      </c>
      <c r="Q444" s="25" t="str">
        <f aca="false">IF(OR(O444="",O444="Sin información"),"",IFERROR(INDEX(Listas!$C$2:$C$9,MATCH(O444,Listas!$A$2:$A$9,0)),""))</f>
        <v/>
      </c>
      <c r="R444" s="22"/>
      <c r="S444" s="22"/>
      <c r="T444" s="25" t="str">
        <f aca="false">IF(S444="","",IFERROR(INDEX(Empleadores!$B$2:$B$601,MATCH(S444,Empleadores!$A$2:$A$601,0)),"No encontrado"))</f>
        <v/>
      </c>
      <c r="U444" s="25" t="str">
        <f aca="false">IF(C444="","",IF(V444="","No",IF(Config!$C$4-V444&lt;=Config!$C$15,"Sí","No")))</f>
        <v>No</v>
      </c>
      <c r="V444" s="23"/>
      <c r="W444" s="22"/>
      <c r="X444" s="22"/>
      <c r="Y444" s="22"/>
      <c r="Z444" s="27"/>
      <c r="AA444" s="22" t="s">
        <v>2040</v>
      </c>
      <c r="AB444" s="22" t="s">
        <v>1691</v>
      </c>
    </row>
    <row r="445" customFormat="false" ht="15" hidden="false" customHeight="false" outlineLevel="0" collapsed="false">
      <c r="A445" s="22" t="n">
        <v>444</v>
      </c>
      <c r="B445" s="22" t="s">
        <v>2041</v>
      </c>
      <c r="C445" s="22" t="s">
        <v>2042</v>
      </c>
      <c r="D445" s="22" t="s">
        <v>149</v>
      </c>
      <c r="E445" s="22" t="s">
        <v>139</v>
      </c>
      <c r="F445" s="22" t="s">
        <v>104</v>
      </c>
      <c r="G445" s="23" t="n">
        <v>45289</v>
      </c>
      <c r="H445" s="24" t="n">
        <f aca="false">IF(G445="","",ROUND((Config!$C$4-G445)/365.25,2))</f>
        <v>2.76</v>
      </c>
      <c r="I445" s="25" t="str">
        <f aca="false">IF(H445="","",IF(H445&lt;=1,"Tramo 1",IF(H445&lt;=3,"Tramo 2",IF(H445&lt;=5,"Tramo 3","Tramo 4"))))</f>
        <v>Tramo 2</v>
      </c>
      <c r="J445" s="22" t="s">
        <v>140</v>
      </c>
      <c r="K445" s="22"/>
      <c r="L445" s="22" t="s">
        <v>2043</v>
      </c>
      <c r="M445" s="26" t="s">
        <v>2044</v>
      </c>
      <c r="N445" s="22"/>
      <c r="O445" s="22" t="s">
        <v>63</v>
      </c>
      <c r="P445" s="25" t="str">
        <f aca="false">IF(OR(O445="",O445="Sin información"),"",IFERROR(INDEX(Listas!$B$2:$B$9,MATCH(O445,Listas!$A$2:$A$9,0)),""))</f>
        <v/>
      </c>
      <c r="Q445" s="25" t="str">
        <f aca="false">IF(OR(O445="",O445="Sin información"),"",IFERROR(INDEX(Listas!$C$2:$C$9,MATCH(O445,Listas!$A$2:$A$9,0)),""))</f>
        <v/>
      </c>
      <c r="R445" s="22"/>
      <c r="S445" s="22"/>
      <c r="T445" s="25" t="str">
        <f aca="false">IF(S445="","",IFERROR(INDEX(Empleadores!$B$2:$B$601,MATCH(S445,Empleadores!$A$2:$A$601,0)),"No encontrado"))</f>
        <v/>
      </c>
      <c r="U445" s="25" t="str">
        <f aca="false">IF(C445="","",IF(V445="","No",IF(Config!$C$4-V445&lt;=Config!$C$15,"Sí","No")))</f>
        <v>No</v>
      </c>
      <c r="V445" s="23"/>
      <c r="W445" s="22"/>
      <c r="X445" s="22"/>
      <c r="Y445" s="22"/>
      <c r="Z445" s="27"/>
      <c r="AA445" s="22"/>
      <c r="AB445" s="22"/>
    </row>
    <row r="446" customFormat="false" ht="15" hidden="false" customHeight="false" outlineLevel="0" collapsed="false">
      <c r="A446" s="22" t="n">
        <v>445</v>
      </c>
      <c r="B446" s="22" t="s">
        <v>2045</v>
      </c>
      <c r="C446" s="22" t="s">
        <v>2046</v>
      </c>
      <c r="D446" s="22" t="s">
        <v>149</v>
      </c>
      <c r="E446" s="22" t="s">
        <v>139</v>
      </c>
      <c r="F446" s="22" t="s">
        <v>104</v>
      </c>
      <c r="G446" s="23" t="n">
        <v>45289</v>
      </c>
      <c r="H446" s="24" t="n">
        <f aca="false">IF(G446="","",ROUND((Config!$C$4-G446)/365.25,2))</f>
        <v>2.76</v>
      </c>
      <c r="I446" s="25" t="str">
        <f aca="false">IF(H446="","",IF(H446&lt;=1,"Tramo 1",IF(H446&lt;=3,"Tramo 2",IF(H446&lt;=5,"Tramo 3","Tramo 4"))))</f>
        <v>Tramo 2</v>
      </c>
      <c r="J446" s="22" t="s">
        <v>140</v>
      </c>
      <c r="K446" s="22"/>
      <c r="L446" s="22" t="s">
        <v>2047</v>
      </c>
      <c r="M446" s="26" t="s">
        <v>2048</v>
      </c>
      <c r="N446" s="22"/>
      <c r="O446" s="22" t="s">
        <v>63</v>
      </c>
      <c r="P446" s="25" t="str">
        <f aca="false">IF(OR(O446="",O446="Sin información"),"",IFERROR(INDEX(Listas!$B$2:$B$9,MATCH(O446,Listas!$A$2:$A$9,0)),""))</f>
        <v/>
      </c>
      <c r="Q446" s="25" t="str">
        <f aca="false">IF(OR(O446="",O446="Sin información"),"",IFERROR(INDEX(Listas!$C$2:$C$9,MATCH(O446,Listas!$A$2:$A$9,0)),""))</f>
        <v/>
      </c>
      <c r="R446" s="22"/>
      <c r="S446" s="22"/>
      <c r="T446" s="25" t="str">
        <f aca="false">IF(S446="","",IFERROR(INDEX(Empleadores!$B$2:$B$601,MATCH(S446,Empleadores!$A$2:$A$601,0)),"No encontrado"))</f>
        <v/>
      </c>
      <c r="U446" s="25" t="str">
        <f aca="false">IF(C446="","",IF(V446="","No",IF(Config!$C$4-V446&lt;=Config!$C$15,"Sí","No")))</f>
        <v>No</v>
      </c>
      <c r="V446" s="23"/>
      <c r="W446" s="22"/>
      <c r="X446" s="22"/>
      <c r="Y446" s="22"/>
      <c r="Z446" s="27"/>
      <c r="AA446" s="22" t="s">
        <v>2049</v>
      </c>
      <c r="AB446" s="22" t="s">
        <v>1691</v>
      </c>
    </row>
    <row r="447" customFormat="false" ht="15" hidden="false" customHeight="false" outlineLevel="0" collapsed="false">
      <c r="A447" s="22" t="n">
        <v>446</v>
      </c>
      <c r="B447" s="22" t="s">
        <v>2050</v>
      </c>
      <c r="C447" s="22" t="s">
        <v>2051</v>
      </c>
      <c r="D447" s="22" t="s">
        <v>149</v>
      </c>
      <c r="E447" s="22" t="s">
        <v>139</v>
      </c>
      <c r="F447" s="22" t="s">
        <v>104</v>
      </c>
      <c r="G447" s="23" t="n">
        <v>45289</v>
      </c>
      <c r="H447" s="24" t="n">
        <f aca="false">IF(G447="","",ROUND((Config!$C$4-G447)/365.25,2))</f>
        <v>2.76</v>
      </c>
      <c r="I447" s="25" t="str">
        <f aca="false">IF(H447="","",IF(H447&lt;=1,"Tramo 1",IF(H447&lt;=3,"Tramo 2",IF(H447&lt;=5,"Tramo 3","Tramo 4"))))</f>
        <v>Tramo 2</v>
      </c>
      <c r="J447" s="22" t="s">
        <v>140</v>
      </c>
      <c r="K447" s="22"/>
      <c r="L447" s="22" t="s">
        <v>2052</v>
      </c>
      <c r="M447" s="26" t="s">
        <v>2053</v>
      </c>
      <c r="N447" s="22"/>
      <c r="O447" s="22" t="s">
        <v>63</v>
      </c>
      <c r="P447" s="25" t="str">
        <f aca="false">IF(OR(O447="",O447="Sin información"),"",IFERROR(INDEX(Listas!$B$2:$B$9,MATCH(O447,Listas!$A$2:$A$9,0)),""))</f>
        <v/>
      </c>
      <c r="Q447" s="25" t="str">
        <f aca="false">IF(OR(O447="",O447="Sin información"),"",IFERROR(INDEX(Listas!$C$2:$C$9,MATCH(O447,Listas!$A$2:$A$9,0)),""))</f>
        <v/>
      </c>
      <c r="R447" s="22"/>
      <c r="S447" s="22"/>
      <c r="T447" s="25" t="str">
        <f aca="false">IF(S447="","",IFERROR(INDEX(Empleadores!$B$2:$B$601,MATCH(S447,Empleadores!$A$2:$A$601,0)),"No encontrado"))</f>
        <v/>
      </c>
      <c r="U447" s="25" t="str">
        <f aca="false">IF(C447="","",IF(V447="","No",IF(Config!$C$4-V447&lt;=Config!$C$15,"Sí","No")))</f>
        <v>No</v>
      </c>
      <c r="V447" s="23"/>
      <c r="W447" s="22"/>
      <c r="X447" s="22"/>
      <c r="Y447" s="22"/>
      <c r="Z447" s="27"/>
      <c r="AA447" s="22"/>
      <c r="AB447" s="22"/>
    </row>
    <row r="448" customFormat="false" ht="15" hidden="false" customHeight="false" outlineLevel="0" collapsed="false">
      <c r="A448" s="22" t="n">
        <v>447</v>
      </c>
      <c r="B448" s="22" t="s">
        <v>2054</v>
      </c>
      <c r="C448" s="22" t="s">
        <v>2055</v>
      </c>
      <c r="D448" s="22" t="s">
        <v>149</v>
      </c>
      <c r="E448" s="22" t="s">
        <v>139</v>
      </c>
      <c r="F448" s="22" t="s">
        <v>104</v>
      </c>
      <c r="G448" s="23" t="n">
        <v>45289</v>
      </c>
      <c r="H448" s="24" t="n">
        <f aca="false">IF(G448="","",ROUND((Config!$C$4-G448)/365.25,2))</f>
        <v>2.76</v>
      </c>
      <c r="I448" s="25" t="str">
        <f aca="false">IF(H448="","",IF(H448&lt;=1,"Tramo 1",IF(H448&lt;=3,"Tramo 2",IF(H448&lt;=5,"Tramo 3","Tramo 4"))))</f>
        <v>Tramo 2</v>
      </c>
      <c r="J448" s="22" t="s">
        <v>140</v>
      </c>
      <c r="K448" s="22"/>
      <c r="L448" s="22" t="s">
        <v>2056</v>
      </c>
      <c r="M448" s="26" t="s">
        <v>2057</v>
      </c>
      <c r="N448" s="22"/>
      <c r="O448" s="22" t="s">
        <v>63</v>
      </c>
      <c r="P448" s="25" t="str">
        <f aca="false">IF(OR(O448="",O448="Sin información"),"",IFERROR(INDEX(Listas!$B$2:$B$9,MATCH(O448,Listas!$A$2:$A$9,0)),""))</f>
        <v/>
      </c>
      <c r="Q448" s="25" t="str">
        <f aca="false">IF(OR(O448="",O448="Sin información"),"",IFERROR(INDEX(Listas!$C$2:$C$9,MATCH(O448,Listas!$A$2:$A$9,0)),""))</f>
        <v/>
      </c>
      <c r="R448" s="22"/>
      <c r="S448" s="22"/>
      <c r="T448" s="25" t="str">
        <f aca="false">IF(S448="","",IFERROR(INDEX(Empleadores!$B$2:$B$601,MATCH(S448,Empleadores!$A$2:$A$601,0)),"No encontrado"))</f>
        <v/>
      </c>
      <c r="U448" s="25" t="str">
        <f aca="false">IF(C448="","",IF(V448="","No",IF(Config!$C$4-V448&lt;=Config!$C$15,"Sí","No")))</f>
        <v>No</v>
      </c>
      <c r="V448" s="23"/>
      <c r="W448" s="22"/>
      <c r="X448" s="22"/>
      <c r="Y448" s="22"/>
      <c r="Z448" s="27"/>
      <c r="AA448" s="22"/>
      <c r="AB448" s="22"/>
    </row>
    <row r="449" customFormat="false" ht="15" hidden="false" customHeight="false" outlineLevel="0" collapsed="false">
      <c r="A449" s="22" t="n">
        <v>448</v>
      </c>
      <c r="B449" s="22" t="s">
        <v>2058</v>
      </c>
      <c r="C449" s="22" t="s">
        <v>2059</v>
      </c>
      <c r="D449" s="22" t="s">
        <v>138</v>
      </c>
      <c r="E449" s="22" t="s">
        <v>139</v>
      </c>
      <c r="F449" s="22" t="s">
        <v>104</v>
      </c>
      <c r="G449" s="23" t="n">
        <v>45289</v>
      </c>
      <c r="H449" s="24" t="n">
        <f aca="false">IF(G449="","",ROUND((Config!$C$4-G449)/365.25,2))</f>
        <v>2.76</v>
      </c>
      <c r="I449" s="25" t="str">
        <f aca="false">IF(H449="","",IF(H449&lt;=1,"Tramo 1",IF(H449&lt;=3,"Tramo 2",IF(H449&lt;=5,"Tramo 3","Tramo 4"))))</f>
        <v>Tramo 2</v>
      </c>
      <c r="J449" s="22" t="s">
        <v>140</v>
      </c>
      <c r="K449" s="22"/>
      <c r="L449" s="22" t="s">
        <v>2060</v>
      </c>
      <c r="M449" s="26" t="s">
        <v>2061</v>
      </c>
      <c r="N449" s="22"/>
      <c r="O449" s="22" t="s">
        <v>63</v>
      </c>
      <c r="P449" s="25" t="str">
        <f aca="false">IF(OR(O449="",O449="Sin información"),"",IFERROR(INDEX(Listas!$B$2:$B$9,MATCH(O449,Listas!$A$2:$A$9,0)),""))</f>
        <v/>
      </c>
      <c r="Q449" s="25" t="str">
        <f aca="false">IF(OR(O449="",O449="Sin información"),"",IFERROR(INDEX(Listas!$C$2:$C$9,MATCH(O449,Listas!$A$2:$A$9,0)),""))</f>
        <v/>
      </c>
      <c r="R449" s="22"/>
      <c r="S449" s="22"/>
      <c r="T449" s="25" t="str">
        <f aca="false">IF(S449="","",IFERROR(INDEX(Empleadores!$B$2:$B$601,MATCH(S449,Empleadores!$A$2:$A$601,0)),"No encontrado"))</f>
        <v/>
      </c>
      <c r="U449" s="25" t="str">
        <f aca="false">IF(C449="","",IF(V449="","No",IF(Config!$C$4-V449&lt;=Config!$C$15,"Sí","No")))</f>
        <v>No</v>
      </c>
      <c r="V449" s="23"/>
      <c r="W449" s="22"/>
      <c r="X449" s="22"/>
      <c r="Y449" s="22"/>
      <c r="Z449" s="27"/>
      <c r="AA449" s="22"/>
      <c r="AB449" s="22"/>
    </row>
    <row r="450" customFormat="false" ht="15" hidden="false" customHeight="false" outlineLevel="0" collapsed="false">
      <c r="A450" s="22" t="n">
        <v>449</v>
      </c>
      <c r="B450" s="22" t="s">
        <v>2062</v>
      </c>
      <c r="C450" s="22" t="s">
        <v>2063</v>
      </c>
      <c r="D450" s="22" t="s">
        <v>138</v>
      </c>
      <c r="E450" s="22" t="s">
        <v>139</v>
      </c>
      <c r="F450" s="22" t="s">
        <v>104</v>
      </c>
      <c r="G450" s="23" t="n">
        <v>45289</v>
      </c>
      <c r="H450" s="24" t="n">
        <f aca="false">IF(G450="","",ROUND((Config!$C$4-G450)/365.25,2))</f>
        <v>2.76</v>
      </c>
      <c r="I450" s="25" t="str">
        <f aca="false">IF(H450="","",IF(H450&lt;=1,"Tramo 1",IF(H450&lt;=3,"Tramo 2",IF(H450&lt;=5,"Tramo 3","Tramo 4"))))</f>
        <v>Tramo 2</v>
      </c>
      <c r="J450" s="22" t="s">
        <v>140</v>
      </c>
      <c r="K450" s="22"/>
      <c r="L450" s="22" t="s">
        <v>2064</v>
      </c>
      <c r="M450" s="26" t="s">
        <v>2065</v>
      </c>
      <c r="N450" s="22"/>
      <c r="O450" s="22" t="s">
        <v>63</v>
      </c>
      <c r="P450" s="25" t="str">
        <f aca="false">IF(OR(O450="",O450="Sin información"),"",IFERROR(INDEX(Listas!$B$2:$B$9,MATCH(O450,Listas!$A$2:$A$9,0)),""))</f>
        <v/>
      </c>
      <c r="Q450" s="25" t="str">
        <f aca="false">IF(OR(O450="",O450="Sin información"),"",IFERROR(INDEX(Listas!$C$2:$C$9,MATCH(O450,Listas!$A$2:$A$9,0)),""))</f>
        <v/>
      </c>
      <c r="R450" s="22"/>
      <c r="S450" s="22"/>
      <c r="T450" s="25" t="str">
        <f aca="false">IF(S450="","",IFERROR(INDEX(Empleadores!$B$2:$B$601,MATCH(S450,Empleadores!$A$2:$A$601,0)),"No encontrado"))</f>
        <v/>
      </c>
      <c r="U450" s="25" t="str">
        <f aca="false">IF(C450="","",IF(V450="","No",IF(Config!$C$4-V450&lt;=Config!$C$15,"Sí","No")))</f>
        <v>No</v>
      </c>
      <c r="V450" s="23"/>
      <c r="W450" s="22"/>
      <c r="X450" s="22"/>
      <c r="Y450" s="22"/>
      <c r="Z450" s="27"/>
      <c r="AA450" s="22"/>
      <c r="AB450" s="22"/>
    </row>
    <row r="451" customFormat="false" ht="15" hidden="false" customHeight="false" outlineLevel="0" collapsed="false">
      <c r="A451" s="22" t="n">
        <v>450</v>
      </c>
      <c r="B451" s="22" t="s">
        <v>2066</v>
      </c>
      <c r="C451" s="22" t="s">
        <v>2067</v>
      </c>
      <c r="D451" s="22" t="s">
        <v>138</v>
      </c>
      <c r="E451" s="22" t="s">
        <v>139</v>
      </c>
      <c r="F451" s="22" t="s">
        <v>104</v>
      </c>
      <c r="G451" s="23" t="n">
        <v>45289</v>
      </c>
      <c r="H451" s="24" t="n">
        <f aca="false">IF(G451="","",ROUND((Config!$C$4-G451)/365.25,2))</f>
        <v>2.76</v>
      </c>
      <c r="I451" s="25" t="str">
        <f aca="false">IF(H451="","",IF(H451&lt;=1,"Tramo 1",IF(H451&lt;=3,"Tramo 2",IF(H451&lt;=5,"Tramo 3","Tramo 4"))))</f>
        <v>Tramo 2</v>
      </c>
      <c r="J451" s="22" t="s">
        <v>140</v>
      </c>
      <c r="K451" s="22"/>
      <c r="L451" s="22" t="s">
        <v>2068</v>
      </c>
      <c r="M451" s="26" t="s">
        <v>2069</v>
      </c>
      <c r="N451" s="22"/>
      <c r="O451" s="22" t="s">
        <v>63</v>
      </c>
      <c r="P451" s="25" t="str">
        <f aca="false">IF(OR(O451="",O451="Sin información"),"",IFERROR(INDEX(Listas!$B$2:$B$9,MATCH(O451,Listas!$A$2:$A$9,0)),""))</f>
        <v/>
      </c>
      <c r="Q451" s="25" t="str">
        <f aca="false">IF(OR(O451="",O451="Sin información"),"",IFERROR(INDEX(Listas!$C$2:$C$9,MATCH(O451,Listas!$A$2:$A$9,0)),""))</f>
        <v/>
      </c>
      <c r="R451" s="22"/>
      <c r="S451" s="22"/>
      <c r="T451" s="25" t="str">
        <f aca="false">IF(S451="","",IFERROR(INDEX(Empleadores!$B$2:$B$601,MATCH(S451,Empleadores!$A$2:$A$601,0)),"No encontrado"))</f>
        <v/>
      </c>
      <c r="U451" s="25" t="str">
        <f aca="false">IF(C451="","",IF(V451="","No",IF(Config!$C$4-V451&lt;=Config!$C$15,"Sí","No")))</f>
        <v>No</v>
      </c>
      <c r="V451" s="23"/>
      <c r="W451" s="22"/>
      <c r="X451" s="22"/>
      <c r="Y451" s="22"/>
      <c r="Z451" s="27"/>
      <c r="AA451" s="22"/>
      <c r="AB451" s="22"/>
    </row>
    <row r="452" customFormat="false" ht="15" hidden="false" customHeight="false" outlineLevel="0" collapsed="false">
      <c r="A452" s="22" t="n">
        <v>451</v>
      </c>
      <c r="B452" s="22" t="s">
        <v>2070</v>
      </c>
      <c r="C452" s="22" t="s">
        <v>2071</v>
      </c>
      <c r="D452" s="22" t="s">
        <v>149</v>
      </c>
      <c r="E452" s="22" t="s">
        <v>139</v>
      </c>
      <c r="F452" s="22" t="s">
        <v>104</v>
      </c>
      <c r="G452" s="23" t="n">
        <v>45289</v>
      </c>
      <c r="H452" s="24" t="n">
        <f aca="false">IF(G452="","",ROUND((Config!$C$4-G452)/365.25,2))</f>
        <v>2.76</v>
      </c>
      <c r="I452" s="25" t="str">
        <f aca="false">IF(H452="","",IF(H452&lt;=1,"Tramo 1",IF(H452&lt;=3,"Tramo 2",IF(H452&lt;=5,"Tramo 3","Tramo 4"))))</f>
        <v>Tramo 2</v>
      </c>
      <c r="J452" s="22" t="s">
        <v>140</v>
      </c>
      <c r="K452" s="22"/>
      <c r="L452" s="22" t="s">
        <v>2072</v>
      </c>
      <c r="M452" s="26" t="s">
        <v>2073</v>
      </c>
      <c r="N452" s="22"/>
      <c r="O452" s="22" t="s">
        <v>63</v>
      </c>
      <c r="P452" s="25" t="str">
        <f aca="false">IF(OR(O452="",O452="Sin información"),"",IFERROR(INDEX(Listas!$B$2:$B$9,MATCH(O452,Listas!$A$2:$A$9,0)),""))</f>
        <v/>
      </c>
      <c r="Q452" s="25" t="str">
        <f aca="false">IF(OR(O452="",O452="Sin información"),"",IFERROR(INDEX(Listas!$C$2:$C$9,MATCH(O452,Listas!$A$2:$A$9,0)),""))</f>
        <v/>
      </c>
      <c r="R452" s="22"/>
      <c r="S452" s="22"/>
      <c r="T452" s="25" t="str">
        <f aca="false">IF(S452="","",IFERROR(INDEX(Empleadores!$B$2:$B$601,MATCH(S452,Empleadores!$A$2:$A$601,0)),"No encontrado"))</f>
        <v/>
      </c>
      <c r="U452" s="25" t="str">
        <f aca="false">IF(C452="","",IF(V452="","No",IF(Config!$C$4-V452&lt;=Config!$C$15,"Sí","No")))</f>
        <v>No</v>
      </c>
      <c r="V452" s="23"/>
      <c r="W452" s="22"/>
      <c r="X452" s="22"/>
      <c r="Y452" s="22"/>
      <c r="Z452" s="27"/>
      <c r="AA452" s="22"/>
      <c r="AB452" s="22"/>
    </row>
    <row r="453" customFormat="false" ht="15" hidden="false" customHeight="false" outlineLevel="0" collapsed="false">
      <c r="A453" s="22" t="n">
        <v>452</v>
      </c>
      <c r="B453" s="22" t="s">
        <v>2074</v>
      </c>
      <c r="C453" s="22" t="s">
        <v>2075</v>
      </c>
      <c r="D453" s="22" t="s">
        <v>138</v>
      </c>
      <c r="E453" s="22" t="s">
        <v>139</v>
      </c>
      <c r="F453" s="22" t="s">
        <v>104</v>
      </c>
      <c r="G453" s="23" t="n">
        <v>45289</v>
      </c>
      <c r="H453" s="24" t="n">
        <f aca="false">IF(G453="","",ROUND((Config!$C$4-G453)/365.25,2))</f>
        <v>2.76</v>
      </c>
      <c r="I453" s="25" t="str">
        <f aca="false">IF(H453="","",IF(H453&lt;=1,"Tramo 1",IF(H453&lt;=3,"Tramo 2",IF(H453&lt;=5,"Tramo 3","Tramo 4"))))</f>
        <v>Tramo 2</v>
      </c>
      <c r="J453" s="22" t="s">
        <v>140</v>
      </c>
      <c r="K453" s="22"/>
      <c r="L453" s="22" t="s">
        <v>2076</v>
      </c>
      <c r="M453" s="26" t="s">
        <v>2077</v>
      </c>
      <c r="N453" s="22"/>
      <c r="O453" s="22" t="s">
        <v>63</v>
      </c>
      <c r="P453" s="25" t="str">
        <f aca="false">IF(OR(O453="",O453="Sin información"),"",IFERROR(INDEX(Listas!$B$2:$B$9,MATCH(O453,Listas!$A$2:$A$9,0)),""))</f>
        <v/>
      </c>
      <c r="Q453" s="25" t="str">
        <f aca="false">IF(OR(O453="",O453="Sin información"),"",IFERROR(INDEX(Listas!$C$2:$C$9,MATCH(O453,Listas!$A$2:$A$9,0)),""))</f>
        <v/>
      </c>
      <c r="R453" s="22"/>
      <c r="S453" s="22"/>
      <c r="T453" s="25" t="str">
        <f aca="false">IF(S453="","",IFERROR(INDEX(Empleadores!$B$2:$B$601,MATCH(S453,Empleadores!$A$2:$A$601,0)),"No encontrado"))</f>
        <v/>
      </c>
      <c r="U453" s="25" t="str">
        <f aca="false">IF(C453="","",IF(V453="","No",IF(Config!$C$4-V453&lt;=Config!$C$15,"Sí","No")))</f>
        <v>No</v>
      </c>
      <c r="V453" s="23"/>
      <c r="W453" s="22"/>
      <c r="X453" s="22"/>
      <c r="Y453" s="22"/>
      <c r="Z453" s="27"/>
      <c r="AA453" s="22"/>
      <c r="AB453" s="22"/>
    </row>
    <row r="454" customFormat="false" ht="15" hidden="false" customHeight="false" outlineLevel="0" collapsed="false">
      <c r="A454" s="22" t="n">
        <v>453</v>
      </c>
      <c r="B454" s="22" t="s">
        <v>2078</v>
      </c>
      <c r="C454" s="22" t="s">
        <v>2079</v>
      </c>
      <c r="D454" s="22" t="s">
        <v>138</v>
      </c>
      <c r="E454" s="22" t="s">
        <v>139</v>
      </c>
      <c r="F454" s="22" t="s">
        <v>104</v>
      </c>
      <c r="G454" s="23" t="n">
        <v>45289</v>
      </c>
      <c r="H454" s="24" t="n">
        <f aca="false">IF(G454="","",ROUND((Config!$C$4-G454)/365.25,2))</f>
        <v>2.76</v>
      </c>
      <c r="I454" s="25" t="str">
        <f aca="false">IF(H454="","",IF(H454&lt;=1,"Tramo 1",IF(H454&lt;=3,"Tramo 2",IF(H454&lt;=5,"Tramo 3","Tramo 4"))))</f>
        <v>Tramo 2</v>
      </c>
      <c r="J454" s="22" t="s">
        <v>140</v>
      </c>
      <c r="K454" s="22"/>
      <c r="L454" s="22" t="s">
        <v>2080</v>
      </c>
      <c r="M454" s="26" t="s">
        <v>2081</v>
      </c>
      <c r="N454" s="22"/>
      <c r="O454" s="22" t="s">
        <v>63</v>
      </c>
      <c r="P454" s="25" t="str">
        <f aca="false">IF(OR(O454="",O454="Sin información"),"",IFERROR(INDEX(Listas!$B$2:$B$9,MATCH(O454,Listas!$A$2:$A$9,0)),""))</f>
        <v/>
      </c>
      <c r="Q454" s="25" t="str">
        <f aca="false">IF(OR(O454="",O454="Sin información"),"",IFERROR(INDEX(Listas!$C$2:$C$9,MATCH(O454,Listas!$A$2:$A$9,0)),""))</f>
        <v/>
      </c>
      <c r="R454" s="22"/>
      <c r="S454" s="22"/>
      <c r="T454" s="25" t="str">
        <f aca="false">IF(S454="","",IFERROR(INDEX(Empleadores!$B$2:$B$601,MATCH(S454,Empleadores!$A$2:$A$601,0)),"No encontrado"))</f>
        <v/>
      </c>
      <c r="U454" s="25" t="str">
        <f aca="false">IF(C454="","",IF(V454="","No",IF(Config!$C$4-V454&lt;=Config!$C$15,"Sí","No")))</f>
        <v>No</v>
      </c>
      <c r="V454" s="23"/>
      <c r="W454" s="22"/>
      <c r="X454" s="22"/>
      <c r="Y454" s="22"/>
      <c r="Z454" s="27"/>
      <c r="AA454" s="22"/>
      <c r="AB454" s="22"/>
    </row>
    <row r="455" customFormat="false" ht="15" hidden="false" customHeight="false" outlineLevel="0" collapsed="false">
      <c r="A455" s="22" t="n">
        <v>454</v>
      </c>
      <c r="B455" s="22" t="s">
        <v>2082</v>
      </c>
      <c r="C455" s="22" t="s">
        <v>2083</v>
      </c>
      <c r="D455" s="22" t="s">
        <v>138</v>
      </c>
      <c r="E455" s="22" t="s">
        <v>139</v>
      </c>
      <c r="F455" s="22" t="s">
        <v>104</v>
      </c>
      <c r="G455" s="23" t="n">
        <v>45289</v>
      </c>
      <c r="H455" s="24" t="n">
        <f aca="false">IF(G455="","",ROUND((Config!$C$4-G455)/365.25,2))</f>
        <v>2.76</v>
      </c>
      <c r="I455" s="25" t="str">
        <f aca="false">IF(H455="","",IF(H455&lt;=1,"Tramo 1",IF(H455&lt;=3,"Tramo 2",IF(H455&lt;=5,"Tramo 3","Tramo 4"))))</f>
        <v>Tramo 2</v>
      </c>
      <c r="J455" s="22" t="s">
        <v>140</v>
      </c>
      <c r="K455" s="22"/>
      <c r="L455" s="22" t="s">
        <v>2084</v>
      </c>
      <c r="M455" s="26" t="s">
        <v>2085</v>
      </c>
      <c r="N455" s="22"/>
      <c r="O455" s="22" t="s">
        <v>63</v>
      </c>
      <c r="P455" s="25" t="str">
        <f aca="false">IF(OR(O455="",O455="Sin información"),"",IFERROR(INDEX(Listas!$B$2:$B$9,MATCH(O455,Listas!$A$2:$A$9,0)),""))</f>
        <v/>
      </c>
      <c r="Q455" s="25" t="str">
        <f aca="false">IF(OR(O455="",O455="Sin información"),"",IFERROR(INDEX(Listas!$C$2:$C$9,MATCH(O455,Listas!$A$2:$A$9,0)),""))</f>
        <v/>
      </c>
      <c r="R455" s="22"/>
      <c r="S455" s="22"/>
      <c r="T455" s="25" t="str">
        <f aca="false">IF(S455="","",IFERROR(INDEX(Empleadores!$B$2:$B$601,MATCH(S455,Empleadores!$A$2:$A$601,0)),"No encontrado"))</f>
        <v/>
      </c>
      <c r="U455" s="25" t="str">
        <f aca="false">IF(C455="","",IF(V455="","No",IF(Config!$C$4-V455&lt;=Config!$C$15,"Sí","No")))</f>
        <v>No</v>
      </c>
      <c r="V455" s="23"/>
      <c r="W455" s="22"/>
      <c r="X455" s="22"/>
      <c r="Y455" s="22"/>
      <c r="Z455" s="27"/>
      <c r="AA455" s="22" t="s">
        <v>2086</v>
      </c>
      <c r="AB455" s="22" t="s">
        <v>1691</v>
      </c>
    </row>
    <row r="456" customFormat="false" ht="15" hidden="false" customHeight="false" outlineLevel="0" collapsed="false">
      <c r="A456" s="22" t="n">
        <v>455</v>
      </c>
      <c r="B456" s="22" t="s">
        <v>2087</v>
      </c>
      <c r="C456" s="22" t="s">
        <v>2088</v>
      </c>
      <c r="D456" s="22" t="s">
        <v>138</v>
      </c>
      <c r="E456" s="22" t="s">
        <v>139</v>
      </c>
      <c r="F456" s="22" t="s">
        <v>104</v>
      </c>
      <c r="G456" s="23" t="n">
        <v>45289</v>
      </c>
      <c r="H456" s="24" t="n">
        <f aca="false">IF(G456="","",ROUND((Config!$C$4-G456)/365.25,2))</f>
        <v>2.76</v>
      </c>
      <c r="I456" s="25" t="str">
        <f aca="false">IF(H456="","",IF(H456&lt;=1,"Tramo 1",IF(H456&lt;=3,"Tramo 2",IF(H456&lt;=5,"Tramo 3","Tramo 4"))))</f>
        <v>Tramo 2</v>
      </c>
      <c r="J456" s="22" t="s">
        <v>140</v>
      </c>
      <c r="K456" s="22"/>
      <c r="L456" s="22" t="s">
        <v>2089</v>
      </c>
      <c r="M456" s="26" t="s">
        <v>2090</v>
      </c>
      <c r="N456" s="22"/>
      <c r="O456" s="22" t="s">
        <v>63</v>
      </c>
      <c r="P456" s="25" t="str">
        <f aca="false">IF(OR(O456="",O456="Sin información"),"",IFERROR(INDEX(Listas!$B$2:$B$9,MATCH(O456,Listas!$A$2:$A$9,0)),""))</f>
        <v/>
      </c>
      <c r="Q456" s="25" t="str">
        <f aca="false">IF(OR(O456="",O456="Sin información"),"",IFERROR(INDEX(Listas!$C$2:$C$9,MATCH(O456,Listas!$A$2:$A$9,0)),""))</f>
        <v/>
      </c>
      <c r="R456" s="22"/>
      <c r="S456" s="22"/>
      <c r="T456" s="25" t="str">
        <f aca="false">IF(S456="","",IFERROR(INDEX(Empleadores!$B$2:$B$601,MATCH(S456,Empleadores!$A$2:$A$601,0)),"No encontrado"))</f>
        <v/>
      </c>
      <c r="U456" s="25" t="str">
        <f aca="false">IF(C456="","",IF(V456="","No",IF(Config!$C$4-V456&lt;=Config!$C$15,"Sí","No")))</f>
        <v>No</v>
      </c>
      <c r="V456" s="23"/>
      <c r="W456" s="22"/>
      <c r="X456" s="22"/>
      <c r="Y456" s="22"/>
      <c r="Z456" s="27"/>
      <c r="AA456" s="22"/>
      <c r="AB456" s="22"/>
    </row>
    <row r="457" customFormat="false" ht="15" hidden="false" customHeight="false" outlineLevel="0" collapsed="false">
      <c r="A457" s="22" t="n">
        <v>456</v>
      </c>
      <c r="B457" s="22" t="s">
        <v>2091</v>
      </c>
      <c r="C457" s="22" t="s">
        <v>2092</v>
      </c>
      <c r="D457" s="22" t="s">
        <v>149</v>
      </c>
      <c r="E457" s="22" t="s">
        <v>139</v>
      </c>
      <c r="F457" s="22" t="s">
        <v>104</v>
      </c>
      <c r="G457" s="23" t="n">
        <v>45289</v>
      </c>
      <c r="H457" s="24" t="n">
        <f aca="false">IF(G457="","",ROUND((Config!$C$4-G457)/365.25,2))</f>
        <v>2.76</v>
      </c>
      <c r="I457" s="25" t="str">
        <f aca="false">IF(H457="","",IF(H457&lt;=1,"Tramo 1",IF(H457&lt;=3,"Tramo 2",IF(H457&lt;=5,"Tramo 3","Tramo 4"))))</f>
        <v>Tramo 2</v>
      </c>
      <c r="J457" s="22" t="s">
        <v>140</v>
      </c>
      <c r="K457" s="22"/>
      <c r="L457" s="22" t="s">
        <v>2093</v>
      </c>
      <c r="M457" s="26" t="s">
        <v>2094</v>
      </c>
      <c r="N457" s="22"/>
      <c r="O457" s="22" t="s">
        <v>63</v>
      </c>
      <c r="P457" s="25" t="str">
        <f aca="false">IF(OR(O457="",O457="Sin información"),"",IFERROR(INDEX(Listas!$B$2:$B$9,MATCH(O457,Listas!$A$2:$A$9,0)),""))</f>
        <v/>
      </c>
      <c r="Q457" s="25" t="str">
        <f aca="false">IF(OR(O457="",O457="Sin información"),"",IFERROR(INDEX(Listas!$C$2:$C$9,MATCH(O457,Listas!$A$2:$A$9,0)),""))</f>
        <v/>
      </c>
      <c r="R457" s="22"/>
      <c r="S457" s="22"/>
      <c r="T457" s="25" t="str">
        <f aca="false">IF(S457="","",IFERROR(INDEX(Empleadores!$B$2:$B$601,MATCH(S457,Empleadores!$A$2:$A$601,0)),"No encontrado"))</f>
        <v/>
      </c>
      <c r="U457" s="25" t="str">
        <f aca="false">IF(C457="","",IF(V457="","No",IF(Config!$C$4-V457&lt;=Config!$C$15,"Sí","No")))</f>
        <v>No</v>
      </c>
      <c r="V457" s="23"/>
      <c r="W457" s="22"/>
      <c r="X457" s="22"/>
      <c r="Y457" s="22"/>
      <c r="Z457" s="27"/>
      <c r="AA457" s="22"/>
      <c r="AB457" s="22"/>
    </row>
    <row r="458" customFormat="false" ht="15" hidden="false" customHeight="false" outlineLevel="0" collapsed="false">
      <c r="A458" s="22" t="n">
        <v>457</v>
      </c>
      <c r="B458" s="22" t="s">
        <v>2095</v>
      </c>
      <c r="C458" s="22" t="s">
        <v>2096</v>
      </c>
      <c r="D458" s="22" t="s">
        <v>138</v>
      </c>
      <c r="E458" s="22" t="s">
        <v>139</v>
      </c>
      <c r="F458" s="22" t="s">
        <v>104</v>
      </c>
      <c r="G458" s="23" t="n">
        <v>45289</v>
      </c>
      <c r="H458" s="24" t="n">
        <f aca="false">IF(G458="","",ROUND((Config!$C$4-G458)/365.25,2))</f>
        <v>2.76</v>
      </c>
      <c r="I458" s="25" t="str">
        <f aca="false">IF(H458="","",IF(H458&lt;=1,"Tramo 1",IF(H458&lt;=3,"Tramo 2",IF(H458&lt;=5,"Tramo 3","Tramo 4"))))</f>
        <v>Tramo 2</v>
      </c>
      <c r="J458" s="22" t="s">
        <v>140</v>
      </c>
      <c r="K458" s="22"/>
      <c r="L458" s="22" t="s">
        <v>2097</v>
      </c>
      <c r="M458" s="26" t="s">
        <v>2098</v>
      </c>
      <c r="N458" s="22"/>
      <c r="O458" s="22" t="s">
        <v>63</v>
      </c>
      <c r="P458" s="25" t="str">
        <f aca="false">IF(OR(O458="",O458="Sin información"),"",IFERROR(INDEX(Listas!$B$2:$B$9,MATCH(O458,Listas!$A$2:$A$9,0)),""))</f>
        <v/>
      </c>
      <c r="Q458" s="25" t="str">
        <f aca="false">IF(OR(O458="",O458="Sin información"),"",IFERROR(INDEX(Listas!$C$2:$C$9,MATCH(O458,Listas!$A$2:$A$9,0)),""))</f>
        <v/>
      </c>
      <c r="R458" s="22"/>
      <c r="S458" s="22"/>
      <c r="T458" s="25" t="str">
        <f aca="false">IF(S458="","",IFERROR(INDEX(Empleadores!$B$2:$B$601,MATCH(S458,Empleadores!$A$2:$A$601,0)),"No encontrado"))</f>
        <v/>
      </c>
      <c r="U458" s="25" t="str">
        <f aca="false">IF(C458="","",IF(V458="","No",IF(Config!$C$4-V458&lt;=Config!$C$15,"Sí","No")))</f>
        <v>No</v>
      </c>
      <c r="V458" s="23"/>
      <c r="W458" s="22"/>
      <c r="X458" s="22"/>
      <c r="Y458" s="22"/>
      <c r="Z458" s="27"/>
      <c r="AA458" s="22"/>
      <c r="AB458" s="22"/>
    </row>
    <row r="459" customFormat="false" ht="15" hidden="false" customHeight="false" outlineLevel="0" collapsed="false">
      <c r="A459" s="22" t="n">
        <v>458</v>
      </c>
      <c r="B459" s="22" t="s">
        <v>2099</v>
      </c>
      <c r="C459" s="22" t="s">
        <v>2100</v>
      </c>
      <c r="D459" s="22" t="s">
        <v>138</v>
      </c>
      <c r="E459" s="22" t="s">
        <v>139</v>
      </c>
      <c r="F459" s="22" t="s">
        <v>104</v>
      </c>
      <c r="G459" s="23" t="n">
        <v>45289</v>
      </c>
      <c r="H459" s="24" t="n">
        <f aca="false">IF(G459="","",ROUND((Config!$C$4-G459)/365.25,2))</f>
        <v>2.76</v>
      </c>
      <c r="I459" s="25" t="str">
        <f aca="false">IF(H459="","",IF(H459&lt;=1,"Tramo 1",IF(H459&lt;=3,"Tramo 2",IF(H459&lt;=5,"Tramo 3","Tramo 4"))))</f>
        <v>Tramo 2</v>
      </c>
      <c r="J459" s="22" t="s">
        <v>140</v>
      </c>
      <c r="K459" s="22"/>
      <c r="L459" s="22" t="s">
        <v>2101</v>
      </c>
      <c r="M459" s="26" t="s">
        <v>2102</v>
      </c>
      <c r="N459" s="22"/>
      <c r="O459" s="22" t="s">
        <v>63</v>
      </c>
      <c r="P459" s="25" t="str">
        <f aca="false">IF(OR(O459="",O459="Sin información"),"",IFERROR(INDEX(Listas!$B$2:$B$9,MATCH(O459,Listas!$A$2:$A$9,0)),""))</f>
        <v/>
      </c>
      <c r="Q459" s="25" t="str">
        <f aca="false">IF(OR(O459="",O459="Sin información"),"",IFERROR(INDEX(Listas!$C$2:$C$9,MATCH(O459,Listas!$A$2:$A$9,0)),""))</f>
        <v/>
      </c>
      <c r="R459" s="22"/>
      <c r="S459" s="22"/>
      <c r="T459" s="25" t="str">
        <f aca="false">IF(S459="","",IFERROR(INDEX(Empleadores!$B$2:$B$601,MATCH(S459,Empleadores!$A$2:$A$601,0)),"No encontrado"))</f>
        <v/>
      </c>
      <c r="U459" s="25" t="str">
        <f aca="false">IF(C459="","",IF(V459="","No",IF(Config!$C$4-V459&lt;=Config!$C$15,"Sí","No")))</f>
        <v>No</v>
      </c>
      <c r="V459" s="23"/>
      <c r="W459" s="22"/>
      <c r="X459" s="22"/>
      <c r="Y459" s="22"/>
      <c r="Z459" s="27"/>
      <c r="AA459" s="22"/>
      <c r="AB459" s="22"/>
    </row>
    <row r="460" customFormat="false" ht="15" hidden="false" customHeight="false" outlineLevel="0" collapsed="false">
      <c r="A460" s="22" t="n">
        <v>459</v>
      </c>
      <c r="B460" s="22" t="s">
        <v>2103</v>
      </c>
      <c r="C460" s="22" t="s">
        <v>2104</v>
      </c>
      <c r="D460" s="22" t="s">
        <v>138</v>
      </c>
      <c r="E460" s="22" t="s">
        <v>139</v>
      </c>
      <c r="F460" s="22" t="s">
        <v>104</v>
      </c>
      <c r="G460" s="23" t="n">
        <v>45289</v>
      </c>
      <c r="H460" s="24" t="n">
        <f aca="false">IF(G460="","",ROUND((Config!$C$4-G460)/365.25,2))</f>
        <v>2.76</v>
      </c>
      <c r="I460" s="25" t="str">
        <f aca="false">IF(H460="","",IF(H460&lt;=1,"Tramo 1",IF(H460&lt;=3,"Tramo 2",IF(H460&lt;=5,"Tramo 3","Tramo 4"))))</f>
        <v>Tramo 2</v>
      </c>
      <c r="J460" s="22" t="s">
        <v>140</v>
      </c>
      <c r="K460" s="22"/>
      <c r="L460" s="22" t="s">
        <v>2105</v>
      </c>
      <c r="M460" s="26" t="s">
        <v>2106</v>
      </c>
      <c r="N460" s="22"/>
      <c r="O460" s="22" t="s">
        <v>63</v>
      </c>
      <c r="P460" s="25" t="str">
        <f aca="false">IF(OR(O460="",O460="Sin información"),"",IFERROR(INDEX(Listas!$B$2:$B$9,MATCH(O460,Listas!$A$2:$A$9,0)),""))</f>
        <v/>
      </c>
      <c r="Q460" s="25" t="str">
        <f aca="false">IF(OR(O460="",O460="Sin información"),"",IFERROR(INDEX(Listas!$C$2:$C$9,MATCH(O460,Listas!$A$2:$A$9,0)),""))</f>
        <v/>
      </c>
      <c r="R460" s="22"/>
      <c r="S460" s="22"/>
      <c r="T460" s="25" t="str">
        <f aca="false">IF(S460="","",IFERROR(INDEX(Empleadores!$B$2:$B$601,MATCH(S460,Empleadores!$A$2:$A$601,0)),"No encontrado"))</f>
        <v/>
      </c>
      <c r="U460" s="25" t="str">
        <f aca="false">IF(C460="","",IF(V460="","No",IF(Config!$C$4-V460&lt;=Config!$C$15,"Sí","No")))</f>
        <v>No</v>
      </c>
      <c r="V460" s="23"/>
      <c r="W460" s="22"/>
      <c r="X460" s="22"/>
      <c r="Y460" s="22"/>
      <c r="Z460" s="27"/>
      <c r="AA460" s="22"/>
      <c r="AB460" s="22"/>
    </row>
    <row r="461" customFormat="false" ht="15" hidden="false" customHeight="false" outlineLevel="0" collapsed="false">
      <c r="A461" s="22" t="n">
        <v>460</v>
      </c>
      <c r="B461" s="22" t="s">
        <v>2107</v>
      </c>
      <c r="C461" s="22" t="s">
        <v>2108</v>
      </c>
      <c r="D461" s="22" t="s">
        <v>138</v>
      </c>
      <c r="E461" s="22" t="s">
        <v>139</v>
      </c>
      <c r="F461" s="22" t="s">
        <v>104</v>
      </c>
      <c r="G461" s="23" t="n">
        <v>45289</v>
      </c>
      <c r="H461" s="24" t="n">
        <f aca="false">IF(G461="","",ROUND((Config!$C$4-G461)/365.25,2))</f>
        <v>2.76</v>
      </c>
      <c r="I461" s="25" t="str">
        <f aca="false">IF(H461="","",IF(H461&lt;=1,"Tramo 1",IF(H461&lt;=3,"Tramo 2",IF(H461&lt;=5,"Tramo 3","Tramo 4"))))</f>
        <v>Tramo 2</v>
      </c>
      <c r="J461" s="22" t="s">
        <v>140</v>
      </c>
      <c r="K461" s="22"/>
      <c r="L461" s="22" t="s">
        <v>2109</v>
      </c>
      <c r="M461" s="26" t="s">
        <v>2110</v>
      </c>
      <c r="N461" s="22"/>
      <c r="O461" s="22" t="s">
        <v>63</v>
      </c>
      <c r="P461" s="25" t="str">
        <f aca="false">IF(OR(O461="",O461="Sin información"),"",IFERROR(INDEX(Listas!$B$2:$B$9,MATCH(O461,Listas!$A$2:$A$9,0)),""))</f>
        <v/>
      </c>
      <c r="Q461" s="25" t="str">
        <f aca="false">IF(OR(O461="",O461="Sin información"),"",IFERROR(INDEX(Listas!$C$2:$C$9,MATCH(O461,Listas!$A$2:$A$9,0)),""))</f>
        <v/>
      </c>
      <c r="R461" s="22"/>
      <c r="S461" s="22"/>
      <c r="T461" s="25" t="str">
        <f aca="false">IF(S461="","",IFERROR(INDEX(Empleadores!$B$2:$B$601,MATCH(S461,Empleadores!$A$2:$A$601,0)),"No encontrado"))</f>
        <v/>
      </c>
      <c r="U461" s="25" t="str">
        <f aca="false">IF(C461="","",IF(V461="","No",IF(Config!$C$4-V461&lt;=Config!$C$15,"Sí","No")))</f>
        <v>No</v>
      </c>
      <c r="V461" s="23"/>
      <c r="W461" s="22"/>
      <c r="X461" s="22"/>
      <c r="Y461" s="22"/>
      <c r="Z461" s="27"/>
      <c r="AA461" s="22"/>
      <c r="AB461" s="22"/>
    </row>
    <row r="462" customFormat="false" ht="15" hidden="false" customHeight="false" outlineLevel="0" collapsed="false">
      <c r="A462" s="22" t="n">
        <v>461</v>
      </c>
      <c r="B462" s="22" t="s">
        <v>2111</v>
      </c>
      <c r="C462" s="22" t="s">
        <v>2112</v>
      </c>
      <c r="D462" s="22" t="s">
        <v>149</v>
      </c>
      <c r="E462" s="22" t="s">
        <v>139</v>
      </c>
      <c r="F462" s="22" t="s">
        <v>104</v>
      </c>
      <c r="G462" s="23" t="n">
        <v>45289</v>
      </c>
      <c r="H462" s="24" t="n">
        <f aca="false">IF(G462="","",ROUND((Config!$C$4-G462)/365.25,2))</f>
        <v>2.76</v>
      </c>
      <c r="I462" s="25" t="str">
        <f aca="false">IF(H462="","",IF(H462&lt;=1,"Tramo 1",IF(H462&lt;=3,"Tramo 2",IF(H462&lt;=5,"Tramo 3","Tramo 4"))))</f>
        <v>Tramo 2</v>
      </c>
      <c r="J462" s="22" t="s">
        <v>140</v>
      </c>
      <c r="K462" s="22"/>
      <c r="L462" s="22" t="s">
        <v>2113</v>
      </c>
      <c r="M462" s="26" t="s">
        <v>2114</v>
      </c>
      <c r="N462" s="22"/>
      <c r="O462" s="22" t="s">
        <v>63</v>
      </c>
      <c r="P462" s="25" t="str">
        <f aca="false">IF(OR(O462="",O462="Sin información"),"",IFERROR(INDEX(Listas!$B$2:$B$9,MATCH(O462,Listas!$A$2:$A$9,0)),""))</f>
        <v/>
      </c>
      <c r="Q462" s="25" t="str">
        <f aca="false">IF(OR(O462="",O462="Sin información"),"",IFERROR(INDEX(Listas!$C$2:$C$9,MATCH(O462,Listas!$A$2:$A$9,0)),""))</f>
        <v/>
      </c>
      <c r="R462" s="22"/>
      <c r="S462" s="22"/>
      <c r="T462" s="25" t="str">
        <f aca="false">IF(S462="","",IFERROR(INDEX(Empleadores!$B$2:$B$601,MATCH(S462,Empleadores!$A$2:$A$601,0)),"No encontrado"))</f>
        <v/>
      </c>
      <c r="U462" s="25" t="str">
        <f aca="false">IF(C462="","",IF(V462="","No",IF(Config!$C$4-V462&lt;=Config!$C$15,"Sí","No")))</f>
        <v>No</v>
      </c>
      <c r="V462" s="23"/>
      <c r="W462" s="22"/>
      <c r="X462" s="22"/>
      <c r="Y462" s="22"/>
      <c r="Z462" s="27"/>
      <c r="AA462" s="22"/>
      <c r="AB462" s="22"/>
    </row>
    <row r="463" customFormat="false" ht="15" hidden="false" customHeight="false" outlineLevel="0" collapsed="false">
      <c r="A463" s="22" t="n">
        <v>462</v>
      </c>
      <c r="B463" s="22" t="s">
        <v>2115</v>
      </c>
      <c r="C463" s="22" t="s">
        <v>2116</v>
      </c>
      <c r="D463" s="22" t="s">
        <v>149</v>
      </c>
      <c r="E463" s="22" t="s">
        <v>139</v>
      </c>
      <c r="F463" s="22" t="s">
        <v>104</v>
      </c>
      <c r="G463" s="23" t="n">
        <v>45289</v>
      </c>
      <c r="H463" s="24" t="n">
        <f aca="false">IF(G463="","",ROUND((Config!$C$4-G463)/365.25,2))</f>
        <v>2.76</v>
      </c>
      <c r="I463" s="25" t="str">
        <f aca="false">IF(H463="","",IF(H463&lt;=1,"Tramo 1",IF(H463&lt;=3,"Tramo 2",IF(H463&lt;=5,"Tramo 3","Tramo 4"))))</f>
        <v>Tramo 2</v>
      </c>
      <c r="J463" s="22" t="s">
        <v>140</v>
      </c>
      <c r="K463" s="22"/>
      <c r="L463" s="22" t="s">
        <v>2117</v>
      </c>
      <c r="M463" s="26" t="s">
        <v>2118</v>
      </c>
      <c r="N463" s="22"/>
      <c r="O463" s="22" t="s">
        <v>63</v>
      </c>
      <c r="P463" s="25" t="str">
        <f aca="false">IF(OR(O463="",O463="Sin información"),"",IFERROR(INDEX(Listas!$B$2:$B$9,MATCH(O463,Listas!$A$2:$A$9,0)),""))</f>
        <v/>
      </c>
      <c r="Q463" s="25" t="str">
        <f aca="false">IF(OR(O463="",O463="Sin información"),"",IFERROR(INDEX(Listas!$C$2:$C$9,MATCH(O463,Listas!$A$2:$A$9,0)),""))</f>
        <v/>
      </c>
      <c r="R463" s="22"/>
      <c r="S463" s="22"/>
      <c r="T463" s="25" t="str">
        <f aca="false">IF(S463="","",IFERROR(INDEX(Empleadores!$B$2:$B$601,MATCH(S463,Empleadores!$A$2:$A$601,0)),"No encontrado"))</f>
        <v/>
      </c>
      <c r="U463" s="25" t="str">
        <f aca="false">IF(C463="","",IF(V463="","No",IF(Config!$C$4-V463&lt;=Config!$C$15,"Sí","No")))</f>
        <v>No</v>
      </c>
      <c r="V463" s="23"/>
      <c r="W463" s="22"/>
      <c r="X463" s="22"/>
      <c r="Y463" s="22"/>
      <c r="Z463" s="27"/>
      <c r="AA463" s="22"/>
      <c r="AB463" s="22"/>
    </row>
    <row r="464" customFormat="false" ht="15" hidden="false" customHeight="false" outlineLevel="0" collapsed="false">
      <c r="A464" s="22" t="n">
        <v>463</v>
      </c>
      <c r="B464" s="22" t="s">
        <v>2119</v>
      </c>
      <c r="C464" s="22" t="s">
        <v>2120</v>
      </c>
      <c r="D464" s="22" t="s">
        <v>138</v>
      </c>
      <c r="E464" s="22" t="s">
        <v>139</v>
      </c>
      <c r="F464" s="22" t="s">
        <v>104</v>
      </c>
      <c r="G464" s="23" t="n">
        <v>45289</v>
      </c>
      <c r="H464" s="24" t="n">
        <f aca="false">IF(G464="","",ROUND((Config!$C$4-G464)/365.25,2))</f>
        <v>2.76</v>
      </c>
      <c r="I464" s="25" t="str">
        <f aca="false">IF(H464="","",IF(H464&lt;=1,"Tramo 1",IF(H464&lt;=3,"Tramo 2",IF(H464&lt;=5,"Tramo 3","Tramo 4"))))</f>
        <v>Tramo 2</v>
      </c>
      <c r="J464" s="22" t="s">
        <v>140</v>
      </c>
      <c r="K464" s="22"/>
      <c r="L464" s="22" t="s">
        <v>2121</v>
      </c>
      <c r="M464" s="26" t="s">
        <v>2122</v>
      </c>
      <c r="N464" s="22"/>
      <c r="O464" s="22" t="s">
        <v>63</v>
      </c>
      <c r="P464" s="25" t="str">
        <f aca="false">IF(OR(O464="",O464="Sin información"),"",IFERROR(INDEX(Listas!$B$2:$B$9,MATCH(O464,Listas!$A$2:$A$9,0)),""))</f>
        <v/>
      </c>
      <c r="Q464" s="25" t="str">
        <f aca="false">IF(OR(O464="",O464="Sin información"),"",IFERROR(INDEX(Listas!$C$2:$C$9,MATCH(O464,Listas!$A$2:$A$9,0)),""))</f>
        <v/>
      </c>
      <c r="R464" s="22"/>
      <c r="S464" s="22"/>
      <c r="T464" s="25" t="str">
        <f aca="false">IF(S464="","",IFERROR(INDEX(Empleadores!$B$2:$B$601,MATCH(S464,Empleadores!$A$2:$A$601,0)),"No encontrado"))</f>
        <v/>
      </c>
      <c r="U464" s="25" t="str">
        <f aca="false">IF(C464="","",IF(V464="","No",IF(Config!$C$4-V464&lt;=Config!$C$15,"Sí","No")))</f>
        <v>No</v>
      </c>
      <c r="V464" s="23"/>
      <c r="W464" s="22"/>
      <c r="X464" s="22"/>
      <c r="Y464" s="22"/>
      <c r="Z464" s="27"/>
      <c r="AA464" s="22"/>
      <c r="AB464" s="22"/>
    </row>
    <row r="465" customFormat="false" ht="15" hidden="false" customHeight="false" outlineLevel="0" collapsed="false">
      <c r="A465" s="22" t="n">
        <v>464</v>
      </c>
      <c r="B465" s="22" t="s">
        <v>2123</v>
      </c>
      <c r="C465" s="22" t="s">
        <v>2124</v>
      </c>
      <c r="D465" s="22" t="s">
        <v>149</v>
      </c>
      <c r="E465" s="22" t="s">
        <v>139</v>
      </c>
      <c r="F465" s="22" t="s">
        <v>104</v>
      </c>
      <c r="G465" s="23" t="n">
        <v>45289</v>
      </c>
      <c r="H465" s="24" t="n">
        <f aca="false">IF(G465="","",ROUND((Config!$C$4-G465)/365.25,2))</f>
        <v>2.76</v>
      </c>
      <c r="I465" s="25" t="str">
        <f aca="false">IF(H465="","",IF(H465&lt;=1,"Tramo 1",IF(H465&lt;=3,"Tramo 2",IF(H465&lt;=5,"Tramo 3","Tramo 4"))))</f>
        <v>Tramo 2</v>
      </c>
      <c r="J465" s="22" t="s">
        <v>140</v>
      </c>
      <c r="K465" s="22"/>
      <c r="L465" s="22" t="s">
        <v>2125</v>
      </c>
      <c r="M465" s="26" t="s">
        <v>2126</v>
      </c>
      <c r="N465" s="22"/>
      <c r="O465" s="22" t="s">
        <v>63</v>
      </c>
      <c r="P465" s="25" t="str">
        <f aca="false">IF(OR(O465="",O465="Sin información"),"",IFERROR(INDEX(Listas!$B$2:$B$9,MATCH(O465,Listas!$A$2:$A$9,0)),""))</f>
        <v/>
      </c>
      <c r="Q465" s="25" t="str">
        <f aca="false">IF(OR(O465="",O465="Sin información"),"",IFERROR(INDEX(Listas!$C$2:$C$9,MATCH(O465,Listas!$A$2:$A$9,0)),""))</f>
        <v/>
      </c>
      <c r="R465" s="22"/>
      <c r="S465" s="22"/>
      <c r="T465" s="25" t="str">
        <f aca="false">IF(S465="","",IFERROR(INDEX(Empleadores!$B$2:$B$601,MATCH(S465,Empleadores!$A$2:$A$601,0)),"No encontrado"))</f>
        <v/>
      </c>
      <c r="U465" s="25" t="str">
        <f aca="false">IF(C465="","",IF(V465="","No",IF(Config!$C$4-V465&lt;=Config!$C$15,"Sí","No")))</f>
        <v>No</v>
      </c>
      <c r="V465" s="23"/>
      <c r="W465" s="22"/>
      <c r="X465" s="22"/>
      <c r="Y465" s="22"/>
      <c r="Z465" s="27"/>
      <c r="AA465" s="22"/>
      <c r="AB465" s="22"/>
    </row>
    <row r="466" customFormat="false" ht="15" hidden="false" customHeight="false" outlineLevel="0" collapsed="false">
      <c r="A466" s="22" t="n">
        <v>465</v>
      </c>
      <c r="B466" s="22" t="s">
        <v>2127</v>
      </c>
      <c r="C466" s="22" t="s">
        <v>2128</v>
      </c>
      <c r="D466" s="22" t="s">
        <v>149</v>
      </c>
      <c r="E466" s="22" t="s">
        <v>139</v>
      </c>
      <c r="F466" s="22" t="s">
        <v>104</v>
      </c>
      <c r="G466" s="23" t="n">
        <v>45289</v>
      </c>
      <c r="H466" s="24" t="n">
        <f aca="false">IF(G466="","",ROUND((Config!$C$4-G466)/365.25,2))</f>
        <v>2.76</v>
      </c>
      <c r="I466" s="25" t="str">
        <f aca="false">IF(H466="","",IF(H466&lt;=1,"Tramo 1",IF(H466&lt;=3,"Tramo 2",IF(H466&lt;=5,"Tramo 3","Tramo 4"))))</f>
        <v>Tramo 2</v>
      </c>
      <c r="J466" s="22" t="s">
        <v>140</v>
      </c>
      <c r="K466" s="22"/>
      <c r="L466" s="22" t="s">
        <v>2129</v>
      </c>
      <c r="M466" s="26" t="s">
        <v>2130</v>
      </c>
      <c r="N466" s="22"/>
      <c r="O466" s="22" t="s">
        <v>63</v>
      </c>
      <c r="P466" s="25" t="str">
        <f aca="false">IF(OR(O466="",O466="Sin información"),"",IFERROR(INDEX(Listas!$B$2:$B$9,MATCH(O466,Listas!$A$2:$A$9,0)),""))</f>
        <v/>
      </c>
      <c r="Q466" s="25" t="str">
        <f aca="false">IF(OR(O466="",O466="Sin información"),"",IFERROR(INDEX(Listas!$C$2:$C$9,MATCH(O466,Listas!$A$2:$A$9,0)),""))</f>
        <v/>
      </c>
      <c r="R466" s="22"/>
      <c r="S466" s="22"/>
      <c r="T466" s="25" t="str">
        <f aca="false">IF(S466="","",IFERROR(INDEX(Empleadores!$B$2:$B$601,MATCH(S466,Empleadores!$A$2:$A$601,0)),"No encontrado"))</f>
        <v/>
      </c>
      <c r="U466" s="25" t="str">
        <f aca="false">IF(C466="","",IF(V466="","No",IF(Config!$C$4-V466&lt;=Config!$C$15,"Sí","No")))</f>
        <v>No</v>
      </c>
      <c r="V466" s="23"/>
      <c r="W466" s="22"/>
      <c r="X466" s="22"/>
      <c r="Y466" s="22"/>
      <c r="Z466" s="27"/>
      <c r="AA466" s="22"/>
      <c r="AB466" s="22"/>
    </row>
    <row r="467" customFormat="false" ht="15" hidden="false" customHeight="false" outlineLevel="0" collapsed="false">
      <c r="A467" s="22" t="n">
        <v>466</v>
      </c>
      <c r="B467" s="22" t="s">
        <v>2131</v>
      </c>
      <c r="C467" s="22" t="s">
        <v>2132</v>
      </c>
      <c r="D467" s="22" t="s">
        <v>138</v>
      </c>
      <c r="E467" s="22" t="s">
        <v>139</v>
      </c>
      <c r="F467" s="22" t="s">
        <v>104</v>
      </c>
      <c r="G467" s="23" t="n">
        <v>45289</v>
      </c>
      <c r="H467" s="24" t="n">
        <f aca="false">IF(G467="","",ROUND((Config!$C$4-G467)/365.25,2))</f>
        <v>2.76</v>
      </c>
      <c r="I467" s="25" t="str">
        <f aca="false">IF(H467="","",IF(H467&lt;=1,"Tramo 1",IF(H467&lt;=3,"Tramo 2",IF(H467&lt;=5,"Tramo 3","Tramo 4"))))</f>
        <v>Tramo 2</v>
      </c>
      <c r="J467" s="22" t="s">
        <v>140</v>
      </c>
      <c r="K467" s="22"/>
      <c r="L467" s="22" t="s">
        <v>2133</v>
      </c>
      <c r="M467" s="26" t="s">
        <v>2134</v>
      </c>
      <c r="N467" s="22"/>
      <c r="O467" s="22" t="s">
        <v>63</v>
      </c>
      <c r="P467" s="25" t="str">
        <f aca="false">IF(OR(O467="",O467="Sin información"),"",IFERROR(INDEX(Listas!$B$2:$B$9,MATCH(O467,Listas!$A$2:$A$9,0)),""))</f>
        <v/>
      </c>
      <c r="Q467" s="25" t="str">
        <f aca="false">IF(OR(O467="",O467="Sin información"),"",IFERROR(INDEX(Listas!$C$2:$C$9,MATCH(O467,Listas!$A$2:$A$9,0)),""))</f>
        <v/>
      </c>
      <c r="R467" s="22"/>
      <c r="S467" s="22"/>
      <c r="T467" s="25" t="str">
        <f aca="false">IF(S467="","",IFERROR(INDEX(Empleadores!$B$2:$B$601,MATCH(S467,Empleadores!$A$2:$A$601,0)),"No encontrado"))</f>
        <v/>
      </c>
      <c r="U467" s="25" t="str">
        <f aca="false">IF(C467="","",IF(V467="","No",IF(Config!$C$4-V467&lt;=Config!$C$15,"Sí","No")))</f>
        <v>No</v>
      </c>
      <c r="V467" s="23"/>
      <c r="W467" s="22"/>
      <c r="X467" s="22"/>
      <c r="Y467" s="22"/>
      <c r="Z467" s="27"/>
      <c r="AA467" s="22"/>
      <c r="AB467" s="22"/>
    </row>
    <row r="468" customFormat="false" ht="15" hidden="false" customHeight="false" outlineLevel="0" collapsed="false">
      <c r="A468" s="22" t="n">
        <v>467</v>
      </c>
      <c r="B468" s="22" t="s">
        <v>2135</v>
      </c>
      <c r="C468" s="22" t="s">
        <v>2136</v>
      </c>
      <c r="D468" s="22" t="s">
        <v>138</v>
      </c>
      <c r="E468" s="22" t="s">
        <v>139</v>
      </c>
      <c r="F468" s="22" t="s">
        <v>104</v>
      </c>
      <c r="G468" s="23" t="n">
        <v>45289</v>
      </c>
      <c r="H468" s="24" t="n">
        <f aca="false">IF(G468="","",ROUND((Config!$C$4-G468)/365.25,2))</f>
        <v>2.76</v>
      </c>
      <c r="I468" s="25" t="str">
        <f aca="false">IF(H468="","",IF(H468&lt;=1,"Tramo 1",IF(H468&lt;=3,"Tramo 2",IF(H468&lt;=5,"Tramo 3","Tramo 4"))))</f>
        <v>Tramo 2</v>
      </c>
      <c r="J468" s="22" t="s">
        <v>140</v>
      </c>
      <c r="K468" s="22"/>
      <c r="L468" s="22" t="s">
        <v>2137</v>
      </c>
      <c r="M468" s="26" t="s">
        <v>2138</v>
      </c>
      <c r="N468" s="22"/>
      <c r="O468" s="22" t="s">
        <v>63</v>
      </c>
      <c r="P468" s="25" t="str">
        <f aca="false">IF(OR(O468="",O468="Sin información"),"",IFERROR(INDEX(Listas!$B$2:$B$9,MATCH(O468,Listas!$A$2:$A$9,0)),""))</f>
        <v/>
      </c>
      <c r="Q468" s="25" t="str">
        <f aca="false">IF(OR(O468="",O468="Sin información"),"",IFERROR(INDEX(Listas!$C$2:$C$9,MATCH(O468,Listas!$A$2:$A$9,0)),""))</f>
        <v/>
      </c>
      <c r="R468" s="22"/>
      <c r="S468" s="22"/>
      <c r="T468" s="25" t="str">
        <f aca="false">IF(S468="","",IFERROR(INDEX(Empleadores!$B$2:$B$601,MATCH(S468,Empleadores!$A$2:$A$601,0)),"No encontrado"))</f>
        <v/>
      </c>
      <c r="U468" s="25" t="str">
        <f aca="false">IF(C468="","",IF(V468="","No",IF(Config!$C$4-V468&lt;=Config!$C$15,"Sí","No")))</f>
        <v>No</v>
      </c>
      <c r="V468" s="23"/>
      <c r="W468" s="22"/>
      <c r="X468" s="22"/>
      <c r="Y468" s="22"/>
      <c r="Z468" s="27"/>
      <c r="AA468" s="22"/>
      <c r="AB468" s="22"/>
    </row>
    <row r="469" customFormat="false" ht="15" hidden="false" customHeight="false" outlineLevel="0" collapsed="false">
      <c r="A469" s="22" t="n">
        <v>468</v>
      </c>
      <c r="B469" s="22" t="s">
        <v>2139</v>
      </c>
      <c r="C469" s="22" t="s">
        <v>2140</v>
      </c>
      <c r="D469" s="22" t="s">
        <v>138</v>
      </c>
      <c r="E469" s="22" t="s">
        <v>139</v>
      </c>
      <c r="F469" s="22" t="s">
        <v>104</v>
      </c>
      <c r="G469" s="23" t="n">
        <v>45289</v>
      </c>
      <c r="H469" s="24" t="n">
        <f aca="false">IF(G469="","",ROUND((Config!$C$4-G469)/365.25,2))</f>
        <v>2.76</v>
      </c>
      <c r="I469" s="25" t="str">
        <f aca="false">IF(H469="","",IF(H469&lt;=1,"Tramo 1",IF(H469&lt;=3,"Tramo 2",IF(H469&lt;=5,"Tramo 3","Tramo 4"))))</f>
        <v>Tramo 2</v>
      </c>
      <c r="J469" s="22" t="s">
        <v>140</v>
      </c>
      <c r="K469" s="22"/>
      <c r="L469" s="22" t="s">
        <v>2141</v>
      </c>
      <c r="M469" s="26" t="s">
        <v>2142</v>
      </c>
      <c r="N469" s="22"/>
      <c r="O469" s="22" t="s">
        <v>63</v>
      </c>
      <c r="P469" s="25" t="str">
        <f aca="false">IF(OR(O469="",O469="Sin información"),"",IFERROR(INDEX(Listas!$B$2:$B$9,MATCH(O469,Listas!$A$2:$A$9,0)),""))</f>
        <v/>
      </c>
      <c r="Q469" s="25" t="str">
        <f aca="false">IF(OR(O469="",O469="Sin información"),"",IFERROR(INDEX(Listas!$C$2:$C$9,MATCH(O469,Listas!$A$2:$A$9,0)),""))</f>
        <v/>
      </c>
      <c r="R469" s="22"/>
      <c r="S469" s="22"/>
      <c r="T469" s="25" t="str">
        <f aca="false">IF(S469="","",IFERROR(INDEX(Empleadores!$B$2:$B$601,MATCH(S469,Empleadores!$A$2:$A$601,0)),"No encontrado"))</f>
        <v/>
      </c>
      <c r="U469" s="25" t="str">
        <f aca="false">IF(C469="","",IF(V469="","No",IF(Config!$C$4-V469&lt;=Config!$C$15,"Sí","No")))</f>
        <v>No</v>
      </c>
      <c r="V469" s="23"/>
      <c r="W469" s="22"/>
      <c r="X469" s="22"/>
      <c r="Y469" s="22"/>
      <c r="Z469" s="27"/>
      <c r="AA469" s="22"/>
      <c r="AB469" s="22"/>
    </row>
    <row r="470" customFormat="false" ht="15" hidden="false" customHeight="false" outlineLevel="0" collapsed="false">
      <c r="A470" s="22" t="n">
        <v>469</v>
      </c>
      <c r="B470" s="22" t="s">
        <v>2143</v>
      </c>
      <c r="C470" s="22" t="s">
        <v>2144</v>
      </c>
      <c r="D470" s="22" t="s">
        <v>138</v>
      </c>
      <c r="E470" s="22" t="s">
        <v>139</v>
      </c>
      <c r="F470" s="22" t="s">
        <v>104</v>
      </c>
      <c r="G470" s="23" t="n">
        <v>45289</v>
      </c>
      <c r="H470" s="24" t="n">
        <f aca="false">IF(G470="","",ROUND((Config!$C$4-G470)/365.25,2))</f>
        <v>2.76</v>
      </c>
      <c r="I470" s="25" t="str">
        <f aca="false">IF(H470="","",IF(H470&lt;=1,"Tramo 1",IF(H470&lt;=3,"Tramo 2",IF(H470&lt;=5,"Tramo 3","Tramo 4"))))</f>
        <v>Tramo 2</v>
      </c>
      <c r="J470" s="22" t="s">
        <v>140</v>
      </c>
      <c r="K470" s="22"/>
      <c r="L470" s="22" t="s">
        <v>2145</v>
      </c>
      <c r="M470" s="26" t="s">
        <v>2146</v>
      </c>
      <c r="N470" s="22"/>
      <c r="O470" s="22" t="s">
        <v>63</v>
      </c>
      <c r="P470" s="25" t="str">
        <f aca="false">IF(OR(O470="",O470="Sin información"),"",IFERROR(INDEX(Listas!$B$2:$B$9,MATCH(O470,Listas!$A$2:$A$9,0)),""))</f>
        <v/>
      </c>
      <c r="Q470" s="25" t="str">
        <f aca="false">IF(OR(O470="",O470="Sin información"),"",IFERROR(INDEX(Listas!$C$2:$C$9,MATCH(O470,Listas!$A$2:$A$9,0)),""))</f>
        <v/>
      </c>
      <c r="R470" s="22"/>
      <c r="S470" s="22"/>
      <c r="T470" s="25" t="str">
        <f aca="false">IF(S470="","",IFERROR(INDEX(Empleadores!$B$2:$B$601,MATCH(S470,Empleadores!$A$2:$A$601,0)),"No encontrado"))</f>
        <v/>
      </c>
      <c r="U470" s="25" t="str">
        <f aca="false">IF(C470="","",IF(V470="","No",IF(Config!$C$4-V470&lt;=Config!$C$15,"Sí","No")))</f>
        <v>No</v>
      </c>
      <c r="V470" s="23"/>
      <c r="W470" s="22"/>
      <c r="X470" s="22"/>
      <c r="Y470" s="22"/>
      <c r="Z470" s="27"/>
      <c r="AA470" s="22"/>
      <c r="AB470" s="22"/>
    </row>
    <row r="471" customFormat="false" ht="15" hidden="false" customHeight="false" outlineLevel="0" collapsed="false">
      <c r="A471" s="22" t="n">
        <v>470</v>
      </c>
      <c r="B471" s="22" t="s">
        <v>2147</v>
      </c>
      <c r="C471" s="22" t="s">
        <v>2148</v>
      </c>
      <c r="D471" s="22" t="s">
        <v>138</v>
      </c>
      <c r="E471" s="22" t="s">
        <v>139</v>
      </c>
      <c r="F471" s="22" t="s">
        <v>104</v>
      </c>
      <c r="G471" s="23" t="n">
        <v>45289</v>
      </c>
      <c r="H471" s="24" t="n">
        <f aca="false">IF(G471="","",ROUND((Config!$C$4-G471)/365.25,2))</f>
        <v>2.76</v>
      </c>
      <c r="I471" s="25" t="str">
        <f aca="false">IF(H471="","",IF(H471&lt;=1,"Tramo 1",IF(H471&lt;=3,"Tramo 2",IF(H471&lt;=5,"Tramo 3","Tramo 4"))))</f>
        <v>Tramo 2</v>
      </c>
      <c r="J471" s="22" t="s">
        <v>140</v>
      </c>
      <c r="K471" s="22"/>
      <c r="L471" s="22" t="s">
        <v>2149</v>
      </c>
      <c r="M471" s="26" t="s">
        <v>2150</v>
      </c>
      <c r="N471" s="22"/>
      <c r="O471" s="22" t="s">
        <v>85</v>
      </c>
      <c r="P471" s="25" t="str">
        <f aca="false">IF(OR(O471="",O471="Sin información"),"",IFERROR(INDEX(Listas!$B$2:$B$9,MATCH(O471,Listas!$A$2:$A$9,0)),""))</f>
        <v>Sí</v>
      </c>
      <c r="Q471" s="25" t="str">
        <f aca="false">IF(OR(O471="",O471="Sin información"),"",IFERROR(INDEX(Listas!$C$2:$C$9,MATCH(O471,Listas!$A$2:$A$9,0)),""))</f>
        <v>Sí</v>
      </c>
      <c r="R471" s="22"/>
      <c r="S471" s="22" t="s">
        <v>2151</v>
      </c>
      <c r="T471" s="25" t="str">
        <f aca="false">IF(S471="","",IFERROR(INDEX(Empleadores!$B$2:$B$601,MATCH(S471,Empleadores!$A$2:$A$601,0)),"No encontrado"))</f>
        <v>P.S. Ccahuayo</v>
      </c>
      <c r="U471" s="25" t="str">
        <f aca="false">IF(C471="","",IF(V471="","No",IF(Config!$C$4-V471&lt;=Config!$C$15,"Sí","No")))</f>
        <v>Sí</v>
      </c>
      <c r="V471" s="23" t="n">
        <v>45974</v>
      </c>
      <c r="W471" s="22"/>
      <c r="X471" s="22"/>
      <c r="Y471" s="22" t="s">
        <v>181</v>
      </c>
      <c r="Z471" s="27"/>
      <c r="AA471" s="22"/>
      <c r="AB471" s="22" t="s">
        <v>183</v>
      </c>
    </row>
    <row r="472" customFormat="false" ht="15" hidden="false" customHeight="false" outlineLevel="0" collapsed="false">
      <c r="A472" s="22" t="n">
        <v>471</v>
      </c>
      <c r="B472" s="22" t="s">
        <v>2152</v>
      </c>
      <c r="C472" s="22" t="s">
        <v>2153</v>
      </c>
      <c r="D472" s="22" t="s">
        <v>149</v>
      </c>
      <c r="E472" s="22" t="s">
        <v>139</v>
      </c>
      <c r="F472" s="22" t="s">
        <v>104</v>
      </c>
      <c r="G472" s="23" t="n">
        <v>45289</v>
      </c>
      <c r="H472" s="24" t="n">
        <f aca="false">IF(G472="","",ROUND((Config!$C$4-G472)/365.25,2))</f>
        <v>2.76</v>
      </c>
      <c r="I472" s="25" t="str">
        <f aca="false">IF(H472="","",IF(H472&lt;=1,"Tramo 1",IF(H472&lt;=3,"Tramo 2",IF(H472&lt;=5,"Tramo 3","Tramo 4"))))</f>
        <v>Tramo 2</v>
      </c>
      <c r="J472" s="22" t="s">
        <v>140</v>
      </c>
      <c r="K472" s="22"/>
      <c r="L472" s="22" t="s">
        <v>2154</v>
      </c>
      <c r="M472" s="26" t="s">
        <v>2155</v>
      </c>
      <c r="N472" s="22"/>
      <c r="O472" s="22" t="s">
        <v>63</v>
      </c>
      <c r="P472" s="25" t="str">
        <f aca="false">IF(OR(O472="",O472="Sin información"),"",IFERROR(INDEX(Listas!$B$2:$B$9,MATCH(O472,Listas!$A$2:$A$9,0)),""))</f>
        <v/>
      </c>
      <c r="Q472" s="25" t="str">
        <f aca="false">IF(OR(O472="",O472="Sin información"),"",IFERROR(INDEX(Listas!$C$2:$C$9,MATCH(O472,Listas!$A$2:$A$9,0)),""))</f>
        <v/>
      </c>
      <c r="R472" s="22"/>
      <c r="S472" s="22"/>
      <c r="T472" s="25" t="str">
        <f aca="false">IF(S472="","",IFERROR(INDEX(Empleadores!$B$2:$B$601,MATCH(S472,Empleadores!$A$2:$A$601,0)),"No encontrado"))</f>
        <v/>
      </c>
      <c r="U472" s="25" t="str">
        <f aca="false">IF(C472="","",IF(V472="","No",IF(Config!$C$4-V472&lt;=Config!$C$15,"Sí","No")))</f>
        <v>No</v>
      </c>
      <c r="V472" s="23"/>
      <c r="W472" s="22"/>
      <c r="X472" s="22"/>
      <c r="Y472" s="22"/>
      <c r="Z472" s="27"/>
      <c r="AA472" s="22" t="s">
        <v>2156</v>
      </c>
      <c r="AB472" s="22" t="s">
        <v>1691</v>
      </c>
    </row>
    <row r="473" customFormat="false" ht="15" hidden="false" customHeight="false" outlineLevel="0" collapsed="false">
      <c r="A473" s="22" t="n">
        <v>472</v>
      </c>
      <c r="B473" s="22" t="s">
        <v>2157</v>
      </c>
      <c r="C473" s="22" t="s">
        <v>2158</v>
      </c>
      <c r="D473" s="22" t="s">
        <v>149</v>
      </c>
      <c r="E473" s="22" t="s">
        <v>139</v>
      </c>
      <c r="F473" s="22" t="s">
        <v>104</v>
      </c>
      <c r="G473" s="23" t="n">
        <v>45289</v>
      </c>
      <c r="H473" s="24" t="n">
        <f aca="false">IF(G473="","",ROUND((Config!$C$4-G473)/365.25,2))</f>
        <v>2.76</v>
      </c>
      <c r="I473" s="25" t="str">
        <f aca="false">IF(H473="","",IF(H473&lt;=1,"Tramo 1",IF(H473&lt;=3,"Tramo 2",IF(H473&lt;=5,"Tramo 3","Tramo 4"))))</f>
        <v>Tramo 2</v>
      </c>
      <c r="J473" s="22" t="s">
        <v>140</v>
      </c>
      <c r="K473" s="22"/>
      <c r="L473" s="22" t="s">
        <v>2159</v>
      </c>
      <c r="M473" s="26" t="s">
        <v>2160</v>
      </c>
      <c r="N473" s="22"/>
      <c r="O473" s="22" t="s">
        <v>90</v>
      </c>
      <c r="P473" s="25" t="str">
        <f aca="false">IF(OR(O473="",O473="Sin información"),"",IFERROR(INDEX(Listas!$B$2:$B$9,MATCH(O473,Listas!$A$2:$A$9,0)),""))</f>
        <v>No</v>
      </c>
      <c r="Q473" s="25" t="str">
        <f aca="false">IF(OR(O473="",O473="Sin información"),"",IFERROR(INDEX(Listas!$C$2:$C$9,MATCH(O473,Listas!$A$2:$A$9,0)),""))</f>
        <v>No</v>
      </c>
      <c r="R473" s="22"/>
      <c r="S473" s="22"/>
      <c r="T473" s="25" t="str">
        <f aca="false">IF(S473="","",IFERROR(INDEX(Empleadores!$B$2:$B$601,MATCH(S473,Empleadores!$A$2:$A$601,0)),"No encontrado"))</f>
        <v/>
      </c>
      <c r="U473" s="25" t="str">
        <f aca="false">IF(C473="","",IF(V473="","No",IF(Config!$C$4-V473&lt;=Config!$C$15,"Sí","No")))</f>
        <v>Sí</v>
      </c>
      <c r="V473" s="23" t="n">
        <v>45968</v>
      </c>
      <c r="W473" s="22"/>
      <c r="X473" s="22"/>
      <c r="Y473" s="22" t="s">
        <v>181</v>
      </c>
      <c r="Z473" s="27"/>
      <c r="AA473" s="22"/>
      <c r="AB473" s="22" t="s">
        <v>183</v>
      </c>
    </row>
    <row r="474" customFormat="false" ht="15" hidden="false" customHeight="false" outlineLevel="0" collapsed="false">
      <c r="A474" s="22" t="n">
        <v>473</v>
      </c>
      <c r="B474" s="22" t="s">
        <v>2161</v>
      </c>
      <c r="C474" s="22" t="s">
        <v>2162</v>
      </c>
      <c r="D474" s="22" t="s">
        <v>138</v>
      </c>
      <c r="E474" s="22" t="s">
        <v>139</v>
      </c>
      <c r="F474" s="22" t="s">
        <v>104</v>
      </c>
      <c r="G474" s="23" t="n">
        <v>45289</v>
      </c>
      <c r="H474" s="24" t="n">
        <f aca="false">IF(G474="","",ROUND((Config!$C$4-G474)/365.25,2))</f>
        <v>2.76</v>
      </c>
      <c r="I474" s="25" t="str">
        <f aca="false">IF(H474="","",IF(H474&lt;=1,"Tramo 1",IF(H474&lt;=3,"Tramo 2",IF(H474&lt;=5,"Tramo 3","Tramo 4"))))</f>
        <v>Tramo 2</v>
      </c>
      <c r="J474" s="22" t="s">
        <v>140</v>
      </c>
      <c r="K474" s="22"/>
      <c r="L474" s="22" t="s">
        <v>2163</v>
      </c>
      <c r="M474" s="26" t="s">
        <v>2164</v>
      </c>
      <c r="N474" s="22"/>
      <c r="O474" s="22" t="s">
        <v>63</v>
      </c>
      <c r="P474" s="25" t="str">
        <f aca="false">IF(OR(O474="",O474="Sin información"),"",IFERROR(INDEX(Listas!$B$2:$B$9,MATCH(O474,Listas!$A$2:$A$9,0)),""))</f>
        <v/>
      </c>
      <c r="Q474" s="25" t="str">
        <f aca="false">IF(OR(O474="",O474="Sin información"),"",IFERROR(INDEX(Listas!$C$2:$C$9,MATCH(O474,Listas!$A$2:$A$9,0)),""))</f>
        <v/>
      </c>
      <c r="R474" s="22"/>
      <c r="S474" s="22"/>
      <c r="T474" s="25" t="str">
        <f aca="false">IF(S474="","",IFERROR(INDEX(Empleadores!$B$2:$B$601,MATCH(S474,Empleadores!$A$2:$A$601,0)),"No encontrado"))</f>
        <v/>
      </c>
      <c r="U474" s="25" t="str">
        <f aca="false">IF(C474="","",IF(V474="","No",IF(Config!$C$4-V474&lt;=Config!$C$15,"Sí","No")))</f>
        <v>No</v>
      </c>
      <c r="V474" s="23"/>
      <c r="W474" s="22"/>
      <c r="X474" s="22"/>
      <c r="Y474" s="22"/>
      <c r="Z474" s="27"/>
      <c r="AA474" s="22"/>
      <c r="AB474" s="22"/>
    </row>
    <row r="475" customFormat="false" ht="15" hidden="false" customHeight="false" outlineLevel="0" collapsed="false">
      <c r="A475" s="22" t="n">
        <v>474</v>
      </c>
      <c r="B475" s="22" t="s">
        <v>2165</v>
      </c>
      <c r="C475" s="22" t="s">
        <v>2166</v>
      </c>
      <c r="D475" s="22" t="s">
        <v>138</v>
      </c>
      <c r="E475" s="22" t="s">
        <v>139</v>
      </c>
      <c r="F475" s="22" t="s">
        <v>104</v>
      </c>
      <c r="G475" s="23" t="n">
        <v>45289</v>
      </c>
      <c r="H475" s="24" t="n">
        <f aca="false">IF(G475="","",ROUND((Config!$C$4-G475)/365.25,2))</f>
        <v>2.76</v>
      </c>
      <c r="I475" s="25" t="str">
        <f aca="false">IF(H475="","",IF(H475&lt;=1,"Tramo 1",IF(H475&lt;=3,"Tramo 2",IF(H475&lt;=5,"Tramo 3","Tramo 4"))))</f>
        <v>Tramo 2</v>
      </c>
      <c r="J475" s="22" t="s">
        <v>140</v>
      </c>
      <c r="K475" s="22"/>
      <c r="L475" s="22" t="s">
        <v>2167</v>
      </c>
      <c r="M475" s="26" t="s">
        <v>2168</v>
      </c>
      <c r="N475" s="22"/>
      <c r="O475" s="22" t="s">
        <v>63</v>
      </c>
      <c r="P475" s="25" t="str">
        <f aca="false">IF(OR(O475="",O475="Sin información"),"",IFERROR(INDEX(Listas!$B$2:$B$9,MATCH(O475,Listas!$A$2:$A$9,0)),""))</f>
        <v/>
      </c>
      <c r="Q475" s="25" t="str">
        <f aca="false">IF(OR(O475="",O475="Sin información"),"",IFERROR(INDEX(Listas!$C$2:$C$9,MATCH(O475,Listas!$A$2:$A$9,0)),""))</f>
        <v/>
      </c>
      <c r="R475" s="22"/>
      <c r="S475" s="22"/>
      <c r="T475" s="25" t="str">
        <f aca="false">IF(S475="","",IFERROR(INDEX(Empleadores!$B$2:$B$601,MATCH(S475,Empleadores!$A$2:$A$601,0)),"No encontrado"))</f>
        <v/>
      </c>
      <c r="U475" s="25" t="str">
        <f aca="false">IF(C475="","",IF(V475="","No",IF(Config!$C$4-V475&lt;=Config!$C$15,"Sí","No")))</f>
        <v>No</v>
      </c>
      <c r="V475" s="23"/>
      <c r="W475" s="22"/>
      <c r="X475" s="22"/>
      <c r="Y475" s="22"/>
      <c r="Z475" s="27"/>
      <c r="AA475" s="22"/>
      <c r="AB475" s="22"/>
    </row>
    <row r="476" customFormat="false" ht="15" hidden="false" customHeight="false" outlineLevel="0" collapsed="false">
      <c r="A476" s="22" t="n">
        <v>475</v>
      </c>
      <c r="B476" s="22" t="s">
        <v>2169</v>
      </c>
      <c r="C476" s="22" t="s">
        <v>2170</v>
      </c>
      <c r="D476" s="22" t="s">
        <v>149</v>
      </c>
      <c r="E476" s="22" t="s">
        <v>139</v>
      </c>
      <c r="F476" s="22" t="s">
        <v>104</v>
      </c>
      <c r="G476" s="23" t="n">
        <v>45289</v>
      </c>
      <c r="H476" s="24" t="n">
        <f aca="false">IF(G476="","",ROUND((Config!$C$4-G476)/365.25,2))</f>
        <v>2.76</v>
      </c>
      <c r="I476" s="25" t="str">
        <f aca="false">IF(H476="","",IF(H476&lt;=1,"Tramo 1",IF(H476&lt;=3,"Tramo 2",IF(H476&lt;=5,"Tramo 3","Tramo 4"))))</f>
        <v>Tramo 2</v>
      </c>
      <c r="J476" s="22" t="s">
        <v>140</v>
      </c>
      <c r="K476" s="22"/>
      <c r="L476" s="22" t="s">
        <v>2171</v>
      </c>
      <c r="M476" s="26"/>
      <c r="N476" s="22"/>
      <c r="O476" s="22" t="s">
        <v>63</v>
      </c>
      <c r="P476" s="25" t="str">
        <f aca="false">IF(OR(O476="",O476="Sin información"),"",IFERROR(INDEX(Listas!$B$2:$B$9,MATCH(O476,Listas!$A$2:$A$9,0)),""))</f>
        <v/>
      </c>
      <c r="Q476" s="25" t="str">
        <f aca="false">IF(OR(O476="",O476="Sin información"),"",IFERROR(INDEX(Listas!$C$2:$C$9,MATCH(O476,Listas!$A$2:$A$9,0)),""))</f>
        <v/>
      </c>
      <c r="R476" s="22"/>
      <c r="S476" s="22"/>
      <c r="T476" s="25" t="str">
        <f aca="false">IF(S476="","",IFERROR(INDEX(Empleadores!$B$2:$B$601,MATCH(S476,Empleadores!$A$2:$A$601,0)),"No encontrado"))</f>
        <v/>
      </c>
      <c r="U476" s="25" t="str">
        <f aca="false">IF(C476="","",IF(V476="","No",IF(Config!$C$4-V476&lt;=Config!$C$15,"Sí","No")))</f>
        <v>No</v>
      </c>
      <c r="V476" s="23"/>
      <c r="W476" s="22"/>
      <c r="X476" s="22"/>
      <c r="Y476" s="22"/>
      <c r="Z476" s="27"/>
      <c r="AA476" s="22"/>
      <c r="AB476" s="22"/>
    </row>
    <row r="477" customFormat="false" ht="15" hidden="false" customHeight="false" outlineLevel="0" collapsed="false">
      <c r="A477" s="22" t="n">
        <v>476</v>
      </c>
      <c r="B477" s="22" t="s">
        <v>2172</v>
      </c>
      <c r="C477" s="22" t="s">
        <v>2173</v>
      </c>
      <c r="D477" s="22" t="s">
        <v>138</v>
      </c>
      <c r="E477" s="22" t="s">
        <v>139</v>
      </c>
      <c r="F477" s="22" t="s">
        <v>104</v>
      </c>
      <c r="G477" s="23" t="n">
        <v>45289</v>
      </c>
      <c r="H477" s="24" t="n">
        <f aca="false">IF(G477="","",ROUND((Config!$C$4-G477)/365.25,2))</f>
        <v>2.76</v>
      </c>
      <c r="I477" s="25" t="str">
        <f aca="false">IF(H477="","",IF(H477&lt;=1,"Tramo 1",IF(H477&lt;=3,"Tramo 2",IF(H477&lt;=5,"Tramo 3","Tramo 4"))))</f>
        <v>Tramo 2</v>
      </c>
      <c r="J477" s="22" t="s">
        <v>140</v>
      </c>
      <c r="K477" s="22"/>
      <c r="L477" s="22" t="s">
        <v>2174</v>
      </c>
      <c r="M477" s="26" t="s">
        <v>2175</v>
      </c>
      <c r="N477" s="22"/>
      <c r="O477" s="22" t="s">
        <v>63</v>
      </c>
      <c r="P477" s="25" t="str">
        <f aca="false">IF(OR(O477="",O477="Sin información"),"",IFERROR(INDEX(Listas!$B$2:$B$9,MATCH(O477,Listas!$A$2:$A$9,0)),""))</f>
        <v/>
      </c>
      <c r="Q477" s="25" t="str">
        <f aca="false">IF(OR(O477="",O477="Sin información"),"",IFERROR(INDEX(Listas!$C$2:$C$9,MATCH(O477,Listas!$A$2:$A$9,0)),""))</f>
        <v/>
      </c>
      <c r="R477" s="22"/>
      <c r="S477" s="22"/>
      <c r="T477" s="25" t="str">
        <f aca="false">IF(S477="","",IFERROR(INDEX(Empleadores!$B$2:$B$601,MATCH(S477,Empleadores!$A$2:$A$601,0)),"No encontrado"))</f>
        <v/>
      </c>
      <c r="U477" s="25" t="str">
        <f aca="false">IF(C477="","",IF(V477="","No",IF(Config!$C$4-V477&lt;=Config!$C$15,"Sí","No")))</f>
        <v>No</v>
      </c>
      <c r="V477" s="23"/>
      <c r="W477" s="22"/>
      <c r="X477" s="22"/>
      <c r="Y477" s="22"/>
      <c r="Z477" s="27"/>
      <c r="AA477" s="22"/>
      <c r="AB477" s="22"/>
    </row>
    <row r="478" customFormat="false" ht="15" hidden="false" customHeight="false" outlineLevel="0" collapsed="false">
      <c r="A478" s="22" t="n">
        <v>477</v>
      </c>
      <c r="B478" s="22" t="s">
        <v>2176</v>
      </c>
      <c r="C478" s="22" t="s">
        <v>2177</v>
      </c>
      <c r="D478" s="22" t="s">
        <v>138</v>
      </c>
      <c r="E478" s="22" t="s">
        <v>139</v>
      </c>
      <c r="F478" s="22" t="s">
        <v>104</v>
      </c>
      <c r="G478" s="23" t="n">
        <v>45289</v>
      </c>
      <c r="H478" s="24" t="n">
        <f aca="false">IF(G478="","",ROUND((Config!$C$4-G478)/365.25,2))</f>
        <v>2.76</v>
      </c>
      <c r="I478" s="25" t="str">
        <f aca="false">IF(H478="","",IF(H478&lt;=1,"Tramo 1",IF(H478&lt;=3,"Tramo 2",IF(H478&lt;=5,"Tramo 3","Tramo 4"))))</f>
        <v>Tramo 2</v>
      </c>
      <c r="J478" s="22" t="s">
        <v>140</v>
      </c>
      <c r="K478" s="22"/>
      <c r="L478" s="22" t="s">
        <v>2178</v>
      </c>
      <c r="M478" s="26" t="s">
        <v>2179</v>
      </c>
      <c r="N478" s="22"/>
      <c r="O478" s="22" t="s">
        <v>63</v>
      </c>
      <c r="P478" s="25" t="str">
        <f aca="false">IF(OR(O478="",O478="Sin información"),"",IFERROR(INDEX(Listas!$B$2:$B$9,MATCH(O478,Listas!$A$2:$A$9,0)),""))</f>
        <v/>
      </c>
      <c r="Q478" s="25" t="str">
        <f aca="false">IF(OR(O478="",O478="Sin información"),"",IFERROR(INDEX(Listas!$C$2:$C$9,MATCH(O478,Listas!$A$2:$A$9,0)),""))</f>
        <v/>
      </c>
      <c r="R478" s="22"/>
      <c r="S478" s="22"/>
      <c r="T478" s="25" t="str">
        <f aca="false">IF(S478="","",IFERROR(INDEX(Empleadores!$B$2:$B$601,MATCH(S478,Empleadores!$A$2:$A$601,0)),"No encontrado"))</f>
        <v/>
      </c>
      <c r="U478" s="25" t="str">
        <f aca="false">IF(C478="","",IF(V478="","No",IF(Config!$C$4-V478&lt;=Config!$C$15,"Sí","No")))</f>
        <v>No</v>
      </c>
      <c r="V478" s="23"/>
      <c r="W478" s="22"/>
      <c r="X478" s="22"/>
      <c r="Y478" s="22"/>
      <c r="Z478" s="27"/>
      <c r="AA478" s="22"/>
      <c r="AB478" s="22"/>
    </row>
    <row r="479" customFormat="false" ht="15" hidden="false" customHeight="false" outlineLevel="0" collapsed="false">
      <c r="A479" s="22" t="n">
        <v>478</v>
      </c>
      <c r="B479" s="22" t="s">
        <v>2180</v>
      </c>
      <c r="C479" s="22" t="s">
        <v>2181</v>
      </c>
      <c r="D479" s="22" t="s">
        <v>138</v>
      </c>
      <c r="E479" s="22" t="s">
        <v>139</v>
      </c>
      <c r="F479" s="22" t="s">
        <v>104</v>
      </c>
      <c r="G479" s="23" t="n">
        <v>45289</v>
      </c>
      <c r="H479" s="24" t="n">
        <f aca="false">IF(G479="","",ROUND((Config!$C$4-G479)/365.25,2))</f>
        <v>2.76</v>
      </c>
      <c r="I479" s="25" t="str">
        <f aca="false">IF(H479="","",IF(H479&lt;=1,"Tramo 1",IF(H479&lt;=3,"Tramo 2",IF(H479&lt;=5,"Tramo 3","Tramo 4"))))</f>
        <v>Tramo 2</v>
      </c>
      <c r="J479" s="22" t="s">
        <v>140</v>
      </c>
      <c r="K479" s="22"/>
      <c r="L479" s="22" t="s">
        <v>2182</v>
      </c>
      <c r="M479" s="26" t="s">
        <v>2183</v>
      </c>
      <c r="N479" s="22"/>
      <c r="O479" s="22" t="s">
        <v>63</v>
      </c>
      <c r="P479" s="25" t="str">
        <f aca="false">IF(OR(O479="",O479="Sin información"),"",IFERROR(INDEX(Listas!$B$2:$B$9,MATCH(O479,Listas!$A$2:$A$9,0)),""))</f>
        <v/>
      </c>
      <c r="Q479" s="25" t="str">
        <f aca="false">IF(OR(O479="",O479="Sin información"),"",IFERROR(INDEX(Listas!$C$2:$C$9,MATCH(O479,Listas!$A$2:$A$9,0)),""))</f>
        <v/>
      </c>
      <c r="R479" s="22"/>
      <c r="S479" s="22"/>
      <c r="T479" s="25" t="str">
        <f aca="false">IF(S479="","",IFERROR(INDEX(Empleadores!$B$2:$B$601,MATCH(S479,Empleadores!$A$2:$A$601,0)),"No encontrado"))</f>
        <v/>
      </c>
      <c r="U479" s="25" t="str">
        <f aca="false">IF(C479="","",IF(V479="","No",IF(Config!$C$4-V479&lt;=Config!$C$15,"Sí","No")))</f>
        <v>No</v>
      </c>
      <c r="V479" s="23"/>
      <c r="W479" s="22"/>
      <c r="X479" s="22"/>
      <c r="Y479" s="22"/>
      <c r="Z479" s="27"/>
      <c r="AA479" s="22" t="s">
        <v>2184</v>
      </c>
      <c r="AB479" s="22" t="s">
        <v>1691</v>
      </c>
    </row>
    <row r="480" customFormat="false" ht="15" hidden="false" customHeight="false" outlineLevel="0" collapsed="false">
      <c r="A480" s="22" t="n">
        <v>479</v>
      </c>
      <c r="B480" s="22" t="s">
        <v>2185</v>
      </c>
      <c r="C480" s="22" t="s">
        <v>2186</v>
      </c>
      <c r="D480" s="22" t="s">
        <v>138</v>
      </c>
      <c r="E480" s="22" t="s">
        <v>139</v>
      </c>
      <c r="F480" s="22" t="s">
        <v>104</v>
      </c>
      <c r="G480" s="23" t="n">
        <v>45289</v>
      </c>
      <c r="H480" s="24" t="n">
        <f aca="false">IF(G480="","",ROUND((Config!$C$4-G480)/365.25,2))</f>
        <v>2.76</v>
      </c>
      <c r="I480" s="25" t="str">
        <f aca="false">IF(H480="","",IF(H480&lt;=1,"Tramo 1",IF(H480&lt;=3,"Tramo 2",IF(H480&lt;=5,"Tramo 3","Tramo 4"))))</f>
        <v>Tramo 2</v>
      </c>
      <c r="J480" s="22" t="s">
        <v>140</v>
      </c>
      <c r="K480" s="22"/>
      <c r="L480" s="22" t="s">
        <v>2187</v>
      </c>
      <c r="M480" s="26" t="s">
        <v>2188</v>
      </c>
      <c r="N480" s="22"/>
      <c r="O480" s="22" t="s">
        <v>63</v>
      </c>
      <c r="P480" s="25" t="str">
        <f aca="false">IF(OR(O480="",O480="Sin información"),"",IFERROR(INDEX(Listas!$B$2:$B$9,MATCH(O480,Listas!$A$2:$A$9,0)),""))</f>
        <v/>
      </c>
      <c r="Q480" s="25" t="str">
        <f aca="false">IF(OR(O480="",O480="Sin información"),"",IFERROR(INDEX(Listas!$C$2:$C$9,MATCH(O480,Listas!$A$2:$A$9,0)),""))</f>
        <v/>
      </c>
      <c r="R480" s="22"/>
      <c r="S480" s="22"/>
      <c r="T480" s="25" t="str">
        <f aca="false">IF(S480="","",IFERROR(INDEX(Empleadores!$B$2:$B$601,MATCH(S480,Empleadores!$A$2:$A$601,0)),"No encontrado"))</f>
        <v/>
      </c>
      <c r="U480" s="25" t="str">
        <f aca="false">IF(C480="","",IF(V480="","No",IF(Config!$C$4-V480&lt;=Config!$C$15,"Sí","No")))</f>
        <v>No</v>
      </c>
      <c r="V480" s="23"/>
      <c r="W480" s="22"/>
      <c r="X480" s="22"/>
      <c r="Y480" s="22"/>
      <c r="Z480" s="27"/>
      <c r="AA480" s="22"/>
      <c r="AB480" s="22"/>
    </row>
    <row r="481" customFormat="false" ht="15" hidden="false" customHeight="false" outlineLevel="0" collapsed="false">
      <c r="A481" s="22" t="n">
        <v>480</v>
      </c>
      <c r="B481" s="22" t="s">
        <v>2189</v>
      </c>
      <c r="C481" s="22" t="s">
        <v>2190</v>
      </c>
      <c r="D481" s="22" t="s">
        <v>149</v>
      </c>
      <c r="E481" s="22" t="s">
        <v>139</v>
      </c>
      <c r="F481" s="22" t="s">
        <v>104</v>
      </c>
      <c r="G481" s="23" t="n">
        <v>45289</v>
      </c>
      <c r="H481" s="24" t="n">
        <f aca="false">IF(G481="","",ROUND((Config!$C$4-G481)/365.25,2))</f>
        <v>2.76</v>
      </c>
      <c r="I481" s="25" t="str">
        <f aca="false">IF(H481="","",IF(H481&lt;=1,"Tramo 1",IF(H481&lt;=3,"Tramo 2",IF(H481&lt;=5,"Tramo 3","Tramo 4"))))</f>
        <v>Tramo 2</v>
      </c>
      <c r="J481" s="22" t="s">
        <v>140</v>
      </c>
      <c r="K481" s="22"/>
      <c r="L481" s="22" t="s">
        <v>2191</v>
      </c>
      <c r="M481" s="26" t="s">
        <v>2192</v>
      </c>
      <c r="N481" s="22"/>
      <c r="O481" s="22" t="s">
        <v>63</v>
      </c>
      <c r="P481" s="25" t="str">
        <f aca="false">IF(OR(O481="",O481="Sin información"),"",IFERROR(INDEX(Listas!$B$2:$B$9,MATCH(O481,Listas!$A$2:$A$9,0)),""))</f>
        <v/>
      </c>
      <c r="Q481" s="25" t="str">
        <f aca="false">IF(OR(O481="",O481="Sin información"),"",IFERROR(INDEX(Listas!$C$2:$C$9,MATCH(O481,Listas!$A$2:$A$9,0)),""))</f>
        <v/>
      </c>
      <c r="R481" s="22"/>
      <c r="S481" s="22"/>
      <c r="T481" s="25" t="str">
        <f aca="false">IF(S481="","",IFERROR(INDEX(Empleadores!$B$2:$B$601,MATCH(S481,Empleadores!$A$2:$A$601,0)),"No encontrado"))</f>
        <v/>
      </c>
      <c r="U481" s="25" t="str">
        <f aca="false">IF(C481="","",IF(V481="","No",IF(Config!$C$4-V481&lt;=Config!$C$15,"Sí","No")))</f>
        <v>No</v>
      </c>
      <c r="V481" s="23"/>
      <c r="W481" s="22"/>
      <c r="X481" s="22"/>
      <c r="Y481" s="22"/>
      <c r="Z481" s="27"/>
      <c r="AA481" s="22"/>
      <c r="AB481" s="22"/>
    </row>
    <row r="482" customFormat="false" ht="15" hidden="false" customHeight="false" outlineLevel="0" collapsed="false">
      <c r="A482" s="22" t="n">
        <v>481</v>
      </c>
      <c r="B482" s="22" t="s">
        <v>2193</v>
      </c>
      <c r="C482" s="22" t="s">
        <v>2194</v>
      </c>
      <c r="D482" s="22" t="s">
        <v>149</v>
      </c>
      <c r="E482" s="22" t="s">
        <v>139</v>
      </c>
      <c r="F482" s="22" t="s">
        <v>104</v>
      </c>
      <c r="G482" s="23" t="n">
        <v>45289</v>
      </c>
      <c r="H482" s="24" t="n">
        <f aca="false">IF(G482="","",ROUND((Config!$C$4-G482)/365.25,2))</f>
        <v>2.76</v>
      </c>
      <c r="I482" s="25" t="str">
        <f aca="false">IF(H482="","",IF(H482&lt;=1,"Tramo 1",IF(H482&lt;=3,"Tramo 2",IF(H482&lt;=5,"Tramo 3","Tramo 4"))))</f>
        <v>Tramo 2</v>
      </c>
      <c r="J482" s="22" t="s">
        <v>140</v>
      </c>
      <c r="K482" s="22"/>
      <c r="L482" s="22" t="s">
        <v>2195</v>
      </c>
      <c r="M482" s="26" t="s">
        <v>2196</v>
      </c>
      <c r="N482" s="22"/>
      <c r="O482" s="22" t="s">
        <v>63</v>
      </c>
      <c r="P482" s="25" t="str">
        <f aca="false">IF(OR(O482="",O482="Sin información"),"",IFERROR(INDEX(Listas!$B$2:$B$9,MATCH(O482,Listas!$A$2:$A$9,0)),""))</f>
        <v/>
      </c>
      <c r="Q482" s="25" t="str">
        <f aca="false">IF(OR(O482="",O482="Sin información"),"",IFERROR(INDEX(Listas!$C$2:$C$9,MATCH(O482,Listas!$A$2:$A$9,0)),""))</f>
        <v/>
      </c>
      <c r="R482" s="22"/>
      <c r="S482" s="22"/>
      <c r="T482" s="25" t="str">
        <f aca="false">IF(S482="","",IFERROR(INDEX(Empleadores!$B$2:$B$601,MATCH(S482,Empleadores!$A$2:$A$601,0)),"No encontrado"))</f>
        <v/>
      </c>
      <c r="U482" s="25" t="str">
        <f aca="false">IF(C482="","",IF(V482="","No",IF(Config!$C$4-V482&lt;=Config!$C$15,"Sí","No")))</f>
        <v>No</v>
      </c>
      <c r="V482" s="23"/>
      <c r="W482" s="22"/>
      <c r="X482" s="22"/>
      <c r="Y482" s="22"/>
      <c r="Z482" s="27"/>
      <c r="AA482" s="22"/>
      <c r="AB482" s="22"/>
    </row>
    <row r="483" customFormat="false" ht="15" hidden="false" customHeight="false" outlineLevel="0" collapsed="false">
      <c r="A483" s="22" t="n">
        <v>482</v>
      </c>
      <c r="B483" s="22" t="s">
        <v>2197</v>
      </c>
      <c r="C483" s="22" t="s">
        <v>2198</v>
      </c>
      <c r="D483" s="22" t="s">
        <v>138</v>
      </c>
      <c r="E483" s="22" t="s">
        <v>139</v>
      </c>
      <c r="F483" s="22" t="s">
        <v>104</v>
      </c>
      <c r="G483" s="23" t="n">
        <v>45289</v>
      </c>
      <c r="H483" s="24" t="n">
        <f aca="false">IF(G483="","",ROUND((Config!$C$4-G483)/365.25,2))</f>
        <v>2.76</v>
      </c>
      <c r="I483" s="25" t="str">
        <f aca="false">IF(H483="","",IF(H483&lt;=1,"Tramo 1",IF(H483&lt;=3,"Tramo 2",IF(H483&lt;=5,"Tramo 3","Tramo 4"))))</f>
        <v>Tramo 2</v>
      </c>
      <c r="J483" s="22" t="s">
        <v>140</v>
      </c>
      <c r="K483" s="22"/>
      <c r="L483" s="22" t="s">
        <v>2199</v>
      </c>
      <c r="M483" s="26" t="s">
        <v>2200</v>
      </c>
      <c r="N483" s="22"/>
      <c r="O483" s="22" t="s">
        <v>63</v>
      </c>
      <c r="P483" s="25" t="str">
        <f aca="false">IF(OR(O483="",O483="Sin información"),"",IFERROR(INDEX(Listas!$B$2:$B$9,MATCH(O483,Listas!$A$2:$A$9,0)),""))</f>
        <v/>
      </c>
      <c r="Q483" s="25" t="str">
        <f aca="false">IF(OR(O483="",O483="Sin información"),"",IFERROR(INDEX(Listas!$C$2:$C$9,MATCH(O483,Listas!$A$2:$A$9,0)),""))</f>
        <v/>
      </c>
      <c r="R483" s="22"/>
      <c r="S483" s="22"/>
      <c r="T483" s="25" t="str">
        <f aca="false">IF(S483="","",IFERROR(INDEX(Empleadores!$B$2:$B$601,MATCH(S483,Empleadores!$A$2:$A$601,0)),"No encontrado"))</f>
        <v/>
      </c>
      <c r="U483" s="25" t="str">
        <f aca="false">IF(C483="","",IF(V483="","No",IF(Config!$C$4-V483&lt;=Config!$C$15,"Sí","No")))</f>
        <v>No</v>
      </c>
      <c r="V483" s="23"/>
      <c r="W483" s="22"/>
      <c r="X483" s="22"/>
      <c r="Y483" s="22"/>
      <c r="Z483" s="27"/>
      <c r="AA483" s="22"/>
      <c r="AB483" s="22"/>
    </row>
    <row r="484" customFormat="false" ht="15" hidden="false" customHeight="false" outlineLevel="0" collapsed="false">
      <c r="A484" s="22" t="n">
        <v>483</v>
      </c>
      <c r="B484" s="22" t="s">
        <v>2201</v>
      </c>
      <c r="C484" s="22" t="s">
        <v>2202</v>
      </c>
      <c r="D484" s="22" t="s">
        <v>149</v>
      </c>
      <c r="E484" s="22" t="s">
        <v>139</v>
      </c>
      <c r="F484" s="22" t="s">
        <v>104</v>
      </c>
      <c r="G484" s="23" t="n">
        <v>45289</v>
      </c>
      <c r="H484" s="24" t="n">
        <f aca="false">IF(G484="","",ROUND((Config!$C$4-G484)/365.25,2))</f>
        <v>2.76</v>
      </c>
      <c r="I484" s="25" t="str">
        <f aca="false">IF(H484="","",IF(H484&lt;=1,"Tramo 1",IF(H484&lt;=3,"Tramo 2",IF(H484&lt;=5,"Tramo 3","Tramo 4"))))</f>
        <v>Tramo 2</v>
      </c>
      <c r="J484" s="22" t="s">
        <v>140</v>
      </c>
      <c r="K484" s="22"/>
      <c r="L484" s="22" t="s">
        <v>2203</v>
      </c>
      <c r="M484" s="26" t="s">
        <v>2204</v>
      </c>
      <c r="N484" s="22"/>
      <c r="O484" s="22" t="s">
        <v>63</v>
      </c>
      <c r="P484" s="25" t="str">
        <f aca="false">IF(OR(O484="",O484="Sin información"),"",IFERROR(INDEX(Listas!$B$2:$B$9,MATCH(O484,Listas!$A$2:$A$9,0)),""))</f>
        <v/>
      </c>
      <c r="Q484" s="25" t="str">
        <f aca="false">IF(OR(O484="",O484="Sin información"),"",IFERROR(INDEX(Listas!$C$2:$C$9,MATCH(O484,Listas!$A$2:$A$9,0)),""))</f>
        <v/>
      </c>
      <c r="R484" s="22"/>
      <c r="S484" s="22"/>
      <c r="T484" s="25" t="str">
        <f aca="false">IF(S484="","",IFERROR(INDEX(Empleadores!$B$2:$B$601,MATCH(S484,Empleadores!$A$2:$A$601,0)),"No encontrado"))</f>
        <v/>
      </c>
      <c r="U484" s="25" t="str">
        <f aca="false">IF(C484="","",IF(V484="","No",IF(Config!$C$4-V484&lt;=Config!$C$15,"Sí","No")))</f>
        <v>No</v>
      </c>
      <c r="V484" s="23"/>
      <c r="W484" s="22"/>
      <c r="X484" s="22"/>
      <c r="Y484" s="22"/>
      <c r="Z484" s="27"/>
      <c r="AA484" s="22"/>
      <c r="AB484" s="22"/>
    </row>
    <row r="485" customFormat="false" ht="15" hidden="false" customHeight="false" outlineLevel="0" collapsed="false">
      <c r="A485" s="22" t="n">
        <v>484</v>
      </c>
      <c r="B485" s="22" t="s">
        <v>2205</v>
      </c>
      <c r="C485" s="22" t="s">
        <v>2206</v>
      </c>
      <c r="D485" s="22" t="s">
        <v>149</v>
      </c>
      <c r="E485" s="22" t="s">
        <v>139</v>
      </c>
      <c r="F485" s="22" t="s">
        <v>104</v>
      </c>
      <c r="G485" s="23" t="n">
        <v>45289</v>
      </c>
      <c r="H485" s="24" t="n">
        <f aca="false">IF(G485="","",ROUND((Config!$C$4-G485)/365.25,2))</f>
        <v>2.76</v>
      </c>
      <c r="I485" s="25" t="str">
        <f aca="false">IF(H485="","",IF(H485&lt;=1,"Tramo 1",IF(H485&lt;=3,"Tramo 2",IF(H485&lt;=5,"Tramo 3","Tramo 4"))))</f>
        <v>Tramo 2</v>
      </c>
      <c r="J485" s="22" t="s">
        <v>140</v>
      </c>
      <c r="K485" s="22"/>
      <c r="L485" s="22" t="s">
        <v>2207</v>
      </c>
      <c r="M485" s="26" t="s">
        <v>2208</v>
      </c>
      <c r="N485" s="22"/>
      <c r="O485" s="22" t="s">
        <v>63</v>
      </c>
      <c r="P485" s="25" t="str">
        <f aca="false">IF(OR(O485="",O485="Sin información"),"",IFERROR(INDEX(Listas!$B$2:$B$9,MATCH(O485,Listas!$A$2:$A$9,0)),""))</f>
        <v/>
      </c>
      <c r="Q485" s="25" t="str">
        <f aca="false">IF(OR(O485="",O485="Sin información"),"",IFERROR(INDEX(Listas!$C$2:$C$9,MATCH(O485,Listas!$A$2:$A$9,0)),""))</f>
        <v/>
      </c>
      <c r="R485" s="22"/>
      <c r="S485" s="22"/>
      <c r="T485" s="25" t="str">
        <f aca="false">IF(S485="","",IFERROR(INDEX(Empleadores!$B$2:$B$601,MATCH(S485,Empleadores!$A$2:$A$601,0)),"No encontrado"))</f>
        <v/>
      </c>
      <c r="U485" s="25" t="str">
        <f aca="false">IF(C485="","",IF(V485="","No",IF(Config!$C$4-V485&lt;=Config!$C$15,"Sí","No")))</f>
        <v>No</v>
      </c>
      <c r="V485" s="23"/>
      <c r="W485" s="22"/>
      <c r="X485" s="22"/>
      <c r="Y485" s="22"/>
      <c r="Z485" s="27"/>
      <c r="AA485" s="22"/>
      <c r="AB485" s="22"/>
    </row>
    <row r="486" customFormat="false" ht="15" hidden="false" customHeight="false" outlineLevel="0" collapsed="false">
      <c r="A486" s="22" t="n">
        <v>485</v>
      </c>
      <c r="B486" s="22" t="s">
        <v>2209</v>
      </c>
      <c r="C486" s="22" t="s">
        <v>2210</v>
      </c>
      <c r="D486" s="22" t="s">
        <v>138</v>
      </c>
      <c r="E486" s="22" t="s">
        <v>139</v>
      </c>
      <c r="F486" s="22" t="s">
        <v>104</v>
      </c>
      <c r="G486" s="23" t="n">
        <v>45289</v>
      </c>
      <c r="H486" s="24" t="n">
        <f aca="false">IF(G486="","",ROUND((Config!$C$4-G486)/365.25,2))</f>
        <v>2.76</v>
      </c>
      <c r="I486" s="25" t="str">
        <f aca="false">IF(H486="","",IF(H486&lt;=1,"Tramo 1",IF(H486&lt;=3,"Tramo 2",IF(H486&lt;=5,"Tramo 3","Tramo 4"))))</f>
        <v>Tramo 2</v>
      </c>
      <c r="J486" s="22" t="s">
        <v>140</v>
      </c>
      <c r="K486" s="22"/>
      <c r="L486" s="22" t="s">
        <v>2211</v>
      </c>
      <c r="M486" s="26" t="s">
        <v>2212</v>
      </c>
      <c r="N486" s="22"/>
      <c r="O486" s="22" t="s">
        <v>63</v>
      </c>
      <c r="P486" s="25" t="str">
        <f aca="false">IF(OR(O486="",O486="Sin información"),"",IFERROR(INDEX(Listas!$B$2:$B$9,MATCH(O486,Listas!$A$2:$A$9,0)),""))</f>
        <v/>
      </c>
      <c r="Q486" s="25" t="str">
        <f aca="false">IF(OR(O486="",O486="Sin información"),"",IFERROR(INDEX(Listas!$C$2:$C$9,MATCH(O486,Listas!$A$2:$A$9,0)),""))</f>
        <v/>
      </c>
      <c r="R486" s="22"/>
      <c r="S486" s="22"/>
      <c r="T486" s="25" t="str">
        <f aca="false">IF(S486="","",IFERROR(INDEX(Empleadores!$B$2:$B$601,MATCH(S486,Empleadores!$A$2:$A$601,0)),"No encontrado"))</f>
        <v/>
      </c>
      <c r="U486" s="25" t="str">
        <f aca="false">IF(C486="","",IF(V486="","No",IF(Config!$C$4-V486&lt;=Config!$C$15,"Sí","No")))</f>
        <v>No</v>
      </c>
      <c r="V486" s="23"/>
      <c r="W486" s="22"/>
      <c r="X486" s="22"/>
      <c r="Y486" s="22"/>
      <c r="Z486" s="27"/>
      <c r="AA486" s="22"/>
      <c r="AB486" s="22"/>
    </row>
    <row r="487" customFormat="false" ht="15" hidden="false" customHeight="false" outlineLevel="0" collapsed="false">
      <c r="A487" s="22" t="n">
        <v>486</v>
      </c>
      <c r="B487" s="22" t="s">
        <v>2213</v>
      </c>
      <c r="C487" s="22" t="s">
        <v>2214</v>
      </c>
      <c r="D487" s="22" t="s">
        <v>138</v>
      </c>
      <c r="E487" s="22" t="s">
        <v>139</v>
      </c>
      <c r="F487" s="22" t="s">
        <v>104</v>
      </c>
      <c r="G487" s="23" t="n">
        <v>45289</v>
      </c>
      <c r="H487" s="24" t="n">
        <f aca="false">IF(G487="","",ROUND((Config!$C$4-G487)/365.25,2))</f>
        <v>2.76</v>
      </c>
      <c r="I487" s="25" t="str">
        <f aca="false">IF(H487="","",IF(H487&lt;=1,"Tramo 1",IF(H487&lt;=3,"Tramo 2",IF(H487&lt;=5,"Tramo 3","Tramo 4"))))</f>
        <v>Tramo 2</v>
      </c>
      <c r="J487" s="22" t="s">
        <v>140</v>
      </c>
      <c r="K487" s="22"/>
      <c r="L487" s="22" t="s">
        <v>2215</v>
      </c>
      <c r="M487" s="26" t="s">
        <v>2216</v>
      </c>
      <c r="N487" s="22"/>
      <c r="O487" s="22" t="s">
        <v>63</v>
      </c>
      <c r="P487" s="25" t="str">
        <f aca="false">IF(OR(O487="",O487="Sin información"),"",IFERROR(INDEX(Listas!$B$2:$B$9,MATCH(O487,Listas!$A$2:$A$9,0)),""))</f>
        <v/>
      </c>
      <c r="Q487" s="25" t="str">
        <f aca="false">IF(OR(O487="",O487="Sin información"),"",IFERROR(INDEX(Listas!$C$2:$C$9,MATCH(O487,Listas!$A$2:$A$9,0)),""))</f>
        <v/>
      </c>
      <c r="R487" s="22"/>
      <c r="S487" s="22"/>
      <c r="T487" s="25" t="str">
        <f aca="false">IF(S487="","",IFERROR(INDEX(Empleadores!$B$2:$B$601,MATCH(S487,Empleadores!$A$2:$A$601,0)),"No encontrado"))</f>
        <v/>
      </c>
      <c r="U487" s="25" t="str">
        <f aca="false">IF(C487="","",IF(V487="","No",IF(Config!$C$4-V487&lt;=Config!$C$15,"Sí","No")))</f>
        <v>No</v>
      </c>
      <c r="V487" s="23"/>
      <c r="W487" s="22"/>
      <c r="X487" s="22"/>
      <c r="Y487" s="22"/>
      <c r="Z487" s="27"/>
      <c r="AA487" s="22"/>
      <c r="AB487" s="22"/>
    </row>
    <row r="488" customFormat="false" ht="15" hidden="false" customHeight="false" outlineLevel="0" collapsed="false">
      <c r="A488" s="22" t="n">
        <v>487</v>
      </c>
      <c r="B488" s="22" t="s">
        <v>2217</v>
      </c>
      <c r="C488" s="22" t="s">
        <v>2218</v>
      </c>
      <c r="D488" s="22" t="s">
        <v>149</v>
      </c>
      <c r="E488" s="22" t="s">
        <v>139</v>
      </c>
      <c r="F488" s="22" t="s">
        <v>104</v>
      </c>
      <c r="G488" s="23" t="n">
        <v>45289</v>
      </c>
      <c r="H488" s="24" t="n">
        <f aca="false">IF(G488="","",ROUND((Config!$C$4-G488)/365.25,2))</f>
        <v>2.76</v>
      </c>
      <c r="I488" s="25" t="str">
        <f aca="false">IF(H488="","",IF(H488&lt;=1,"Tramo 1",IF(H488&lt;=3,"Tramo 2",IF(H488&lt;=5,"Tramo 3","Tramo 4"))))</f>
        <v>Tramo 2</v>
      </c>
      <c r="J488" s="22" t="s">
        <v>140</v>
      </c>
      <c r="K488" s="22"/>
      <c r="L488" s="22" t="s">
        <v>2219</v>
      </c>
      <c r="M488" s="26" t="s">
        <v>2220</v>
      </c>
      <c r="N488" s="22"/>
      <c r="O488" s="22" t="s">
        <v>63</v>
      </c>
      <c r="P488" s="25" t="str">
        <f aca="false">IF(OR(O488="",O488="Sin información"),"",IFERROR(INDEX(Listas!$B$2:$B$9,MATCH(O488,Listas!$A$2:$A$9,0)),""))</f>
        <v/>
      </c>
      <c r="Q488" s="25" t="str">
        <f aca="false">IF(OR(O488="",O488="Sin información"),"",IFERROR(INDEX(Listas!$C$2:$C$9,MATCH(O488,Listas!$A$2:$A$9,0)),""))</f>
        <v/>
      </c>
      <c r="R488" s="22"/>
      <c r="S488" s="22"/>
      <c r="T488" s="25" t="str">
        <f aca="false">IF(S488="","",IFERROR(INDEX(Empleadores!$B$2:$B$601,MATCH(S488,Empleadores!$A$2:$A$601,0)),"No encontrado"))</f>
        <v/>
      </c>
      <c r="U488" s="25" t="str">
        <f aca="false">IF(C488="","",IF(V488="","No",IF(Config!$C$4-V488&lt;=Config!$C$15,"Sí","No")))</f>
        <v>No</v>
      </c>
      <c r="V488" s="23"/>
      <c r="W488" s="22"/>
      <c r="X488" s="22"/>
      <c r="Y488" s="22"/>
      <c r="Z488" s="27"/>
      <c r="AA488" s="22"/>
      <c r="AB488" s="22"/>
    </row>
    <row r="489" customFormat="false" ht="15" hidden="false" customHeight="false" outlineLevel="0" collapsed="false">
      <c r="A489" s="22" t="n">
        <v>488</v>
      </c>
      <c r="B489" s="22" t="s">
        <v>2221</v>
      </c>
      <c r="C489" s="22" t="s">
        <v>2222</v>
      </c>
      <c r="D489" s="22" t="s">
        <v>138</v>
      </c>
      <c r="E489" s="22" t="s">
        <v>139</v>
      </c>
      <c r="F489" s="22" t="s">
        <v>104</v>
      </c>
      <c r="G489" s="23" t="n">
        <v>45289</v>
      </c>
      <c r="H489" s="24" t="n">
        <f aca="false">IF(G489="","",ROUND((Config!$C$4-G489)/365.25,2))</f>
        <v>2.76</v>
      </c>
      <c r="I489" s="25" t="str">
        <f aca="false">IF(H489="","",IF(H489&lt;=1,"Tramo 1",IF(H489&lt;=3,"Tramo 2",IF(H489&lt;=5,"Tramo 3","Tramo 4"))))</f>
        <v>Tramo 2</v>
      </c>
      <c r="J489" s="22" t="s">
        <v>140</v>
      </c>
      <c r="K489" s="22"/>
      <c r="L489" s="22" t="s">
        <v>2223</v>
      </c>
      <c r="M489" s="26" t="s">
        <v>2224</v>
      </c>
      <c r="N489" s="22"/>
      <c r="O489" s="22" t="s">
        <v>63</v>
      </c>
      <c r="P489" s="25" t="str">
        <f aca="false">IF(OR(O489="",O489="Sin información"),"",IFERROR(INDEX(Listas!$B$2:$B$9,MATCH(O489,Listas!$A$2:$A$9,0)),""))</f>
        <v/>
      </c>
      <c r="Q489" s="25" t="str">
        <f aca="false">IF(OR(O489="",O489="Sin información"),"",IFERROR(INDEX(Listas!$C$2:$C$9,MATCH(O489,Listas!$A$2:$A$9,0)),""))</f>
        <v/>
      </c>
      <c r="R489" s="22"/>
      <c r="S489" s="22"/>
      <c r="T489" s="25" t="str">
        <f aca="false">IF(S489="","",IFERROR(INDEX(Empleadores!$B$2:$B$601,MATCH(S489,Empleadores!$A$2:$A$601,0)),"No encontrado"))</f>
        <v/>
      </c>
      <c r="U489" s="25" t="str">
        <f aca="false">IF(C489="","",IF(V489="","No",IF(Config!$C$4-V489&lt;=Config!$C$15,"Sí","No")))</f>
        <v>No</v>
      </c>
      <c r="V489" s="23"/>
      <c r="W489" s="22"/>
      <c r="X489" s="22"/>
      <c r="Y489" s="22"/>
      <c r="Z489" s="27"/>
      <c r="AA489" s="22"/>
      <c r="AB489" s="22"/>
    </row>
    <row r="490" customFormat="false" ht="15" hidden="false" customHeight="false" outlineLevel="0" collapsed="false">
      <c r="A490" s="22" t="n">
        <v>489</v>
      </c>
      <c r="B490" s="22" t="s">
        <v>2225</v>
      </c>
      <c r="C490" s="22" t="s">
        <v>2226</v>
      </c>
      <c r="D490" s="22" t="s">
        <v>149</v>
      </c>
      <c r="E490" s="22" t="s">
        <v>139</v>
      </c>
      <c r="F490" s="22" t="s">
        <v>104</v>
      </c>
      <c r="G490" s="23" t="n">
        <v>45289</v>
      </c>
      <c r="H490" s="24" t="n">
        <f aca="false">IF(G490="","",ROUND((Config!$C$4-G490)/365.25,2))</f>
        <v>2.76</v>
      </c>
      <c r="I490" s="25" t="str">
        <f aca="false">IF(H490="","",IF(H490&lt;=1,"Tramo 1",IF(H490&lt;=3,"Tramo 2",IF(H490&lt;=5,"Tramo 3","Tramo 4"))))</f>
        <v>Tramo 2</v>
      </c>
      <c r="J490" s="22" t="s">
        <v>140</v>
      </c>
      <c r="K490" s="22"/>
      <c r="L490" s="22" t="s">
        <v>2227</v>
      </c>
      <c r="M490" s="26" t="s">
        <v>2228</v>
      </c>
      <c r="N490" s="22"/>
      <c r="O490" s="22" t="s">
        <v>63</v>
      </c>
      <c r="P490" s="25" t="str">
        <f aca="false">IF(OR(O490="",O490="Sin información"),"",IFERROR(INDEX(Listas!$B$2:$B$9,MATCH(O490,Listas!$A$2:$A$9,0)),""))</f>
        <v/>
      </c>
      <c r="Q490" s="25" t="str">
        <f aca="false">IF(OR(O490="",O490="Sin información"),"",IFERROR(INDEX(Listas!$C$2:$C$9,MATCH(O490,Listas!$A$2:$A$9,0)),""))</f>
        <v/>
      </c>
      <c r="R490" s="22"/>
      <c r="S490" s="22"/>
      <c r="T490" s="25" t="str">
        <f aca="false">IF(S490="","",IFERROR(INDEX(Empleadores!$B$2:$B$601,MATCH(S490,Empleadores!$A$2:$A$601,0)),"No encontrado"))</f>
        <v/>
      </c>
      <c r="U490" s="25" t="str">
        <f aca="false">IF(C490="","",IF(V490="","No",IF(Config!$C$4-V490&lt;=Config!$C$15,"Sí","No")))</f>
        <v>No</v>
      </c>
      <c r="V490" s="23"/>
      <c r="W490" s="22"/>
      <c r="X490" s="22"/>
      <c r="Y490" s="22"/>
      <c r="Z490" s="27"/>
      <c r="AA490" s="22"/>
      <c r="AB490" s="22"/>
    </row>
    <row r="491" customFormat="false" ht="15" hidden="false" customHeight="false" outlineLevel="0" collapsed="false">
      <c r="A491" s="22" t="n">
        <v>490</v>
      </c>
      <c r="B491" s="22" t="s">
        <v>2229</v>
      </c>
      <c r="C491" s="22" t="s">
        <v>2230</v>
      </c>
      <c r="D491" s="22" t="s">
        <v>149</v>
      </c>
      <c r="E491" s="22" t="s">
        <v>139</v>
      </c>
      <c r="F491" s="22" t="s">
        <v>104</v>
      </c>
      <c r="G491" s="23" t="n">
        <v>45289</v>
      </c>
      <c r="H491" s="24" t="n">
        <f aca="false">IF(G491="","",ROUND((Config!$C$4-G491)/365.25,2))</f>
        <v>2.76</v>
      </c>
      <c r="I491" s="25" t="str">
        <f aca="false">IF(H491="","",IF(H491&lt;=1,"Tramo 1",IF(H491&lt;=3,"Tramo 2",IF(H491&lt;=5,"Tramo 3","Tramo 4"))))</f>
        <v>Tramo 2</v>
      </c>
      <c r="J491" s="22" t="s">
        <v>140</v>
      </c>
      <c r="K491" s="22"/>
      <c r="L491" s="22" t="s">
        <v>2231</v>
      </c>
      <c r="M491" s="26" t="s">
        <v>2232</v>
      </c>
      <c r="N491" s="22"/>
      <c r="O491" s="22" t="s">
        <v>85</v>
      </c>
      <c r="P491" s="25" t="str">
        <f aca="false">IF(OR(O491="",O491="Sin información"),"",IFERROR(INDEX(Listas!$B$2:$B$9,MATCH(O491,Listas!$A$2:$A$9,0)),""))</f>
        <v>Sí</v>
      </c>
      <c r="Q491" s="25" t="str">
        <f aca="false">IF(OR(O491="",O491="Sin información"),"",IFERROR(INDEX(Listas!$C$2:$C$9,MATCH(O491,Listas!$A$2:$A$9,0)),""))</f>
        <v>Sí</v>
      </c>
      <c r="R491" s="22"/>
      <c r="S491" s="22" t="s">
        <v>2233</v>
      </c>
      <c r="T491" s="25" t="str">
        <f aca="false">IF(S491="","",IFERROR(INDEX(Empleadores!$B$2:$B$601,MATCH(S491,Empleadores!$A$2:$A$601,0)),"No encontrado"))</f>
        <v>PMC Ergonomic</v>
      </c>
      <c r="U491" s="25" t="str">
        <f aca="false">IF(C491="","",IF(V491="","No",IF(Config!$C$4-V491&lt;=Config!$C$15,"Sí","No")))</f>
        <v>Sí</v>
      </c>
      <c r="V491" s="23" t="n">
        <v>45974</v>
      </c>
      <c r="W491" s="22"/>
      <c r="X491" s="22"/>
      <c r="Y491" s="22" t="s">
        <v>181</v>
      </c>
      <c r="Z491" s="27"/>
      <c r="AA491" s="22"/>
      <c r="AB491" s="22" t="s">
        <v>183</v>
      </c>
    </row>
    <row r="492" customFormat="false" ht="15" hidden="false" customHeight="false" outlineLevel="0" collapsed="false">
      <c r="A492" s="22" t="n">
        <v>491</v>
      </c>
      <c r="B492" s="22" t="s">
        <v>2234</v>
      </c>
      <c r="C492" s="22" t="s">
        <v>2235</v>
      </c>
      <c r="D492" s="22" t="s">
        <v>138</v>
      </c>
      <c r="E492" s="22" t="s">
        <v>139</v>
      </c>
      <c r="F492" s="22" t="s">
        <v>104</v>
      </c>
      <c r="G492" s="23" t="n">
        <v>45289</v>
      </c>
      <c r="H492" s="24" t="n">
        <f aca="false">IF(G492="","",ROUND((Config!$C$4-G492)/365.25,2))</f>
        <v>2.76</v>
      </c>
      <c r="I492" s="25" t="str">
        <f aca="false">IF(H492="","",IF(H492&lt;=1,"Tramo 1",IF(H492&lt;=3,"Tramo 2",IF(H492&lt;=5,"Tramo 3","Tramo 4"))))</f>
        <v>Tramo 2</v>
      </c>
      <c r="J492" s="22" t="s">
        <v>140</v>
      </c>
      <c r="K492" s="22"/>
      <c r="L492" s="22" t="s">
        <v>2236</v>
      </c>
      <c r="M492" s="26" t="s">
        <v>2237</v>
      </c>
      <c r="N492" s="22"/>
      <c r="O492" s="22" t="s">
        <v>63</v>
      </c>
      <c r="P492" s="25" t="str">
        <f aca="false">IF(OR(O492="",O492="Sin información"),"",IFERROR(INDEX(Listas!$B$2:$B$9,MATCH(O492,Listas!$A$2:$A$9,0)),""))</f>
        <v/>
      </c>
      <c r="Q492" s="25" t="str">
        <f aca="false">IF(OR(O492="",O492="Sin información"),"",IFERROR(INDEX(Listas!$C$2:$C$9,MATCH(O492,Listas!$A$2:$A$9,0)),""))</f>
        <v/>
      </c>
      <c r="R492" s="22"/>
      <c r="S492" s="22"/>
      <c r="T492" s="25" t="str">
        <f aca="false">IF(S492="","",IFERROR(INDEX(Empleadores!$B$2:$B$601,MATCH(S492,Empleadores!$A$2:$A$601,0)),"No encontrado"))</f>
        <v/>
      </c>
      <c r="U492" s="25" t="str">
        <f aca="false">IF(C492="","",IF(V492="","No",IF(Config!$C$4-V492&lt;=Config!$C$15,"Sí","No")))</f>
        <v>No</v>
      </c>
      <c r="V492" s="23"/>
      <c r="W492" s="22"/>
      <c r="X492" s="22"/>
      <c r="Y492" s="22"/>
      <c r="Z492" s="27"/>
      <c r="AA492" s="22"/>
      <c r="AB492" s="22"/>
    </row>
    <row r="493" customFormat="false" ht="15" hidden="false" customHeight="false" outlineLevel="0" collapsed="false">
      <c r="A493" s="22" t="n">
        <v>492</v>
      </c>
      <c r="B493" s="22" t="s">
        <v>2238</v>
      </c>
      <c r="C493" s="22" t="s">
        <v>2239</v>
      </c>
      <c r="D493" s="22" t="s">
        <v>149</v>
      </c>
      <c r="E493" s="22" t="s">
        <v>139</v>
      </c>
      <c r="F493" s="22" t="s">
        <v>105</v>
      </c>
      <c r="G493" s="23" t="n">
        <v>45470</v>
      </c>
      <c r="H493" s="24" t="n">
        <f aca="false">IF(G493="","",ROUND((Config!$C$4-G493)/365.25,2))</f>
        <v>2.26</v>
      </c>
      <c r="I493" s="25" t="str">
        <f aca="false">IF(H493="","",IF(H493&lt;=1,"Tramo 1",IF(H493&lt;=3,"Tramo 2",IF(H493&lt;=5,"Tramo 3","Tramo 4"))))</f>
        <v>Tramo 2</v>
      </c>
      <c r="J493" s="22" t="s">
        <v>140</v>
      </c>
      <c r="K493" s="22"/>
      <c r="L493" s="22" t="s">
        <v>2240</v>
      </c>
      <c r="M493" s="26" t="s">
        <v>2241</v>
      </c>
      <c r="N493" s="22"/>
      <c r="O493" s="22" t="s">
        <v>63</v>
      </c>
      <c r="P493" s="25" t="str">
        <f aca="false">IF(OR(O493="",O493="Sin información"),"",IFERROR(INDEX(Listas!$B$2:$B$9,MATCH(O493,Listas!$A$2:$A$9,0)),""))</f>
        <v/>
      </c>
      <c r="Q493" s="25" t="str">
        <f aca="false">IF(OR(O493="",O493="Sin información"),"",IFERROR(INDEX(Listas!$C$2:$C$9,MATCH(O493,Listas!$A$2:$A$9,0)),""))</f>
        <v/>
      </c>
      <c r="R493" s="22"/>
      <c r="S493" s="22"/>
      <c r="T493" s="25" t="str">
        <f aca="false">IF(S493="","",IFERROR(INDEX(Empleadores!$B$2:$B$601,MATCH(S493,Empleadores!$A$2:$A$601,0)),"No encontrado"))</f>
        <v/>
      </c>
      <c r="U493" s="25" t="str">
        <f aca="false">IF(C493="","",IF(V493="","No",IF(Config!$C$4-V493&lt;=Config!$C$15,"Sí","No")))</f>
        <v>No</v>
      </c>
      <c r="V493" s="23"/>
      <c r="W493" s="22"/>
      <c r="X493" s="22"/>
      <c r="Y493" s="22"/>
      <c r="Z493" s="27"/>
      <c r="AA493" s="22"/>
      <c r="AB493" s="22"/>
    </row>
    <row r="494" customFormat="false" ht="15" hidden="false" customHeight="false" outlineLevel="0" collapsed="false">
      <c r="A494" s="22" t="n">
        <v>493</v>
      </c>
      <c r="B494" s="22" t="s">
        <v>2242</v>
      </c>
      <c r="C494" s="22" t="s">
        <v>2243</v>
      </c>
      <c r="D494" s="22" t="s">
        <v>149</v>
      </c>
      <c r="E494" s="22" t="s">
        <v>139</v>
      </c>
      <c r="F494" s="22" t="s">
        <v>105</v>
      </c>
      <c r="G494" s="23" t="n">
        <v>45470</v>
      </c>
      <c r="H494" s="24" t="n">
        <f aca="false">IF(G494="","",ROUND((Config!$C$4-G494)/365.25,2))</f>
        <v>2.26</v>
      </c>
      <c r="I494" s="25" t="str">
        <f aca="false">IF(H494="","",IF(H494&lt;=1,"Tramo 1",IF(H494&lt;=3,"Tramo 2",IF(H494&lt;=5,"Tramo 3","Tramo 4"))))</f>
        <v>Tramo 2</v>
      </c>
      <c r="J494" s="22" t="s">
        <v>166</v>
      </c>
      <c r="K494" s="22"/>
      <c r="L494" s="22" t="s">
        <v>2244</v>
      </c>
      <c r="M494" s="26" t="s">
        <v>2245</v>
      </c>
      <c r="N494" s="22"/>
      <c r="O494" s="22" t="s">
        <v>63</v>
      </c>
      <c r="P494" s="25" t="str">
        <f aca="false">IF(OR(O494="",O494="Sin información"),"",IFERROR(INDEX(Listas!$B$2:$B$9,MATCH(O494,Listas!$A$2:$A$9,0)),""))</f>
        <v/>
      </c>
      <c r="Q494" s="25" t="str">
        <f aca="false">IF(OR(O494="",O494="Sin información"),"",IFERROR(INDEX(Listas!$C$2:$C$9,MATCH(O494,Listas!$A$2:$A$9,0)),""))</f>
        <v/>
      </c>
      <c r="R494" s="22"/>
      <c r="S494" s="22"/>
      <c r="T494" s="25" t="str">
        <f aca="false">IF(S494="","",IFERROR(INDEX(Empleadores!$B$2:$B$601,MATCH(S494,Empleadores!$A$2:$A$601,0)),"No encontrado"))</f>
        <v/>
      </c>
      <c r="U494" s="25" t="str">
        <f aca="false">IF(C494="","",IF(V494="","No",IF(Config!$C$4-V494&lt;=Config!$C$15,"Sí","No")))</f>
        <v>No</v>
      </c>
      <c r="V494" s="23"/>
      <c r="W494" s="22"/>
      <c r="X494" s="22"/>
      <c r="Y494" s="22"/>
      <c r="Z494" s="27"/>
      <c r="AA494" s="22"/>
      <c r="AB494" s="22"/>
    </row>
    <row r="495" customFormat="false" ht="15" hidden="false" customHeight="false" outlineLevel="0" collapsed="false">
      <c r="A495" s="22" t="n">
        <v>494</v>
      </c>
      <c r="B495" s="22" t="s">
        <v>2246</v>
      </c>
      <c r="C495" s="22" t="s">
        <v>2247</v>
      </c>
      <c r="D495" s="22" t="s">
        <v>149</v>
      </c>
      <c r="E495" s="22" t="s">
        <v>139</v>
      </c>
      <c r="F495" s="22" t="s">
        <v>105</v>
      </c>
      <c r="G495" s="23" t="n">
        <v>45470</v>
      </c>
      <c r="H495" s="24" t="n">
        <f aca="false">IF(G495="","",ROUND((Config!$C$4-G495)/365.25,2))</f>
        <v>2.26</v>
      </c>
      <c r="I495" s="25" t="str">
        <f aca="false">IF(H495="","",IF(H495&lt;=1,"Tramo 1",IF(H495&lt;=3,"Tramo 2",IF(H495&lt;=5,"Tramo 3","Tramo 4"))))</f>
        <v>Tramo 2</v>
      </c>
      <c r="J495" s="22" t="s">
        <v>140</v>
      </c>
      <c r="K495" s="22"/>
      <c r="L495" s="22" t="s">
        <v>2248</v>
      </c>
      <c r="M495" s="26" t="s">
        <v>2249</v>
      </c>
      <c r="N495" s="22"/>
      <c r="O495" s="22" t="s">
        <v>90</v>
      </c>
      <c r="P495" s="25" t="str">
        <f aca="false">IF(OR(O495="",O495="Sin información"),"",IFERROR(INDEX(Listas!$B$2:$B$9,MATCH(O495,Listas!$A$2:$A$9,0)),""))</f>
        <v>No</v>
      </c>
      <c r="Q495" s="25" t="str">
        <f aca="false">IF(OR(O495="",O495="Sin información"),"",IFERROR(INDEX(Listas!$C$2:$C$9,MATCH(O495,Listas!$A$2:$A$9,0)),""))</f>
        <v>No</v>
      </c>
      <c r="R495" s="22"/>
      <c r="S495" s="22"/>
      <c r="T495" s="25" t="str">
        <f aca="false">IF(S495="","",IFERROR(INDEX(Empleadores!$B$2:$B$601,MATCH(S495,Empleadores!$A$2:$A$601,0)),"No encontrado"))</f>
        <v/>
      </c>
      <c r="U495" s="25" t="str">
        <f aca="false">IF(C495="","",IF(V495="","No",IF(Config!$C$4-V495&lt;=Config!$C$15,"Sí","No")))</f>
        <v>Sí</v>
      </c>
      <c r="V495" s="23" t="n">
        <v>45951</v>
      </c>
      <c r="W495" s="22"/>
      <c r="X495" s="22"/>
      <c r="Y495" s="22"/>
      <c r="Z495" s="27" t="s">
        <v>2250</v>
      </c>
      <c r="AA495" s="22" t="s">
        <v>2251</v>
      </c>
      <c r="AB495" s="22" t="s">
        <v>2252</v>
      </c>
    </row>
    <row r="496" customFormat="false" ht="15" hidden="false" customHeight="false" outlineLevel="0" collapsed="false">
      <c r="A496" s="22" t="n">
        <v>495</v>
      </c>
      <c r="B496" s="22" t="s">
        <v>2253</v>
      </c>
      <c r="C496" s="22" t="s">
        <v>2254</v>
      </c>
      <c r="D496" s="22" t="s">
        <v>138</v>
      </c>
      <c r="E496" s="22" t="s">
        <v>139</v>
      </c>
      <c r="F496" s="22" t="s">
        <v>105</v>
      </c>
      <c r="G496" s="23" t="n">
        <v>45470</v>
      </c>
      <c r="H496" s="24" t="n">
        <f aca="false">IF(G496="","",ROUND((Config!$C$4-G496)/365.25,2))</f>
        <v>2.26</v>
      </c>
      <c r="I496" s="25" t="str">
        <f aca="false">IF(H496="","",IF(H496&lt;=1,"Tramo 1",IF(H496&lt;=3,"Tramo 2",IF(H496&lt;=5,"Tramo 3","Tramo 4"))))</f>
        <v>Tramo 2</v>
      </c>
      <c r="J496" s="22" t="s">
        <v>140</v>
      </c>
      <c r="K496" s="22"/>
      <c r="L496" s="22" t="s">
        <v>2255</v>
      </c>
      <c r="M496" s="26" t="s">
        <v>2256</v>
      </c>
      <c r="N496" s="22"/>
      <c r="O496" s="22" t="s">
        <v>63</v>
      </c>
      <c r="P496" s="25" t="str">
        <f aca="false">IF(OR(O496="",O496="Sin información"),"",IFERROR(INDEX(Listas!$B$2:$B$9,MATCH(O496,Listas!$A$2:$A$9,0)),""))</f>
        <v/>
      </c>
      <c r="Q496" s="25" t="str">
        <f aca="false">IF(OR(O496="",O496="Sin información"),"",IFERROR(INDEX(Listas!$C$2:$C$9,MATCH(O496,Listas!$A$2:$A$9,0)),""))</f>
        <v/>
      </c>
      <c r="R496" s="22"/>
      <c r="S496" s="22"/>
      <c r="T496" s="25" t="str">
        <f aca="false">IF(S496="","",IFERROR(INDEX(Empleadores!$B$2:$B$601,MATCH(S496,Empleadores!$A$2:$A$601,0)),"No encontrado"))</f>
        <v/>
      </c>
      <c r="U496" s="25" t="str">
        <f aca="false">IF(C496="","",IF(V496="","No",IF(Config!$C$4-V496&lt;=Config!$C$15,"Sí","No")))</f>
        <v>No</v>
      </c>
      <c r="V496" s="23"/>
      <c r="W496" s="22"/>
      <c r="X496" s="22"/>
      <c r="Y496" s="22"/>
      <c r="Z496" s="27"/>
      <c r="AA496" s="22"/>
      <c r="AB496" s="22"/>
    </row>
    <row r="497" customFormat="false" ht="15" hidden="false" customHeight="false" outlineLevel="0" collapsed="false">
      <c r="A497" s="22" t="n">
        <v>496</v>
      </c>
      <c r="B497" s="22" t="s">
        <v>2257</v>
      </c>
      <c r="C497" s="22" t="s">
        <v>2258</v>
      </c>
      <c r="D497" s="22" t="s">
        <v>149</v>
      </c>
      <c r="E497" s="22" t="s">
        <v>139</v>
      </c>
      <c r="F497" s="22" t="s">
        <v>105</v>
      </c>
      <c r="G497" s="23" t="n">
        <v>45470</v>
      </c>
      <c r="H497" s="24" t="n">
        <f aca="false">IF(G497="","",ROUND((Config!$C$4-G497)/365.25,2))</f>
        <v>2.26</v>
      </c>
      <c r="I497" s="25" t="str">
        <f aca="false">IF(H497="","",IF(H497&lt;=1,"Tramo 1",IF(H497&lt;=3,"Tramo 2",IF(H497&lt;=5,"Tramo 3","Tramo 4"))))</f>
        <v>Tramo 2</v>
      </c>
      <c r="J497" s="22" t="s">
        <v>140</v>
      </c>
      <c r="K497" s="22"/>
      <c r="L497" s="22" t="s">
        <v>2259</v>
      </c>
      <c r="M497" s="26" t="s">
        <v>2260</v>
      </c>
      <c r="N497" s="22" t="s">
        <v>2261</v>
      </c>
      <c r="O497" s="22" t="s">
        <v>81</v>
      </c>
      <c r="P497" s="25" t="str">
        <f aca="false">IF(OR(O497="",O497="Sin información"),"",IFERROR(INDEX(Listas!$B$2:$B$9,MATCH(O497,Listas!$A$2:$A$9,0)),""))</f>
        <v>Sí</v>
      </c>
      <c r="Q497" s="25" t="str">
        <f aca="false">IF(OR(O497="",O497="Sin información"),"",IFERROR(INDEX(Listas!$C$2:$C$9,MATCH(O497,Listas!$A$2:$A$9,0)),""))</f>
        <v>Sí</v>
      </c>
      <c r="R497" s="22" t="s">
        <v>2262</v>
      </c>
      <c r="S497" s="22" t="s">
        <v>2263</v>
      </c>
      <c r="T497" s="25" t="str">
        <f aca="false">IF(S497="","",IFERROR(INDEX(Empleadores!$B$2:$B$601,MATCH(S497,Empleadores!$A$2:$A$601,0)),"No encontrado"))</f>
        <v>P.S. Yajchata</v>
      </c>
      <c r="U497" s="25" t="str">
        <f aca="false">IF(C497="","",IF(V497="","No",IF(Config!$C$4-V497&lt;=Config!$C$15,"Sí","No")))</f>
        <v>Sí</v>
      </c>
      <c r="V497" s="23" t="n">
        <v>45951</v>
      </c>
      <c r="W497" s="22"/>
      <c r="X497" s="22"/>
      <c r="Y497" s="22"/>
      <c r="Z497" s="27"/>
      <c r="AA497" s="22" t="s">
        <v>2264</v>
      </c>
      <c r="AB497" s="22" t="s">
        <v>2265</v>
      </c>
    </row>
    <row r="498" customFormat="false" ht="15" hidden="false" customHeight="false" outlineLevel="0" collapsed="false">
      <c r="A498" s="22" t="n">
        <v>497</v>
      </c>
      <c r="B498" s="22" t="s">
        <v>2266</v>
      </c>
      <c r="C498" s="22" t="s">
        <v>2267</v>
      </c>
      <c r="D498" s="22" t="s">
        <v>149</v>
      </c>
      <c r="E498" s="22" t="s">
        <v>139</v>
      </c>
      <c r="F498" s="22" t="s">
        <v>105</v>
      </c>
      <c r="G498" s="23" t="n">
        <v>45470</v>
      </c>
      <c r="H498" s="24" t="n">
        <f aca="false">IF(G498="","",ROUND((Config!$C$4-G498)/365.25,2))</f>
        <v>2.26</v>
      </c>
      <c r="I498" s="25" t="str">
        <f aca="false">IF(H498="","",IF(H498&lt;=1,"Tramo 1",IF(H498&lt;=3,"Tramo 2",IF(H498&lt;=5,"Tramo 3","Tramo 4"))))</f>
        <v>Tramo 2</v>
      </c>
      <c r="J498" s="22" t="s">
        <v>140</v>
      </c>
      <c r="K498" s="22"/>
      <c r="L498" s="22" t="s">
        <v>2268</v>
      </c>
      <c r="M498" s="26" t="s">
        <v>2269</v>
      </c>
      <c r="N498" s="22"/>
      <c r="O498" s="22" t="s">
        <v>63</v>
      </c>
      <c r="P498" s="25" t="str">
        <f aca="false">IF(OR(O498="",O498="Sin información"),"",IFERROR(INDEX(Listas!$B$2:$B$9,MATCH(O498,Listas!$A$2:$A$9,0)),""))</f>
        <v/>
      </c>
      <c r="Q498" s="25" t="str">
        <f aca="false">IF(OR(O498="",O498="Sin información"),"",IFERROR(INDEX(Listas!$C$2:$C$9,MATCH(O498,Listas!$A$2:$A$9,0)),""))</f>
        <v/>
      </c>
      <c r="R498" s="22"/>
      <c r="S498" s="22"/>
      <c r="T498" s="25" t="str">
        <f aca="false">IF(S498="","",IFERROR(INDEX(Empleadores!$B$2:$B$601,MATCH(S498,Empleadores!$A$2:$A$601,0)),"No encontrado"))</f>
        <v/>
      </c>
      <c r="U498" s="25" t="str">
        <f aca="false">IF(C498="","",IF(V498="","No",IF(Config!$C$4-V498&lt;=Config!$C$15,"Sí","No")))</f>
        <v>No</v>
      </c>
      <c r="V498" s="23"/>
      <c r="W498" s="22"/>
      <c r="X498" s="22"/>
      <c r="Y498" s="22"/>
      <c r="Z498" s="27"/>
      <c r="AA498" s="22"/>
      <c r="AB498" s="22"/>
    </row>
    <row r="499" customFormat="false" ht="15" hidden="false" customHeight="false" outlineLevel="0" collapsed="false">
      <c r="A499" s="22" t="n">
        <v>498</v>
      </c>
      <c r="B499" s="22" t="s">
        <v>2270</v>
      </c>
      <c r="C499" s="22" t="s">
        <v>2271</v>
      </c>
      <c r="D499" s="22" t="s">
        <v>138</v>
      </c>
      <c r="E499" s="22" t="s">
        <v>139</v>
      </c>
      <c r="F499" s="22" t="s">
        <v>105</v>
      </c>
      <c r="G499" s="23" t="n">
        <v>45470</v>
      </c>
      <c r="H499" s="24" t="n">
        <f aca="false">IF(G499="","",ROUND((Config!$C$4-G499)/365.25,2))</f>
        <v>2.26</v>
      </c>
      <c r="I499" s="25" t="str">
        <f aca="false">IF(H499="","",IF(H499&lt;=1,"Tramo 1",IF(H499&lt;=3,"Tramo 2",IF(H499&lt;=5,"Tramo 3","Tramo 4"))))</f>
        <v>Tramo 2</v>
      </c>
      <c r="J499" s="22" t="s">
        <v>140</v>
      </c>
      <c r="K499" s="22"/>
      <c r="L499" s="22" t="s">
        <v>2272</v>
      </c>
      <c r="M499" s="26" t="s">
        <v>2273</v>
      </c>
      <c r="N499" s="22"/>
      <c r="O499" s="22" t="s">
        <v>63</v>
      </c>
      <c r="P499" s="25" t="str">
        <f aca="false">IF(OR(O499="",O499="Sin información"),"",IFERROR(INDEX(Listas!$B$2:$B$9,MATCH(O499,Listas!$A$2:$A$9,0)),""))</f>
        <v/>
      </c>
      <c r="Q499" s="25" t="str">
        <f aca="false">IF(OR(O499="",O499="Sin información"),"",IFERROR(INDEX(Listas!$C$2:$C$9,MATCH(O499,Listas!$A$2:$A$9,0)),""))</f>
        <v/>
      </c>
      <c r="R499" s="22"/>
      <c r="S499" s="22"/>
      <c r="T499" s="25" t="str">
        <f aca="false">IF(S499="","",IFERROR(INDEX(Empleadores!$B$2:$B$601,MATCH(S499,Empleadores!$A$2:$A$601,0)),"No encontrado"))</f>
        <v/>
      </c>
      <c r="U499" s="25" t="str">
        <f aca="false">IF(C499="","",IF(V499="","No",IF(Config!$C$4-V499&lt;=Config!$C$15,"Sí","No")))</f>
        <v>No</v>
      </c>
      <c r="V499" s="23"/>
      <c r="W499" s="22"/>
      <c r="X499" s="22"/>
      <c r="Y499" s="22"/>
      <c r="Z499" s="27"/>
      <c r="AA499" s="22"/>
      <c r="AB499" s="22"/>
    </row>
    <row r="500" customFormat="false" ht="15" hidden="false" customHeight="false" outlineLevel="0" collapsed="false">
      <c r="A500" s="22" t="n">
        <v>499</v>
      </c>
      <c r="B500" s="22" t="s">
        <v>2274</v>
      </c>
      <c r="C500" s="22" t="s">
        <v>2275</v>
      </c>
      <c r="D500" s="22" t="s">
        <v>138</v>
      </c>
      <c r="E500" s="22" t="s">
        <v>139</v>
      </c>
      <c r="F500" s="22" t="s">
        <v>105</v>
      </c>
      <c r="G500" s="23" t="n">
        <v>45470</v>
      </c>
      <c r="H500" s="24" t="n">
        <f aca="false">IF(G500="","",ROUND((Config!$C$4-G500)/365.25,2))</f>
        <v>2.26</v>
      </c>
      <c r="I500" s="25" t="str">
        <f aca="false">IF(H500="","",IF(H500&lt;=1,"Tramo 1",IF(H500&lt;=3,"Tramo 2",IF(H500&lt;=5,"Tramo 3","Tramo 4"))))</f>
        <v>Tramo 2</v>
      </c>
      <c r="J500" s="22" t="s">
        <v>140</v>
      </c>
      <c r="K500" s="22"/>
      <c r="L500" s="22" t="s">
        <v>2276</v>
      </c>
      <c r="M500" s="26" t="s">
        <v>2277</v>
      </c>
      <c r="N500" s="22"/>
      <c r="O500" s="22" t="s">
        <v>63</v>
      </c>
      <c r="P500" s="25" t="str">
        <f aca="false">IF(OR(O500="",O500="Sin información"),"",IFERROR(INDEX(Listas!$B$2:$B$9,MATCH(O500,Listas!$A$2:$A$9,0)),""))</f>
        <v/>
      </c>
      <c r="Q500" s="25" t="str">
        <f aca="false">IF(OR(O500="",O500="Sin información"),"",IFERROR(INDEX(Listas!$C$2:$C$9,MATCH(O500,Listas!$A$2:$A$9,0)),""))</f>
        <v/>
      </c>
      <c r="R500" s="22"/>
      <c r="S500" s="22"/>
      <c r="T500" s="25" t="str">
        <f aca="false">IF(S500="","",IFERROR(INDEX(Empleadores!$B$2:$B$601,MATCH(S500,Empleadores!$A$2:$A$601,0)),"No encontrado"))</f>
        <v/>
      </c>
      <c r="U500" s="25" t="str">
        <f aca="false">IF(C500="","",IF(V500="","No",IF(Config!$C$4-V500&lt;=Config!$C$15,"Sí","No")))</f>
        <v>No</v>
      </c>
      <c r="V500" s="23"/>
      <c r="W500" s="22"/>
      <c r="X500" s="22"/>
      <c r="Y500" s="22"/>
      <c r="Z500" s="27"/>
      <c r="AA500" s="22"/>
      <c r="AB500" s="22"/>
    </row>
    <row r="501" customFormat="false" ht="15" hidden="false" customHeight="false" outlineLevel="0" collapsed="false">
      <c r="A501" s="22" t="n">
        <v>500</v>
      </c>
      <c r="B501" s="22" t="s">
        <v>2278</v>
      </c>
      <c r="C501" s="22" t="s">
        <v>2279</v>
      </c>
      <c r="D501" s="22" t="s">
        <v>138</v>
      </c>
      <c r="E501" s="22" t="s">
        <v>139</v>
      </c>
      <c r="F501" s="22" t="s">
        <v>105</v>
      </c>
      <c r="G501" s="23" t="n">
        <v>45470</v>
      </c>
      <c r="H501" s="24" t="n">
        <f aca="false">IF(G501="","",ROUND((Config!$C$4-G501)/365.25,2))</f>
        <v>2.26</v>
      </c>
      <c r="I501" s="25" t="str">
        <f aca="false">IF(H501="","",IF(H501&lt;=1,"Tramo 1",IF(H501&lt;=3,"Tramo 2",IF(H501&lt;=5,"Tramo 3","Tramo 4"))))</f>
        <v>Tramo 2</v>
      </c>
      <c r="J501" s="22" t="s">
        <v>140</v>
      </c>
      <c r="K501" s="22"/>
      <c r="L501" s="22" t="s">
        <v>2280</v>
      </c>
      <c r="M501" s="26" t="s">
        <v>2281</v>
      </c>
      <c r="N501" s="22"/>
      <c r="O501" s="22" t="s">
        <v>63</v>
      </c>
      <c r="P501" s="25" t="str">
        <f aca="false">IF(OR(O501="",O501="Sin información"),"",IFERROR(INDEX(Listas!$B$2:$B$9,MATCH(O501,Listas!$A$2:$A$9,0)),""))</f>
        <v/>
      </c>
      <c r="Q501" s="25" t="str">
        <f aca="false">IF(OR(O501="",O501="Sin información"),"",IFERROR(INDEX(Listas!$C$2:$C$9,MATCH(O501,Listas!$A$2:$A$9,0)),""))</f>
        <v/>
      </c>
      <c r="R501" s="22"/>
      <c r="S501" s="22"/>
      <c r="T501" s="25" t="str">
        <f aca="false">IF(S501="","",IFERROR(INDEX(Empleadores!$B$2:$B$601,MATCH(S501,Empleadores!$A$2:$A$601,0)),"No encontrado"))</f>
        <v/>
      </c>
      <c r="U501" s="25" t="str">
        <f aca="false">IF(C501="","",IF(V501="","No",IF(Config!$C$4-V501&lt;=Config!$C$15,"Sí","No")))</f>
        <v>No</v>
      </c>
      <c r="V501" s="23"/>
      <c r="W501" s="22"/>
      <c r="X501" s="22"/>
      <c r="Y501" s="22"/>
      <c r="Z501" s="27"/>
      <c r="AA501" s="22"/>
      <c r="AB501" s="22"/>
    </row>
    <row r="502" customFormat="false" ht="15" hidden="false" customHeight="false" outlineLevel="0" collapsed="false">
      <c r="A502" s="22" t="n">
        <v>501</v>
      </c>
      <c r="B502" s="22" t="s">
        <v>2282</v>
      </c>
      <c r="C502" s="22" t="s">
        <v>2283</v>
      </c>
      <c r="D502" s="22" t="s">
        <v>138</v>
      </c>
      <c r="E502" s="22" t="s">
        <v>139</v>
      </c>
      <c r="F502" s="22" t="s">
        <v>105</v>
      </c>
      <c r="G502" s="23" t="n">
        <v>45470</v>
      </c>
      <c r="H502" s="24" t="n">
        <f aca="false">IF(G502="","",ROUND((Config!$C$4-G502)/365.25,2))</f>
        <v>2.26</v>
      </c>
      <c r="I502" s="25" t="str">
        <f aca="false">IF(H502="","",IF(H502&lt;=1,"Tramo 1",IF(H502&lt;=3,"Tramo 2",IF(H502&lt;=5,"Tramo 3","Tramo 4"))))</f>
        <v>Tramo 2</v>
      </c>
      <c r="J502" s="22" t="s">
        <v>140</v>
      </c>
      <c r="K502" s="22"/>
      <c r="L502" s="22" t="s">
        <v>2284</v>
      </c>
      <c r="M502" s="26" t="s">
        <v>2285</v>
      </c>
      <c r="N502" s="22"/>
      <c r="O502" s="22" t="s">
        <v>63</v>
      </c>
      <c r="P502" s="25" t="str">
        <f aca="false">IF(OR(O502="",O502="Sin información"),"",IFERROR(INDEX(Listas!$B$2:$B$9,MATCH(O502,Listas!$A$2:$A$9,0)),""))</f>
        <v/>
      </c>
      <c r="Q502" s="25" t="str">
        <f aca="false">IF(OR(O502="",O502="Sin información"),"",IFERROR(INDEX(Listas!$C$2:$C$9,MATCH(O502,Listas!$A$2:$A$9,0)),""))</f>
        <v/>
      </c>
      <c r="R502" s="22"/>
      <c r="S502" s="22"/>
      <c r="T502" s="25" t="str">
        <f aca="false">IF(S502="","",IFERROR(INDEX(Empleadores!$B$2:$B$601,MATCH(S502,Empleadores!$A$2:$A$601,0)),"No encontrado"))</f>
        <v/>
      </c>
      <c r="U502" s="25" t="str">
        <f aca="false">IF(C502="","",IF(V502="","No",IF(Config!$C$4-V502&lt;=Config!$C$15,"Sí","No")))</f>
        <v>No</v>
      </c>
      <c r="V502" s="23"/>
      <c r="W502" s="22"/>
      <c r="X502" s="22"/>
      <c r="Y502" s="22"/>
      <c r="Z502" s="27"/>
      <c r="AA502" s="22"/>
      <c r="AB502" s="22"/>
    </row>
    <row r="503" customFormat="false" ht="15" hidden="false" customHeight="false" outlineLevel="0" collapsed="false">
      <c r="A503" s="22" t="n">
        <v>502</v>
      </c>
      <c r="B503" s="22" t="s">
        <v>2286</v>
      </c>
      <c r="C503" s="22" t="s">
        <v>2287</v>
      </c>
      <c r="D503" s="22" t="s">
        <v>138</v>
      </c>
      <c r="E503" s="22" t="s">
        <v>139</v>
      </c>
      <c r="F503" s="22" t="s">
        <v>105</v>
      </c>
      <c r="G503" s="23" t="n">
        <v>45470</v>
      </c>
      <c r="H503" s="24" t="n">
        <f aca="false">IF(G503="","",ROUND((Config!$C$4-G503)/365.25,2))</f>
        <v>2.26</v>
      </c>
      <c r="I503" s="25" t="str">
        <f aca="false">IF(H503="","",IF(H503&lt;=1,"Tramo 1",IF(H503&lt;=3,"Tramo 2",IF(H503&lt;=5,"Tramo 3","Tramo 4"))))</f>
        <v>Tramo 2</v>
      </c>
      <c r="J503" s="22" t="s">
        <v>140</v>
      </c>
      <c r="K503" s="22"/>
      <c r="L503" s="22" t="s">
        <v>2288</v>
      </c>
      <c r="M503" s="26" t="s">
        <v>2289</v>
      </c>
      <c r="N503" s="22"/>
      <c r="O503" s="22" t="s">
        <v>63</v>
      </c>
      <c r="P503" s="25" t="str">
        <f aca="false">IF(OR(O503="",O503="Sin información"),"",IFERROR(INDEX(Listas!$B$2:$B$9,MATCH(O503,Listas!$A$2:$A$9,0)),""))</f>
        <v/>
      </c>
      <c r="Q503" s="25" t="str">
        <f aca="false">IF(OR(O503="",O503="Sin información"),"",IFERROR(INDEX(Listas!$C$2:$C$9,MATCH(O503,Listas!$A$2:$A$9,0)),""))</f>
        <v/>
      </c>
      <c r="R503" s="22"/>
      <c r="S503" s="22"/>
      <c r="T503" s="25" t="str">
        <f aca="false">IF(S503="","",IFERROR(INDEX(Empleadores!$B$2:$B$601,MATCH(S503,Empleadores!$A$2:$A$601,0)),"No encontrado"))</f>
        <v/>
      </c>
      <c r="U503" s="25" t="str">
        <f aca="false">IF(C503="","",IF(V503="","No",IF(Config!$C$4-V503&lt;=Config!$C$15,"Sí","No")))</f>
        <v>No</v>
      </c>
      <c r="V503" s="23"/>
      <c r="W503" s="22"/>
      <c r="X503" s="22"/>
      <c r="Y503" s="22"/>
      <c r="Z503" s="27"/>
      <c r="AA503" s="22"/>
      <c r="AB503" s="22"/>
    </row>
    <row r="504" customFormat="false" ht="15" hidden="false" customHeight="false" outlineLevel="0" collapsed="false">
      <c r="A504" s="22" t="n">
        <v>503</v>
      </c>
      <c r="B504" s="22" t="s">
        <v>2290</v>
      </c>
      <c r="C504" s="22" t="s">
        <v>2291</v>
      </c>
      <c r="D504" s="22" t="s">
        <v>149</v>
      </c>
      <c r="E504" s="22" t="s">
        <v>139</v>
      </c>
      <c r="F504" s="22" t="s">
        <v>105</v>
      </c>
      <c r="G504" s="23" t="n">
        <v>45470</v>
      </c>
      <c r="H504" s="24" t="n">
        <f aca="false">IF(G504="","",ROUND((Config!$C$4-G504)/365.25,2))</f>
        <v>2.26</v>
      </c>
      <c r="I504" s="25" t="str">
        <f aca="false">IF(H504="","",IF(H504&lt;=1,"Tramo 1",IF(H504&lt;=3,"Tramo 2",IF(H504&lt;=5,"Tramo 3","Tramo 4"))))</f>
        <v>Tramo 2</v>
      </c>
      <c r="J504" s="22" t="s">
        <v>140</v>
      </c>
      <c r="K504" s="22"/>
      <c r="L504" s="22" t="s">
        <v>2292</v>
      </c>
      <c r="M504" s="26" t="s">
        <v>2293</v>
      </c>
      <c r="N504" s="22"/>
      <c r="O504" s="22" t="s">
        <v>63</v>
      </c>
      <c r="P504" s="25" t="str">
        <f aca="false">IF(OR(O504="",O504="Sin información"),"",IFERROR(INDEX(Listas!$B$2:$B$9,MATCH(O504,Listas!$A$2:$A$9,0)),""))</f>
        <v/>
      </c>
      <c r="Q504" s="25" t="str">
        <f aca="false">IF(OR(O504="",O504="Sin información"),"",IFERROR(INDEX(Listas!$C$2:$C$9,MATCH(O504,Listas!$A$2:$A$9,0)),""))</f>
        <v/>
      </c>
      <c r="R504" s="22"/>
      <c r="S504" s="22"/>
      <c r="T504" s="25" t="str">
        <f aca="false">IF(S504="","",IFERROR(INDEX(Empleadores!$B$2:$B$601,MATCH(S504,Empleadores!$A$2:$A$601,0)),"No encontrado"))</f>
        <v/>
      </c>
      <c r="U504" s="25" t="str">
        <f aca="false">IF(C504="","",IF(V504="","No",IF(Config!$C$4-V504&lt;=Config!$C$15,"Sí","No")))</f>
        <v>No</v>
      </c>
      <c r="V504" s="23"/>
      <c r="W504" s="22"/>
      <c r="X504" s="22"/>
      <c r="Y504" s="22"/>
      <c r="Z504" s="27"/>
      <c r="AA504" s="22"/>
      <c r="AB504" s="22"/>
    </row>
    <row r="505" customFormat="false" ht="15" hidden="false" customHeight="false" outlineLevel="0" collapsed="false">
      <c r="A505" s="22" t="n">
        <v>504</v>
      </c>
      <c r="B505" s="22" t="s">
        <v>2294</v>
      </c>
      <c r="C505" s="22" t="s">
        <v>2295</v>
      </c>
      <c r="D505" s="22" t="s">
        <v>149</v>
      </c>
      <c r="E505" s="22" t="s">
        <v>139</v>
      </c>
      <c r="F505" s="22" t="s">
        <v>105</v>
      </c>
      <c r="G505" s="23" t="n">
        <v>45470</v>
      </c>
      <c r="H505" s="24" t="n">
        <f aca="false">IF(G505="","",ROUND((Config!$C$4-G505)/365.25,2))</f>
        <v>2.26</v>
      </c>
      <c r="I505" s="25" t="str">
        <f aca="false">IF(H505="","",IF(H505&lt;=1,"Tramo 1",IF(H505&lt;=3,"Tramo 2",IF(H505&lt;=5,"Tramo 3","Tramo 4"))))</f>
        <v>Tramo 2</v>
      </c>
      <c r="J505" s="22" t="s">
        <v>140</v>
      </c>
      <c r="K505" s="22"/>
      <c r="L505" s="22" t="s">
        <v>2296</v>
      </c>
      <c r="M505" s="26" t="s">
        <v>2297</v>
      </c>
      <c r="N505" s="22"/>
      <c r="O505" s="22" t="s">
        <v>63</v>
      </c>
      <c r="P505" s="25" t="str">
        <f aca="false">IF(OR(O505="",O505="Sin información"),"",IFERROR(INDEX(Listas!$B$2:$B$9,MATCH(O505,Listas!$A$2:$A$9,0)),""))</f>
        <v/>
      </c>
      <c r="Q505" s="25" t="str">
        <f aca="false">IF(OR(O505="",O505="Sin información"),"",IFERROR(INDEX(Listas!$C$2:$C$9,MATCH(O505,Listas!$A$2:$A$9,0)),""))</f>
        <v/>
      </c>
      <c r="R505" s="22"/>
      <c r="S505" s="22"/>
      <c r="T505" s="25" t="str">
        <f aca="false">IF(S505="","",IFERROR(INDEX(Empleadores!$B$2:$B$601,MATCH(S505,Empleadores!$A$2:$A$601,0)),"No encontrado"))</f>
        <v/>
      </c>
      <c r="U505" s="25" t="str">
        <f aca="false">IF(C505="","",IF(V505="","No",IF(Config!$C$4-V505&lt;=Config!$C$15,"Sí","No")))</f>
        <v>No</v>
      </c>
      <c r="V505" s="23"/>
      <c r="W505" s="22"/>
      <c r="X505" s="22"/>
      <c r="Y505" s="22"/>
      <c r="Z505" s="27"/>
      <c r="AA505" s="22"/>
      <c r="AB505" s="22"/>
    </row>
    <row r="506" customFormat="false" ht="15" hidden="false" customHeight="false" outlineLevel="0" collapsed="false">
      <c r="A506" s="22" t="n">
        <v>505</v>
      </c>
      <c r="B506" s="22" t="s">
        <v>2298</v>
      </c>
      <c r="C506" s="22" t="s">
        <v>2299</v>
      </c>
      <c r="D506" s="22" t="s">
        <v>138</v>
      </c>
      <c r="E506" s="22" t="s">
        <v>139</v>
      </c>
      <c r="F506" s="22" t="s">
        <v>105</v>
      </c>
      <c r="G506" s="23" t="n">
        <v>45470</v>
      </c>
      <c r="H506" s="24" t="n">
        <f aca="false">IF(G506="","",ROUND((Config!$C$4-G506)/365.25,2))</f>
        <v>2.26</v>
      </c>
      <c r="I506" s="25" t="str">
        <f aca="false">IF(H506="","",IF(H506&lt;=1,"Tramo 1",IF(H506&lt;=3,"Tramo 2",IF(H506&lt;=5,"Tramo 3","Tramo 4"))))</f>
        <v>Tramo 2</v>
      </c>
      <c r="J506" s="22" t="s">
        <v>140</v>
      </c>
      <c r="K506" s="22"/>
      <c r="L506" s="22" t="s">
        <v>2300</v>
      </c>
      <c r="M506" s="26" t="s">
        <v>2301</v>
      </c>
      <c r="N506" s="22"/>
      <c r="O506" s="22" t="s">
        <v>63</v>
      </c>
      <c r="P506" s="25" t="str">
        <f aca="false">IF(OR(O506="",O506="Sin información"),"",IFERROR(INDEX(Listas!$B$2:$B$9,MATCH(O506,Listas!$A$2:$A$9,0)),""))</f>
        <v/>
      </c>
      <c r="Q506" s="25" t="str">
        <f aca="false">IF(OR(O506="",O506="Sin información"),"",IFERROR(INDEX(Listas!$C$2:$C$9,MATCH(O506,Listas!$A$2:$A$9,0)),""))</f>
        <v/>
      </c>
      <c r="R506" s="22"/>
      <c r="S506" s="22"/>
      <c r="T506" s="25" t="str">
        <f aca="false">IF(S506="","",IFERROR(INDEX(Empleadores!$B$2:$B$601,MATCH(S506,Empleadores!$A$2:$A$601,0)),"No encontrado"))</f>
        <v/>
      </c>
      <c r="U506" s="25" t="str">
        <f aca="false">IF(C506="","",IF(V506="","No",IF(Config!$C$4-V506&lt;=Config!$C$15,"Sí","No")))</f>
        <v>No</v>
      </c>
      <c r="V506" s="23"/>
      <c r="W506" s="22"/>
      <c r="X506" s="22"/>
      <c r="Y506" s="22"/>
      <c r="Z506" s="27"/>
      <c r="AA506" s="22"/>
      <c r="AB506" s="22"/>
    </row>
    <row r="507" customFormat="false" ht="15" hidden="false" customHeight="false" outlineLevel="0" collapsed="false">
      <c r="A507" s="22" t="n">
        <v>506</v>
      </c>
      <c r="B507" s="22" t="s">
        <v>2302</v>
      </c>
      <c r="C507" s="22" t="s">
        <v>2303</v>
      </c>
      <c r="D507" s="22" t="s">
        <v>138</v>
      </c>
      <c r="E507" s="22" t="s">
        <v>139</v>
      </c>
      <c r="F507" s="22" t="s">
        <v>105</v>
      </c>
      <c r="G507" s="23" t="n">
        <v>45470</v>
      </c>
      <c r="H507" s="24" t="n">
        <f aca="false">IF(G507="","",ROUND((Config!$C$4-G507)/365.25,2))</f>
        <v>2.26</v>
      </c>
      <c r="I507" s="25" t="str">
        <f aca="false">IF(H507="","",IF(H507&lt;=1,"Tramo 1",IF(H507&lt;=3,"Tramo 2",IF(H507&lt;=5,"Tramo 3","Tramo 4"))))</f>
        <v>Tramo 2</v>
      </c>
      <c r="J507" s="22" t="s">
        <v>166</v>
      </c>
      <c r="K507" s="22"/>
      <c r="L507" s="22" t="s">
        <v>2304</v>
      </c>
      <c r="M507" s="26" t="s">
        <v>2305</v>
      </c>
      <c r="N507" s="22"/>
      <c r="O507" s="22" t="s">
        <v>63</v>
      </c>
      <c r="P507" s="25" t="str">
        <f aca="false">IF(OR(O507="",O507="Sin información"),"",IFERROR(INDEX(Listas!$B$2:$B$9,MATCH(O507,Listas!$A$2:$A$9,0)),""))</f>
        <v/>
      </c>
      <c r="Q507" s="25" t="str">
        <f aca="false">IF(OR(O507="",O507="Sin información"),"",IFERROR(INDEX(Listas!$C$2:$C$9,MATCH(O507,Listas!$A$2:$A$9,0)),""))</f>
        <v/>
      </c>
      <c r="R507" s="22"/>
      <c r="S507" s="22"/>
      <c r="T507" s="25" t="str">
        <f aca="false">IF(S507="","",IFERROR(INDEX(Empleadores!$B$2:$B$601,MATCH(S507,Empleadores!$A$2:$A$601,0)),"No encontrado"))</f>
        <v/>
      </c>
      <c r="U507" s="25" t="str">
        <f aca="false">IF(C507="","",IF(V507="","No",IF(Config!$C$4-V507&lt;=Config!$C$15,"Sí","No")))</f>
        <v>No</v>
      </c>
      <c r="V507" s="23"/>
      <c r="W507" s="22"/>
      <c r="X507" s="22"/>
      <c r="Y507" s="22"/>
      <c r="Z507" s="27"/>
      <c r="AA507" s="22" t="s">
        <v>2306</v>
      </c>
      <c r="AB507" s="22" t="s">
        <v>1691</v>
      </c>
    </row>
    <row r="508" customFormat="false" ht="15" hidden="false" customHeight="false" outlineLevel="0" collapsed="false">
      <c r="A508" s="22" t="n">
        <v>507</v>
      </c>
      <c r="B508" s="22" t="s">
        <v>2307</v>
      </c>
      <c r="C508" s="22" t="s">
        <v>2308</v>
      </c>
      <c r="D508" s="22" t="s">
        <v>138</v>
      </c>
      <c r="E508" s="22" t="s">
        <v>139</v>
      </c>
      <c r="F508" s="22" t="s">
        <v>105</v>
      </c>
      <c r="G508" s="23" t="n">
        <v>45470</v>
      </c>
      <c r="H508" s="24" t="n">
        <f aca="false">IF(G508="","",ROUND((Config!$C$4-G508)/365.25,2))</f>
        <v>2.26</v>
      </c>
      <c r="I508" s="25" t="str">
        <f aca="false">IF(H508="","",IF(H508&lt;=1,"Tramo 1",IF(H508&lt;=3,"Tramo 2",IF(H508&lt;=5,"Tramo 3","Tramo 4"))))</f>
        <v>Tramo 2</v>
      </c>
      <c r="J508" s="22" t="s">
        <v>140</v>
      </c>
      <c r="K508" s="22"/>
      <c r="L508" s="22" t="s">
        <v>2309</v>
      </c>
      <c r="M508" s="26" t="s">
        <v>2310</v>
      </c>
      <c r="N508" s="22"/>
      <c r="O508" s="22" t="s">
        <v>63</v>
      </c>
      <c r="P508" s="25" t="str">
        <f aca="false">IF(OR(O508="",O508="Sin información"),"",IFERROR(INDEX(Listas!$B$2:$B$9,MATCH(O508,Listas!$A$2:$A$9,0)),""))</f>
        <v/>
      </c>
      <c r="Q508" s="25" t="str">
        <f aca="false">IF(OR(O508="",O508="Sin información"),"",IFERROR(INDEX(Listas!$C$2:$C$9,MATCH(O508,Listas!$A$2:$A$9,0)),""))</f>
        <v/>
      </c>
      <c r="R508" s="22"/>
      <c r="S508" s="22"/>
      <c r="T508" s="25" t="str">
        <f aca="false">IF(S508="","",IFERROR(INDEX(Empleadores!$B$2:$B$601,MATCH(S508,Empleadores!$A$2:$A$601,0)),"No encontrado"))</f>
        <v/>
      </c>
      <c r="U508" s="25" t="str">
        <f aca="false">IF(C508="","",IF(V508="","No",IF(Config!$C$4-V508&lt;=Config!$C$15,"Sí","No")))</f>
        <v>No</v>
      </c>
      <c r="V508" s="23"/>
      <c r="W508" s="22"/>
      <c r="X508" s="22"/>
      <c r="Y508" s="22"/>
      <c r="Z508" s="27"/>
      <c r="AA508" s="22"/>
      <c r="AB508" s="22"/>
    </row>
    <row r="509" customFormat="false" ht="15" hidden="false" customHeight="false" outlineLevel="0" collapsed="false">
      <c r="A509" s="22" t="n">
        <v>508</v>
      </c>
      <c r="B509" s="22" t="s">
        <v>2311</v>
      </c>
      <c r="C509" s="22" t="s">
        <v>2312</v>
      </c>
      <c r="D509" s="22" t="s">
        <v>138</v>
      </c>
      <c r="E509" s="22" t="s">
        <v>139</v>
      </c>
      <c r="F509" s="22" t="s">
        <v>105</v>
      </c>
      <c r="G509" s="23" t="n">
        <v>45470</v>
      </c>
      <c r="H509" s="24" t="n">
        <f aca="false">IF(G509="","",ROUND((Config!$C$4-G509)/365.25,2))</f>
        <v>2.26</v>
      </c>
      <c r="I509" s="25" t="str">
        <f aca="false">IF(H509="","",IF(H509&lt;=1,"Tramo 1",IF(H509&lt;=3,"Tramo 2",IF(H509&lt;=5,"Tramo 3","Tramo 4"))))</f>
        <v>Tramo 2</v>
      </c>
      <c r="J509" s="22" t="s">
        <v>140</v>
      </c>
      <c r="K509" s="22"/>
      <c r="L509" s="22" t="s">
        <v>2313</v>
      </c>
      <c r="M509" s="26" t="s">
        <v>2314</v>
      </c>
      <c r="N509" s="22"/>
      <c r="O509" s="22" t="s">
        <v>63</v>
      </c>
      <c r="P509" s="25" t="str">
        <f aca="false">IF(OR(O509="",O509="Sin información"),"",IFERROR(INDEX(Listas!$B$2:$B$9,MATCH(O509,Listas!$A$2:$A$9,0)),""))</f>
        <v/>
      </c>
      <c r="Q509" s="25" t="str">
        <f aca="false">IF(OR(O509="",O509="Sin información"),"",IFERROR(INDEX(Listas!$C$2:$C$9,MATCH(O509,Listas!$A$2:$A$9,0)),""))</f>
        <v/>
      </c>
      <c r="R509" s="22"/>
      <c r="S509" s="22"/>
      <c r="T509" s="25" t="str">
        <f aca="false">IF(S509="","",IFERROR(INDEX(Empleadores!$B$2:$B$601,MATCH(S509,Empleadores!$A$2:$A$601,0)),"No encontrado"))</f>
        <v/>
      </c>
      <c r="U509" s="25" t="str">
        <f aca="false">IF(C509="","",IF(V509="","No",IF(Config!$C$4-V509&lt;=Config!$C$15,"Sí","No")))</f>
        <v>No</v>
      </c>
      <c r="V509" s="23"/>
      <c r="W509" s="22"/>
      <c r="X509" s="22"/>
      <c r="Y509" s="22"/>
      <c r="Z509" s="27"/>
      <c r="AA509" s="22"/>
      <c r="AB509" s="22"/>
    </row>
    <row r="510" customFormat="false" ht="15" hidden="false" customHeight="false" outlineLevel="0" collapsed="false">
      <c r="A510" s="22" t="n">
        <v>509</v>
      </c>
      <c r="B510" s="22" t="s">
        <v>2315</v>
      </c>
      <c r="C510" s="22" t="s">
        <v>2316</v>
      </c>
      <c r="D510" s="22" t="s">
        <v>138</v>
      </c>
      <c r="E510" s="22" t="s">
        <v>139</v>
      </c>
      <c r="F510" s="22" t="s">
        <v>105</v>
      </c>
      <c r="G510" s="23" t="n">
        <v>45470</v>
      </c>
      <c r="H510" s="24" t="n">
        <f aca="false">IF(G510="","",ROUND((Config!$C$4-G510)/365.25,2))</f>
        <v>2.26</v>
      </c>
      <c r="I510" s="25" t="str">
        <f aca="false">IF(H510="","",IF(H510&lt;=1,"Tramo 1",IF(H510&lt;=3,"Tramo 2",IF(H510&lt;=5,"Tramo 3","Tramo 4"))))</f>
        <v>Tramo 2</v>
      </c>
      <c r="J510" s="22" t="s">
        <v>166</v>
      </c>
      <c r="K510" s="22"/>
      <c r="L510" s="22" t="s">
        <v>2317</v>
      </c>
      <c r="M510" s="26" t="s">
        <v>2318</v>
      </c>
      <c r="N510" s="22"/>
      <c r="O510" s="22" t="s">
        <v>63</v>
      </c>
      <c r="P510" s="25" t="str">
        <f aca="false">IF(OR(O510="",O510="Sin información"),"",IFERROR(INDEX(Listas!$B$2:$B$9,MATCH(O510,Listas!$A$2:$A$9,0)),""))</f>
        <v/>
      </c>
      <c r="Q510" s="25" t="str">
        <f aca="false">IF(OR(O510="",O510="Sin información"),"",IFERROR(INDEX(Listas!$C$2:$C$9,MATCH(O510,Listas!$A$2:$A$9,0)),""))</f>
        <v/>
      </c>
      <c r="R510" s="22"/>
      <c r="S510" s="22"/>
      <c r="T510" s="25" t="str">
        <f aca="false">IF(S510="","",IFERROR(INDEX(Empleadores!$B$2:$B$601,MATCH(S510,Empleadores!$A$2:$A$601,0)),"No encontrado"))</f>
        <v/>
      </c>
      <c r="U510" s="25" t="str">
        <f aca="false">IF(C510="","",IF(V510="","No",IF(Config!$C$4-V510&lt;=Config!$C$15,"Sí","No")))</f>
        <v>No</v>
      </c>
      <c r="V510" s="23"/>
      <c r="W510" s="22"/>
      <c r="X510" s="22"/>
      <c r="Y510" s="22"/>
      <c r="Z510" s="27"/>
      <c r="AA510" s="22" t="s">
        <v>2319</v>
      </c>
      <c r="AB510" s="22" t="s">
        <v>1691</v>
      </c>
    </row>
    <row r="511" customFormat="false" ht="15" hidden="false" customHeight="false" outlineLevel="0" collapsed="false">
      <c r="A511" s="22" t="n">
        <v>510</v>
      </c>
      <c r="B511" s="22" t="s">
        <v>2320</v>
      </c>
      <c r="C511" s="22" t="s">
        <v>2321</v>
      </c>
      <c r="D511" s="22" t="s">
        <v>138</v>
      </c>
      <c r="E511" s="22" t="s">
        <v>139</v>
      </c>
      <c r="F511" s="22" t="s">
        <v>105</v>
      </c>
      <c r="G511" s="23" t="n">
        <v>45470</v>
      </c>
      <c r="H511" s="24" t="n">
        <f aca="false">IF(G511="","",ROUND((Config!$C$4-G511)/365.25,2))</f>
        <v>2.26</v>
      </c>
      <c r="I511" s="25" t="str">
        <f aca="false">IF(H511="","",IF(H511&lt;=1,"Tramo 1",IF(H511&lt;=3,"Tramo 2",IF(H511&lt;=5,"Tramo 3","Tramo 4"))))</f>
        <v>Tramo 2</v>
      </c>
      <c r="J511" s="22" t="s">
        <v>140</v>
      </c>
      <c r="K511" s="22"/>
      <c r="L511" s="22" t="s">
        <v>2322</v>
      </c>
      <c r="M511" s="26" t="s">
        <v>2323</v>
      </c>
      <c r="N511" s="22"/>
      <c r="O511" s="22" t="s">
        <v>63</v>
      </c>
      <c r="P511" s="25" t="str">
        <f aca="false">IF(OR(O511="",O511="Sin información"),"",IFERROR(INDEX(Listas!$B$2:$B$9,MATCH(O511,Listas!$A$2:$A$9,0)),""))</f>
        <v/>
      </c>
      <c r="Q511" s="25" t="str">
        <f aca="false">IF(OR(O511="",O511="Sin información"),"",IFERROR(INDEX(Listas!$C$2:$C$9,MATCH(O511,Listas!$A$2:$A$9,0)),""))</f>
        <v/>
      </c>
      <c r="R511" s="22"/>
      <c r="S511" s="22"/>
      <c r="T511" s="25" t="str">
        <f aca="false">IF(S511="","",IFERROR(INDEX(Empleadores!$B$2:$B$601,MATCH(S511,Empleadores!$A$2:$A$601,0)),"No encontrado"))</f>
        <v/>
      </c>
      <c r="U511" s="25" t="str">
        <f aca="false">IF(C511="","",IF(V511="","No",IF(Config!$C$4-V511&lt;=Config!$C$15,"Sí","No")))</f>
        <v>No</v>
      </c>
      <c r="V511" s="23"/>
      <c r="W511" s="22"/>
      <c r="X511" s="22"/>
      <c r="Y511" s="22"/>
      <c r="Z511" s="27"/>
      <c r="AA511" s="22"/>
      <c r="AB511" s="22"/>
    </row>
    <row r="512" customFormat="false" ht="15" hidden="false" customHeight="false" outlineLevel="0" collapsed="false">
      <c r="A512" s="22" t="n">
        <v>511</v>
      </c>
      <c r="B512" s="22" t="s">
        <v>2324</v>
      </c>
      <c r="C512" s="22" t="s">
        <v>2325</v>
      </c>
      <c r="D512" s="22" t="s">
        <v>149</v>
      </c>
      <c r="E512" s="22" t="s">
        <v>139</v>
      </c>
      <c r="F512" s="22" t="s">
        <v>105</v>
      </c>
      <c r="G512" s="23" t="n">
        <v>45470</v>
      </c>
      <c r="H512" s="24" t="n">
        <f aca="false">IF(G512="","",ROUND((Config!$C$4-G512)/365.25,2))</f>
        <v>2.26</v>
      </c>
      <c r="I512" s="25" t="str">
        <f aca="false">IF(H512="","",IF(H512&lt;=1,"Tramo 1",IF(H512&lt;=3,"Tramo 2",IF(H512&lt;=5,"Tramo 3","Tramo 4"))))</f>
        <v>Tramo 2</v>
      </c>
      <c r="J512" s="22" t="s">
        <v>140</v>
      </c>
      <c r="K512" s="22"/>
      <c r="L512" s="22" t="s">
        <v>2326</v>
      </c>
      <c r="M512" s="26" t="s">
        <v>2327</v>
      </c>
      <c r="N512" s="22"/>
      <c r="O512" s="22" t="s">
        <v>63</v>
      </c>
      <c r="P512" s="25" t="str">
        <f aca="false">IF(OR(O512="",O512="Sin información"),"",IFERROR(INDEX(Listas!$B$2:$B$9,MATCH(O512,Listas!$A$2:$A$9,0)),""))</f>
        <v/>
      </c>
      <c r="Q512" s="25" t="str">
        <f aca="false">IF(OR(O512="",O512="Sin información"),"",IFERROR(INDEX(Listas!$C$2:$C$9,MATCH(O512,Listas!$A$2:$A$9,0)),""))</f>
        <v/>
      </c>
      <c r="R512" s="22"/>
      <c r="S512" s="22"/>
      <c r="T512" s="25" t="str">
        <f aca="false">IF(S512="","",IFERROR(INDEX(Empleadores!$B$2:$B$601,MATCH(S512,Empleadores!$A$2:$A$601,0)),"No encontrado"))</f>
        <v/>
      </c>
      <c r="U512" s="25" t="str">
        <f aca="false">IF(C512="","",IF(V512="","No",IF(Config!$C$4-V512&lt;=Config!$C$15,"Sí","No")))</f>
        <v>No</v>
      </c>
      <c r="V512" s="23"/>
      <c r="W512" s="22"/>
      <c r="X512" s="22"/>
      <c r="Y512" s="22"/>
      <c r="Z512" s="27"/>
      <c r="AA512" s="22"/>
      <c r="AB512" s="22"/>
    </row>
    <row r="513" customFormat="false" ht="15" hidden="false" customHeight="false" outlineLevel="0" collapsed="false">
      <c r="A513" s="22" t="n">
        <v>512</v>
      </c>
      <c r="B513" s="22" t="s">
        <v>2328</v>
      </c>
      <c r="C513" s="22" t="s">
        <v>2329</v>
      </c>
      <c r="D513" s="22" t="s">
        <v>138</v>
      </c>
      <c r="E513" s="22" t="s">
        <v>139</v>
      </c>
      <c r="F513" s="22" t="s">
        <v>105</v>
      </c>
      <c r="G513" s="23" t="n">
        <v>45470</v>
      </c>
      <c r="H513" s="24" t="n">
        <f aca="false">IF(G513="","",ROUND((Config!$C$4-G513)/365.25,2))</f>
        <v>2.26</v>
      </c>
      <c r="I513" s="25" t="str">
        <f aca="false">IF(H513="","",IF(H513&lt;=1,"Tramo 1",IF(H513&lt;=3,"Tramo 2",IF(H513&lt;=5,"Tramo 3","Tramo 4"))))</f>
        <v>Tramo 2</v>
      </c>
      <c r="J513" s="22" t="s">
        <v>166</v>
      </c>
      <c r="K513" s="22"/>
      <c r="L513" s="22" t="s">
        <v>2330</v>
      </c>
      <c r="M513" s="26" t="s">
        <v>2331</v>
      </c>
      <c r="N513" s="22"/>
      <c r="O513" s="22" t="s">
        <v>63</v>
      </c>
      <c r="P513" s="25" t="str">
        <f aca="false">IF(OR(O513="",O513="Sin información"),"",IFERROR(INDEX(Listas!$B$2:$B$9,MATCH(O513,Listas!$A$2:$A$9,0)),""))</f>
        <v/>
      </c>
      <c r="Q513" s="25" t="str">
        <f aca="false">IF(OR(O513="",O513="Sin información"),"",IFERROR(INDEX(Listas!$C$2:$C$9,MATCH(O513,Listas!$A$2:$A$9,0)),""))</f>
        <v/>
      </c>
      <c r="R513" s="22"/>
      <c r="S513" s="22"/>
      <c r="T513" s="25" t="str">
        <f aca="false">IF(S513="","",IFERROR(INDEX(Empleadores!$B$2:$B$601,MATCH(S513,Empleadores!$A$2:$A$601,0)),"No encontrado"))</f>
        <v/>
      </c>
      <c r="U513" s="25" t="str">
        <f aca="false">IF(C513="","",IF(V513="","No",IF(Config!$C$4-V513&lt;=Config!$C$15,"Sí","No")))</f>
        <v>No</v>
      </c>
      <c r="V513" s="23"/>
      <c r="W513" s="22"/>
      <c r="X513" s="22"/>
      <c r="Y513" s="22"/>
      <c r="Z513" s="27"/>
      <c r="AA513" s="22"/>
      <c r="AB513" s="22"/>
    </row>
    <row r="514" customFormat="false" ht="15" hidden="false" customHeight="false" outlineLevel="0" collapsed="false">
      <c r="A514" s="22" t="n">
        <v>513</v>
      </c>
      <c r="B514" s="22" t="s">
        <v>2332</v>
      </c>
      <c r="C514" s="22" t="s">
        <v>2333</v>
      </c>
      <c r="D514" s="22" t="s">
        <v>138</v>
      </c>
      <c r="E514" s="22" t="s">
        <v>139</v>
      </c>
      <c r="F514" s="22" t="s">
        <v>105</v>
      </c>
      <c r="G514" s="23" t="n">
        <v>45470</v>
      </c>
      <c r="H514" s="24" t="n">
        <f aca="false">IF(G514="","",ROUND((Config!$C$4-G514)/365.25,2))</f>
        <v>2.26</v>
      </c>
      <c r="I514" s="25" t="str">
        <f aca="false">IF(H514="","",IF(H514&lt;=1,"Tramo 1",IF(H514&lt;=3,"Tramo 2",IF(H514&lt;=5,"Tramo 3","Tramo 4"))))</f>
        <v>Tramo 2</v>
      </c>
      <c r="J514" s="22" t="s">
        <v>140</v>
      </c>
      <c r="K514" s="22"/>
      <c r="L514" s="22" t="s">
        <v>2334</v>
      </c>
      <c r="M514" s="26" t="s">
        <v>2335</v>
      </c>
      <c r="N514" s="22"/>
      <c r="O514" s="22" t="s">
        <v>63</v>
      </c>
      <c r="P514" s="25" t="str">
        <f aca="false">IF(OR(O514="",O514="Sin información"),"",IFERROR(INDEX(Listas!$B$2:$B$9,MATCH(O514,Listas!$A$2:$A$9,0)),""))</f>
        <v/>
      </c>
      <c r="Q514" s="25" t="str">
        <f aca="false">IF(OR(O514="",O514="Sin información"),"",IFERROR(INDEX(Listas!$C$2:$C$9,MATCH(O514,Listas!$A$2:$A$9,0)),""))</f>
        <v/>
      </c>
      <c r="R514" s="22"/>
      <c r="S514" s="22"/>
      <c r="T514" s="25" t="str">
        <f aca="false">IF(S514="","",IFERROR(INDEX(Empleadores!$B$2:$B$601,MATCH(S514,Empleadores!$A$2:$A$601,0)),"No encontrado"))</f>
        <v/>
      </c>
      <c r="U514" s="25" t="str">
        <f aca="false">IF(C514="","",IF(V514="","No",IF(Config!$C$4-V514&lt;=Config!$C$15,"Sí","No")))</f>
        <v>No</v>
      </c>
      <c r="V514" s="23"/>
      <c r="W514" s="22"/>
      <c r="X514" s="22"/>
      <c r="Y514" s="22"/>
      <c r="Z514" s="27"/>
      <c r="AA514" s="22" t="s">
        <v>2336</v>
      </c>
      <c r="AB514" s="22" t="s">
        <v>1691</v>
      </c>
    </row>
    <row r="515" customFormat="false" ht="15" hidden="false" customHeight="false" outlineLevel="0" collapsed="false">
      <c r="A515" s="22" t="n">
        <v>514</v>
      </c>
      <c r="B515" s="22" t="s">
        <v>2337</v>
      </c>
      <c r="C515" s="22" t="s">
        <v>2338</v>
      </c>
      <c r="D515" s="22" t="s">
        <v>138</v>
      </c>
      <c r="E515" s="22" t="s">
        <v>139</v>
      </c>
      <c r="F515" s="22" t="s">
        <v>105</v>
      </c>
      <c r="G515" s="23" t="n">
        <v>45470</v>
      </c>
      <c r="H515" s="24" t="n">
        <f aca="false">IF(G515="","",ROUND((Config!$C$4-G515)/365.25,2))</f>
        <v>2.26</v>
      </c>
      <c r="I515" s="25" t="str">
        <f aca="false">IF(H515="","",IF(H515&lt;=1,"Tramo 1",IF(H515&lt;=3,"Tramo 2",IF(H515&lt;=5,"Tramo 3","Tramo 4"))))</f>
        <v>Tramo 2</v>
      </c>
      <c r="J515" s="22" t="s">
        <v>140</v>
      </c>
      <c r="K515" s="22"/>
      <c r="L515" s="22" t="s">
        <v>2339</v>
      </c>
      <c r="M515" s="26" t="s">
        <v>2340</v>
      </c>
      <c r="N515" s="22"/>
      <c r="O515" s="22" t="s">
        <v>63</v>
      </c>
      <c r="P515" s="25" t="str">
        <f aca="false">IF(OR(O515="",O515="Sin información"),"",IFERROR(INDEX(Listas!$B$2:$B$9,MATCH(O515,Listas!$A$2:$A$9,0)),""))</f>
        <v/>
      </c>
      <c r="Q515" s="25" t="str">
        <f aca="false">IF(OR(O515="",O515="Sin información"),"",IFERROR(INDEX(Listas!$C$2:$C$9,MATCH(O515,Listas!$A$2:$A$9,0)),""))</f>
        <v/>
      </c>
      <c r="R515" s="22"/>
      <c r="S515" s="22"/>
      <c r="T515" s="25" t="str">
        <f aca="false">IF(S515="","",IFERROR(INDEX(Empleadores!$B$2:$B$601,MATCH(S515,Empleadores!$A$2:$A$601,0)),"No encontrado"))</f>
        <v/>
      </c>
      <c r="U515" s="25" t="str">
        <f aca="false">IF(C515="","",IF(V515="","No",IF(Config!$C$4-V515&lt;=Config!$C$15,"Sí","No")))</f>
        <v>No</v>
      </c>
      <c r="V515" s="23"/>
      <c r="W515" s="22"/>
      <c r="X515" s="22"/>
      <c r="Y515" s="22"/>
      <c r="Z515" s="27"/>
      <c r="AA515" s="22"/>
      <c r="AB515" s="22"/>
    </row>
    <row r="516" customFormat="false" ht="15" hidden="false" customHeight="false" outlineLevel="0" collapsed="false">
      <c r="A516" s="22" t="n">
        <v>515</v>
      </c>
      <c r="B516" s="22" t="s">
        <v>2341</v>
      </c>
      <c r="C516" s="22" t="s">
        <v>2342</v>
      </c>
      <c r="D516" s="22" t="s">
        <v>138</v>
      </c>
      <c r="E516" s="22" t="s">
        <v>139</v>
      </c>
      <c r="F516" s="22" t="s">
        <v>105</v>
      </c>
      <c r="G516" s="23" t="n">
        <v>45470</v>
      </c>
      <c r="H516" s="24" t="n">
        <f aca="false">IF(G516="","",ROUND((Config!$C$4-G516)/365.25,2))</f>
        <v>2.26</v>
      </c>
      <c r="I516" s="25" t="str">
        <f aca="false">IF(H516="","",IF(H516&lt;=1,"Tramo 1",IF(H516&lt;=3,"Tramo 2",IF(H516&lt;=5,"Tramo 3","Tramo 4"))))</f>
        <v>Tramo 2</v>
      </c>
      <c r="J516" s="22" t="s">
        <v>140</v>
      </c>
      <c r="K516" s="22"/>
      <c r="L516" s="22" t="s">
        <v>2343</v>
      </c>
      <c r="M516" s="26" t="s">
        <v>2344</v>
      </c>
      <c r="N516" s="22"/>
      <c r="O516" s="22" t="s">
        <v>81</v>
      </c>
      <c r="P516" s="25" t="str">
        <f aca="false">IF(OR(O516="",O516="Sin información"),"",IFERROR(INDEX(Listas!$B$2:$B$9,MATCH(O516,Listas!$A$2:$A$9,0)),""))</f>
        <v>Sí</v>
      </c>
      <c r="Q516" s="25" t="str">
        <f aca="false">IF(OR(O516="",O516="Sin información"),"",IFERROR(INDEX(Listas!$C$2:$C$9,MATCH(O516,Listas!$A$2:$A$9,0)),""))</f>
        <v>Sí</v>
      </c>
      <c r="R516" s="22" t="s">
        <v>2345</v>
      </c>
      <c r="S516" s="22" t="s">
        <v>2346</v>
      </c>
      <c r="T516" s="25" t="str">
        <f aca="false">IF(S516="","",IFERROR(INDEX(Empleadores!$B$2:$B$601,MATCH(S516,Empleadores!$A$2:$A$601,0)),"No encontrado"))</f>
        <v>P.S. Cachimayo</v>
      </c>
      <c r="U516" s="25" t="str">
        <f aca="false">IF(C516="","",IF(V516="","No",IF(Config!$C$4-V516&lt;=Config!$C$15,"Sí","No")))</f>
        <v>Sí</v>
      </c>
      <c r="V516" s="23" t="n">
        <v>45951</v>
      </c>
      <c r="W516" s="22"/>
      <c r="X516" s="22"/>
      <c r="Y516" s="22"/>
      <c r="Z516" s="27"/>
      <c r="AA516" s="22" t="s">
        <v>2347</v>
      </c>
      <c r="AB516" s="22" t="s">
        <v>2265</v>
      </c>
    </row>
    <row r="517" customFormat="false" ht="15" hidden="false" customHeight="false" outlineLevel="0" collapsed="false">
      <c r="A517" s="22" t="n">
        <v>516</v>
      </c>
      <c r="B517" s="22" t="s">
        <v>2348</v>
      </c>
      <c r="C517" s="22" t="s">
        <v>2349</v>
      </c>
      <c r="D517" s="22" t="s">
        <v>138</v>
      </c>
      <c r="E517" s="22" t="s">
        <v>139</v>
      </c>
      <c r="F517" s="22" t="s">
        <v>105</v>
      </c>
      <c r="G517" s="23" t="n">
        <v>45470</v>
      </c>
      <c r="H517" s="24" t="n">
        <f aca="false">IF(G517="","",ROUND((Config!$C$4-G517)/365.25,2))</f>
        <v>2.26</v>
      </c>
      <c r="I517" s="25" t="str">
        <f aca="false">IF(H517="","",IF(H517&lt;=1,"Tramo 1",IF(H517&lt;=3,"Tramo 2",IF(H517&lt;=5,"Tramo 3","Tramo 4"))))</f>
        <v>Tramo 2</v>
      </c>
      <c r="J517" s="22" t="s">
        <v>140</v>
      </c>
      <c r="K517" s="22"/>
      <c r="L517" s="22" t="s">
        <v>2350</v>
      </c>
      <c r="M517" s="26" t="s">
        <v>2351</v>
      </c>
      <c r="N517" s="22"/>
      <c r="O517" s="22" t="s">
        <v>63</v>
      </c>
      <c r="P517" s="25" t="str">
        <f aca="false">IF(OR(O517="",O517="Sin información"),"",IFERROR(INDEX(Listas!$B$2:$B$9,MATCH(O517,Listas!$A$2:$A$9,0)),""))</f>
        <v/>
      </c>
      <c r="Q517" s="25" t="str">
        <f aca="false">IF(OR(O517="",O517="Sin información"),"",IFERROR(INDEX(Listas!$C$2:$C$9,MATCH(O517,Listas!$A$2:$A$9,0)),""))</f>
        <v/>
      </c>
      <c r="R517" s="22"/>
      <c r="S517" s="22"/>
      <c r="T517" s="25" t="str">
        <f aca="false">IF(S517="","",IFERROR(INDEX(Empleadores!$B$2:$B$601,MATCH(S517,Empleadores!$A$2:$A$601,0)),"No encontrado"))</f>
        <v/>
      </c>
      <c r="U517" s="25" t="str">
        <f aca="false">IF(C517="","",IF(V517="","No",IF(Config!$C$4-V517&lt;=Config!$C$15,"Sí","No")))</f>
        <v>No</v>
      </c>
      <c r="V517" s="23"/>
      <c r="W517" s="22"/>
      <c r="X517" s="22"/>
      <c r="Y517" s="22"/>
      <c r="Z517" s="27"/>
      <c r="AA517" s="22"/>
      <c r="AB517" s="22"/>
    </row>
    <row r="518" customFormat="false" ht="15" hidden="false" customHeight="false" outlineLevel="0" collapsed="false">
      <c r="A518" s="22" t="n">
        <v>517</v>
      </c>
      <c r="B518" s="22" t="s">
        <v>2352</v>
      </c>
      <c r="C518" s="22" t="s">
        <v>2353</v>
      </c>
      <c r="D518" s="22" t="s">
        <v>138</v>
      </c>
      <c r="E518" s="22" t="s">
        <v>139</v>
      </c>
      <c r="F518" s="22" t="s">
        <v>105</v>
      </c>
      <c r="G518" s="23" t="n">
        <v>45470</v>
      </c>
      <c r="H518" s="24" t="n">
        <f aca="false">IF(G518="","",ROUND((Config!$C$4-G518)/365.25,2))</f>
        <v>2.26</v>
      </c>
      <c r="I518" s="25" t="str">
        <f aca="false">IF(H518="","",IF(H518&lt;=1,"Tramo 1",IF(H518&lt;=3,"Tramo 2",IF(H518&lt;=5,"Tramo 3","Tramo 4"))))</f>
        <v>Tramo 2</v>
      </c>
      <c r="J518" s="22" t="s">
        <v>140</v>
      </c>
      <c r="K518" s="22"/>
      <c r="L518" s="22" t="s">
        <v>2354</v>
      </c>
      <c r="M518" s="26" t="s">
        <v>2355</v>
      </c>
      <c r="N518" s="22"/>
      <c r="O518" s="22" t="s">
        <v>63</v>
      </c>
      <c r="P518" s="25" t="str">
        <f aca="false">IF(OR(O518="",O518="Sin información"),"",IFERROR(INDEX(Listas!$B$2:$B$9,MATCH(O518,Listas!$A$2:$A$9,0)),""))</f>
        <v/>
      </c>
      <c r="Q518" s="25" t="str">
        <f aca="false">IF(OR(O518="",O518="Sin información"),"",IFERROR(INDEX(Listas!$C$2:$C$9,MATCH(O518,Listas!$A$2:$A$9,0)),""))</f>
        <v/>
      </c>
      <c r="R518" s="22"/>
      <c r="S518" s="22"/>
      <c r="T518" s="25" t="str">
        <f aca="false">IF(S518="","",IFERROR(INDEX(Empleadores!$B$2:$B$601,MATCH(S518,Empleadores!$A$2:$A$601,0)),"No encontrado"))</f>
        <v/>
      </c>
      <c r="U518" s="25" t="str">
        <f aca="false">IF(C518="","",IF(V518="","No",IF(Config!$C$4-V518&lt;=Config!$C$15,"Sí","No")))</f>
        <v>No</v>
      </c>
      <c r="V518" s="23"/>
      <c r="W518" s="22"/>
      <c r="X518" s="22"/>
      <c r="Y518" s="22"/>
      <c r="Z518" s="27"/>
      <c r="AA518" s="22"/>
      <c r="AB518" s="22"/>
    </row>
    <row r="519" customFormat="false" ht="15" hidden="false" customHeight="false" outlineLevel="0" collapsed="false">
      <c r="A519" s="22" t="n">
        <v>518</v>
      </c>
      <c r="B519" s="22" t="s">
        <v>2356</v>
      </c>
      <c r="C519" s="22" t="s">
        <v>2357</v>
      </c>
      <c r="D519" s="22" t="s">
        <v>138</v>
      </c>
      <c r="E519" s="22" t="s">
        <v>139</v>
      </c>
      <c r="F519" s="22" t="s">
        <v>105</v>
      </c>
      <c r="G519" s="23" t="n">
        <v>45470</v>
      </c>
      <c r="H519" s="24" t="n">
        <f aca="false">IF(G519="","",ROUND((Config!$C$4-G519)/365.25,2))</f>
        <v>2.26</v>
      </c>
      <c r="I519" s="25" t="str">
        <f aca="false">IF(H519="","",IF(H519&lt;=1,"Tramo 1",IF(H519&lt;=3,"Tramo 2",IF(H519&lt;=5,"Tramo 3","Tramo 4"))))</f>
        <v>Tramo 2</v>
      </c>
      <c r="J519" s="22" t="s">
        <v>140</v>
      </c>
      <c r="K519" s="22"/>
      <c r="L519" s="22" t="s">
        <v>2358</v>
      </c>
      <c r="M519" s="26" t="s">
        <v>2359</v>
      </c>
      <c r="N519" s="22"/>
      <c r="O519" s="22" t="s">
        <v>63</v>
      </c>
      <c r="P519" s="25" t="str">
        <f aca="false">IF(OR(O519="",O519="Sin información"),"",IFERROR(INDEX(Listas!$B$2:$B$9,MATCH(O519,Listas!$A$2:$A$9,0)),""))</f>
        <v/>
      </c>
      <c r="Q519" s="25" t="str">
        <f aca="false">IF(OR(O519="",O519="Sin información"),"",IFERROR(INDEX(Listas!$C$2:$C$9,MATCH(O519,Listas!$A$2:$A$9,0)),""))</f>
        <v/>
      </c>
      <c r="R519" s="22"/>
      <c r="S519" s="22"/>
      <c r="T519" s="25" t="str">
        <f aca="false">IF(S519="","",IFERROR(INDEX(Empleadores!$B$2:$B$601,MATCH(S519,Empleadores!$A$2:$A$601,0)),"No encontrado"))</f>
        <v/>
      </c>
      <c r="U519" s="25" t="str">
        <f aca="false">IF(C519="","",IF(V519="","No",IF(Config!$C$4-V519&lt;=Config!$C$15,"Sí","No")))</f>
        <v>No</v>
      </c>
      <c r="V519" s="23"/>
      <c r="W519" s="22"/>
      <c r="X519" s="22"/>
      <c r="Y519" s="22"/>
      <c r="Z519" s="27"/>
      <c r="AA519" s="22"/>
      <c r="AB519" s="22"/>
    </row>
    <row r="520" customFormat="false" ht="15" hidden="false" customHeight="false" outlineLevel="0" collapsed="false">
      <c r="A520" s="22" t="n">
        <v>519</v>
      </c>
      <c r="B520" s="22" t="s">
        <v>2360</v>
      </c>
      <c r="C520" s="22" t="s">
        <v>2361</v>
      </c>
      <c r="D520" s="22" t="s">
        <v>138</v>
      </c>
      <c r="E520" s="22" t="s">
        <v>139</v>
      </c>
      <c r="F520" s="22" t="s">
        <v>105</v>
      </c>
      <c r="G520" s="23" t="n">
        <v>45470</v>
      </c>
      <c r="H520" s="24" t="n">
        <f aca="false">IF(G520="","",ROUND((Config!$C$4-G520)/365.25,2))</f>
        <v>2.26</v>
      </c>
      <c r="I520" s="25" t="str">
        <f aca="false">IF(H520="","",IF(H520&lt;=1,"Tramo 1",IF(H520&lt;=3,"Tramo 2",IF(H520&lt;=5,"Tramo 3","Tramo 4"))))</f>
        <v>Tramo 2</v>
      </c>
      <c r="J520" s="22" t="s">
        <v>140</v>
      </c>
      <c r="K520" s="22"/>
      <c r="L520" s="22" t="s">
        <v>2362</v>
      </c>
      <c r="M520" s="26" t="s">
        <v>2363</v>
      </c>
      <c r="N520" s="22"/>
      <c r="O520" s="22" t="s">
        <v>81</v>
      </c>
      <c r="P520" s="25" t="str">
        <f aca="false">IF(OR(O520="",O520="Sin información"),"",IFERROR(INDEX(Listas!$B$2:$B$9,MATCH(O520,Listas!$A$2:$A$9,0)),""))</f>
        <v>Sí</v>
      </c>
      <c r="Q520" s="25" t="str">
        <f aca="false">IF(OR(O520="",O520="Sin información"),"",IFERROR(INDEX(Listas!$C$2:$C$9,MATCH(O520,Listas!$A$2:$A$9,0)),""))</f>
        <v>Sí</v>
      </c>
      <c r="R520" s="22" t="s">
        <v>2345</v>
      </c>
      <c r="S520" s="22" t="s">
        <v>2364</v>
      </c>
      <c r="T520" s="25" t="str">
        <f aca="false">IF(S520="","",IFERROR(INDEX(Empleadores!$B$2:$B$601,MATCH(S520,Empleadores!$A$2:$A$601,0)),"No encontrado"))</f>
        <v>P.S. Vizcochoni</v>
      </c>
      <c r="U520" s="25" t="str">
        <f aca="false">IF(C520="","",IF(V520="","No",IF(Config!$C$4-V520&lt;=Config!$C$15,"Sí","No")))</f>
        <v>Sí</v>
      </c>
      <c r="V520" s="23" t="n">
        <v>45968</v>
      </c>
      <c r="W520" s="22"/>
      <c r="X520" s="22"/>
      <c r="Y520" s="22" t="s">
        <v>181</v>
      </c>
      <c r="Z520" s="27"/>
      <c r="AA520" s="22" t="s">
        <v>2365</v>
      </c>
      <c r="AB520" s="22" t="s">
        <v>183</v>
      </c>
    </row>
    <row r="521" customFormat="false" ht="15" hidden="false" customHeight="false" outlineLevel="0" collapsed="false">
      <c r="A521" s="22" t="n">
        <v>520</v>
      </c>
      <c r="B521" s="22" t="s">
        <v>2366</v>
      </c>
      <c r="C521" s="22" t="s">
        <v>2367</v>
      </c>
      <c r="D521" s="22" t="s">
        <v>138</v>
      </c>
      <c r="E521" s="22" t="s">
        <v>139</v>
      </c>
      <c r="F521" s="22" t="s">
        <v>105</v>
      </c>
      <c r="G521" s="23" t="n">
        <v>45470</v>
      </c>
      <c r="H521" s="24" t="n">
        <f aca="false">IF(G521="","",ROUND((Config!$C$4-G521)/365.25,2))</f>
        <v>2.26</v>
      </c>
      <c r="I521" s="25" t="str">
        <f aca="false">IF(H521="","",IF(H521&lt;=1,"Tramo 1",IF(H521&lt;=3,"Tramo 2",IF(H521&lt;=5,"Tramo 3","Tramo 4"))))</f>
        <v>Tramo 2</v>
      </c>
      <c r="J521" s="22" t="s">
        <v>140</v>
      </c>
      <c r="K521" s="22"/>
      <c r="L521" s="22" t="s">
        <v>2368</v>
      </c>
      <c r="M521" s="26" t="s">
        <v>2369</v>
      </c>
      <c r="N521" s="22"/>
      <c r="O521" s="22" t="s">
        <v>63</v>
      </c>
      <c r="P521" s="25" t="str">
        <f aca="false">IF(OR(O521="",O521="Sin información"),"",IFERROR(INDEX(Listas!$B$2:$B$9,MATCH(O521,Listas!$A$2:$A$9,0)),""))</f>
        <v/>
      </c>
      <c r="Q521" s="25" t="str">
        <f aca="false">IF(OR(O521="",O521="Sin información"),"",IFERROR(INDEX(Listas!$C$2:$C$9,MATCH(O521,Listas!$A$2:$A$9,0)),""))</f>
        <v/>
      </c>
      <c r="R521" s="22"/>
      <c r="S521" s="22"/>
      <c r="T521" s="25" t="str">
        <f aca="false">IF(S521="","",IFERROR(INDEX(Empleadores!$B$2:$B$601,MATCH(S521,Empleadores!$A$2:$A$601,0)),"No encontrado"))</f>
        <v/>
      </c>
      <c r="U521" s="25" t="str">
        <f aca="false">IF(C521="","",IF(V521="","No",IF(Config!$C$4-V521&lt;=Config!$C$15,"Sí","No")))</f>
        <v>No</v>
      </c>
      <c r="V521" s="23"/>
      <c r="W521" s="22"/>
      <c r="X521" s="22"/>
      <c r="Y521" s="22"/>
      <c r="Z521" s="27"/>
      <c r="AA521" s="22"/>
      <c r="AB521" s="22"/>
    </row>
    <row r="522" customFormat="false" ht="15" hidden="false" customHeight="false" outlineLevel="0" collapsed="false">
      <c r="A522" s="22" t="n">
        <v>521</v>
      </c>
      <c r="B522" s="22" t="s">
        <v>2370</v>
      </c>
      <c r="C522" s="22" t="s">
        <v>2371</v>
      </c>
      <c r="D522" s="22" t="s">
        <v>138</v>
      </c>
      <c r="E522" s="22" t="s">
        <v>139</v>
      </c>
      <c r="F522" s="22" t="s">
        <v>105</v>
      </c>
      <c r="G522" s="23" t="n">
        <v>45470</v>
      </c>
      <c r="H522" s="24" t="n">
        <f aca="false">IF(G522="","",ROUND((Config!$C$4-G522)/365.25,2))</f>
        <v>2.26</v>
      </c>
      <c r="I522" s="25" t="str">
        <f aca="false">IF(H522="","",IF(H522&lt;=1,"Tramo 1",IF(H522&lt;=3,"Tramo 2",IF(H522&lt;=5,"Tramo 3","Tramo 4"))))</f>
        <v>Tramo 2</v>
      </c>
      <c r="J522" s="22" t="s">
        <v>166</v>
      </c>
      <c r="K522" s="22"/>
      <c r="L522" s="22" t="s">
        <v>2372</v>
      </c>
      <c r="M522" s="26" t="s">
        <v>2373</v>
      </c>
      <c r="N522" s="22"/>
      <c r="O522" s="22" t="s">
        <v>63</v>
      </c>
      <c r="P522" s="25" t="str">
        <f aca="false">IF(OR(O522="",O522="Sin información"),"",IFERROR(INDEX(Listas!$B$2:$B$9,MATCH(O522,Listas!$A$2:$A$9,0)),""))</f>
        <v/>
      </c>
      <c r="Q522" s="25" t="str">
        <f aca="false">IF(OR(O522="",O522="Sin información"),"",IFERROR(INDEX(Listas!$C$2:$C$9,MATCH(O522,Listas!$A$2:$A$9,0)),""))</f>
        <v/>
      </c>
      <c r="R522" s="22"/>
      <c r="S522" s="22"/>
      <c r="T522" s="25" t="str">
        <f aca="false">IF(S522="","",IFERROR(INDEX(Empleadores!$B$2:$B$601,MATCH(S522,Empleadores!$A$2:$A$601,0)),"No encontrado"))</f>
        <v/>
      </c>
      <c r="U522" s="25" t="str">
        <f aca="false">IF(C522="","",IF(V522="","No",IF(Config!$C$4-V522&lt;=Config!$C$15,"Sí","No")))</f>
        <v>No</v>
      </c>
      <c r="V522" s="23"/>
      <c r="W522" s="22"/>
      <c r="X522" s="22"/>
      <c r="Y522" s="22"/>
      <c r="Z522" s="27"/>
      <c r="AA522" s="22"/>
      <c r="AB522" s="22"/>
    </row>
    <row r="523" customFormat="false" ht="15" hidden="false" customHeight="false" outlineLevel="0" collapsed="false">
      <c r="A523" s="22" t="n">
        <v>522</v>
      </c>
      <c r="B523" s="22" t="s">
        <v>2374</v>
      </c>
      <c r="C523" s="22" t="s">
        <v>2375</v>
      </c>
      <c r="D523" s="22" t="s">
        <v>149</v>
      </c>
      <c r="E523" s="22" t="s">
        <v>139</v>
      </c>
      <c r="F523" s="22" t="s">
        <v>105</v>
      </c>
      <c r="G523" s="23" t="n">
        <v>45470</v>
      </c>
      <c r="H523" s="24" t="n">
        <f aca="false">IF(G523="","",ROUND((Config!$C$4-G523)/365.25,2))</f>
        <v>2.26</v>
      </c>
      <c r="I523" s="25" t="str">
        <f aca="false">IF(H523="","",IF(H523&lt;=1,"Tramo 1",IF(H523&lt;=3,"Tramo 2",IF(H523&lt;=5,"Tramo 3","Tramo 4"))))</f>
        <v>Tramo 2</v>
      </c>
      <c r="J523" s="22" t="s">
        <v>140</v>
      </c>
      <c r="K523" s="22"/>
      <c r="L523" s="22" t="s">
        <v>2376</v>
      </c>
      <c r="M523" s="26" t="s">
        <v>2377</v>
      </c>
      <c r="N523" s="22" t="s">
        <v>139</v>
      </c>
      <c r="O523" s="22" t="s">
        <v>85</v>
      </c>
      <c r="P523" s="25" t="str">
        <f aca="false">IF(OR(O523="",O523="Sin información"),"",IFERROR(INDEX(Listas!$B$2:$B$9,MATCH(O523,Listas!$A$2:$A$9,0)),""))</f>
        <v>Sí</v>
      </c>
      <c r="Q523" s="25" t="str">
        <f aca="false">IF(OR(O523="",O523="Sin información"),"",IFERROR(INDEX(Listas!$C$2:$C$9,MATCH(O523,Listas!$A$2:$A$9,0)),""))</f>
        <v>Sí</v>
      </c>
      <c r="R523" s="22" t="s">
        <v>2378</v>
      </c>
      <c r="S523" s="22" t="s">
        <v>1072</v>
      </c>
      <c r="T523" s="25" t="str">
        <f aca="false">IF(S523="","",IFERROR(INDEX(Empleadores!$B$2:$B$601,MATCH(S523,Empleadores!$A$2:$A$601,0)),"No encontrado"))</f>
        <v>Clínica Gold Medical</v>
      </c>
      <c r="U523" s="25" t="str">
        <f aca="false">IF(C523="","",IF(V523="","No",IF(Config!$C$4-V523&lt;=Config!$C$15,"Sí","No")))</f>
        <v>Sí</v>
      </c>
      <c r="V523" s="23" t="n">
        <v>45952</v>
      </c>
      <c r="W523" s="22"/>
      <c r="X523" s="22"/>
      <c r="Y523" s="22"/>
      <c r="Z523" s="27"/>
      <c r="AA523" s="22" t="s">
        <v>2379</v>
      </c>
      <c r="AB523" s="22" t="s">
        <v>2265</v>
      </c>
    </row>
    <row r="524" customFormat="false" ht="15" hidden="false" customHeight="false" outlineLevel="0" collapsed="false">
      <c r="A524" s="22" t="n">
        <v>523</v>
      </c>
      <c r="B524" s="22" t="s">
        <v>2380</v>
      </c>
      <c r="C524" s="22" t="s">
        <v>2381</v>
      </c>
      <c r="D524" s="22" t="s">
        <v>138</v>
      </c>
      <c r="E524" s="22" t="s">
        <v>139</v>
      </c>
      <c r="F524" s="22" t="s">
        <v>105</v>
      </c>
      <c r="G524" s="23" t="n">
        <v>45470</v>
      </c>
      <c r="H524" s="24" t="n">
        <f aca="false">IF(G524="","",ROUND((Config!$C$4-G524)/365.25,2))</f>
        <v>2.26</v>
      </c>
      <c r="I524" s="25" t="str">
        <f aca="false">IF(H524="","",IF(H524&lt;=1,"Tramo 1",IF(H524&lt;=3,"Tramo 2",IF(H524&lt;=5,"Tramo 3","Tramo 4"))))</f>
        <v>Tramo 2</v>
      </c>
      <c r="J524" s="22" t="s">
        <v>140</v>
      </c>
      <c r="K524" s="22"/>
      <c r="L524" s="22" t="s">
        <v>2382</v>
      </c>
      <c r="M524" s="26" t="s">
        <v>2383</v>
      </c>
      <c r="N524" s="22"/>
      <c r="O524" s="22" t="s">
        <v>63</v>
      </c>
      <c r="P524" s="25" t="str">
        <f aca="false">IF(OR(O524="",O524="Sin información"),"",IFERROR(INDEX(Listas!$B$2:$B$9,MATCH(O524,Listas!$A$2:$A$9,0)),""))</f>
        <v/>
      </c>
      <c r="Q524" s="25" t="str">
        <f aca="false">IF(OR(O524="",O524="Sin información"),"",IFERROR(INDEX(Listas!$C$2:$C$9,MATCH(O524,Listas!$A$2:$A$9,0)),""))</f>
        <v/>
      </c>
      <c r="R524" s="22"/>
      <c r="S524" s="22"/>
      <c r="T524" s="25" t="str">
        <f aca="false">IF(S524="","",IFERROR(INDEX(Empleadores!$B$2:$B$601,MATCH(S524,Empleadores!$A$2:$A$601,0)),"No encontrado"))</f>
        <v/>
      </c>
      <c r="U524" s="25" t="str">
        <f aca="false">IF(C524="","",IF(V524="","No",IF(Config!$C$4-V524&lt;=Config!$C$15,"Sí","No")))</f>
        <v>No</v>
      </c>
      <c r="V524" s="23"/>
      <c r="W524" s="22"/>
      <c r="X524" s="22"/>
      <c r="Y524" s="22"/>
      <c r="Z524" s="27"/>
      <c r="AA524" s="22" t="s">
        <v>2384</v>
      </c>
      <c r="AB524" s="22" t="s">
        <v>1691</v>
      </c>
    </row>
    <row r="525" customFormat="false" ht="15" hidden="false" customHeight="false" outlineLevel="0" collapsed="false">
      <c r="A525" s="22" t="n">
        <v>524</v>
      </c>
      <c r="B525" s="22" t="s">
        <v>2385</v>
      </c>
      <c r="C525" s="22" t="s">
        <v>2386</v>
      </c>
      <c r="D525" s="22" t="s">
        <v>138</v>
      </c>
      <c r="E525" s="22" t="s">
        <v>139</v>
      </c>
      <c r="F525" s="22" t="s">
        <v>105</v>
      </c>
      <c r="G525" s="23" t="n">
        <v>45470</v>
      </c>
      <c r="H525" s="24" t="n">
        <f aca="false">IF(G525="","",ROUND((Config!$C$4-G525)/365.25,2))</f>
        <v>2.26</v>
      </c>
      <c r="I525" s="25" t="str">
        <f aca="false">IF(H525="","",IF(H525&lt;=1,"Tramo 1",IF(H525&lt;=3,"Tramo 2",IF(H525&lt;=5,"Tramo 3","Tramo 4"))))</f>
        <v>Tramo 2</v>
      </c>
      <c r="J525" s="22" t="s">
        <v>140</v>
      </c>
      <c r="K525" s="22"/>
      <c r="L525" s="22" t="s">
        <v>2387</v>
      </c>
      <c r="M525" s="26" t="s">
        <v>2388</v>
      </c>
      <c r="N525" s="22"/>
      <c r="O525" s="22" t="s">
        <v>63</v>
      </c>
      <c r="P525" s="25" t="str">
        <f aca="false">IF(OR(O525="",O525="Sin información"),"",IFERROR(INDEX(Listas!$B$2:$B$9,MATCH(O525,Listas!$A$2:$A$9,0)),""))</f>
        <v/>
      </c>
      <c r="Q525" s="25" t="str">
        <f aca="false">IF(OR(O525="",O525="Sin información"),"",IFERROR(INDEX(Listas!$C$2:$C$9,MATCH(O525,Listas!$A$2:$A$9,0)),""))</f>
        <v/>
      </c>
      <c r="R525" s="22"/>
      <c r="S525" s="22"/>
      <c r="T525" s="25" t="str">
        <f aca="false">IF(S525="","",IFERROR(INDEX(Empleadores!$B$2:$B$601,MATCH(S525,Empleadores!$A$2:$A$601,0)),"No encontrado"))</f>
        <v/>
      </c>
      <c r="U525" s="25" t="str">
        <f aca="false">IF(C525="","",IF(V525="","No",IF(Config!$C$4-V525&lt;=Config!$C$15,"Sí","No")))</f>
        <v>No</v>
      </c>
      <c r="V525" s="23"/>
      <c r="W525" s="22"/>
      <c r="X525" s="22"/>
      <c r="Y525" s="22"/>
      <c r="Z525" s="27"/>
      <c r="AA525" s="22"/>
      <c r="AB525" s="22"/>
    </row>
    <row r="526" customFormat="false" ht="15" hidden="false" customHeight="false" outlineLevel="0" collapsed="false">
      <c r="A526" s="22" t="n">
        <v>525</v>
      </c>
      <c r="B526" s="22" t="s">
        <v>2389</v>
      </c>
      <c r="C526" s="22" t="s">
        <v>2390</v>
      </c>
      <c r="D526" s="22" t="s">
        <v>138</v>
      </c>
      <c r="E526" s="22" t="s">
        <v>139</v>
      </c>
      <c r="F526" s="22" t="s">
        <v>105</v>
      </c>
      <c r="G526" s="23" t="n">
        <v>45470</v>
      </c>
      <c r="H526" s="24" t="n">
        <f aca="false">IF(G526="","",ROUND((Config!$C$4-G526)/365.25,2))</f>
        <v>2.26</v>
      </c>
      <c r="I526" s="25" t="str">
        <f aca="false">IF(H526="","",IF(H526&lt;=1,"Tramo 1",IF(H526&lt;=3,"Tramo 2",IF(H526&lt;=5,"Tramo 3","Tramo 4"))))</f>
        <v>Tramo 2</v>
      </c>
      <c r="J526" s="22" t="s">
        <v>140</v>
      </c>
      <c r="K526" s="22"/>
      <c r="L526" s="22" t="s">
        <v>2391</v>
      </c>
      <c r="M526" s="26" t="s">
        <v>2392</v>
      </c>
      <c r="N526" s="22"/>
      <c r="O526" s="22" t="s">
        <v>63</v>
      </c>
      <c r="P526" s="25" t="str">
        <f aca="false">IF(OR(O526="",O526="Sin información"),"",IFERROR(INDEX(Listas!$B$2:$B$9,MATCH(O526,Listas!$A$2:$A$9,0)),""))</f>
        <v/>
      </c>
      <c r="Q526" s="25" t="str">
        <f aca="false">IF(OR(O526="",O526="Sin información"),"",IFERROR(INDEX(Listas!$C$2:$C$9,MATCH(O526,Listas!$A$2:$A$9,0)),""))</f>
        <v/>
      </c>
      <c r="R526" s="22"/>
      <c r="S526" s="22"/>
      <c r="T526" s="25" t="str">
        <f aca="false">IF(S526="","",IFERROR(INDEX(Empleadores!$B$2:$B$601,MATCH(S526,Empleadores!$A$2:$A$601,0)),"No encontrado"))</f>
        <v/>
      </c>
      <c r="U526" s="25" t="str">
        <f aca="false">IF(C526="","",IF(V526="","No",IF(Config!$C$4-V526&lt;=Config!$C$15,"Sí","No")))</f>
        <v>No</v>
      </c>
      <c r="V526" s="23"/>
      <c r="W526" s="22"/>
      <c r="X526" s="22"/>
      <c r="Y526" s="22"/>
      <c r="Z526" s="27"/>
      <c r="AA526" s="22"/>
      <c r="AB526" s="22"/>
    </row>
    <row r="527" customFormat="false" ht="15" hidden="false" customHeight="false" outlineLevel="0" collapsed="false">
      <c r="A527" s="22" t="n">
        <v>526</v>
      </c>
      <c r="B527" s="22" t="s">
        <v>2393</v>
      </c>
      <c r="C527" s="22" t="s">
        <v>2394</v>
      </c>
      <c r="D527" s="22" t="s">
        <v>138</v>
      </c>
      <c r="E527" s="22" t="s">
        <v>139</v>
      </c>
      <c r="F527" s="22" t="s">
        <v>105</v>
      </c>
      <c r="G527" s="23" t="n">
        <v>45470</v>
      </c>
      <c r="H527" s="24" t="n">
        <f aca="false">IF(G527="","",ROUND((Config!$C$4-G527)/365.25,2))</f>
        <v>2.26</v>
      </c>
      <c r="I527" s="25" t="str">
        <f aca="false">IF(H527="","",IF(H527&lt;=1,"Tramo 1",IF(H527&lt;=3,"Tramo 2",IF(H527&lt;=5,"Tramo 3","Tramo 4"))))</f>
        <v>Tramo 2</v>
      </c>
      <c r="J527" s="22" t="s">
        <v>140</v>
      </c>
      <c r="K527" s="22"/>
      <c r="L527" s="22" t="s">
        <v>2395</v>
      </c>
      <c r="M527" s="26" t="s">
        <v>2396</v>
      </c>
      <c r="N527" s="22"/>
      <c r="O527" s="22" t="s">
        <v>63</v>
      </c>
      <c r="P527" s="25" t="str">
        <f aca="false">IF(OR(O527="",O527="Sin información"),"",IFERROR(INDEX(Listas!$B$2:$B$9,MATCH(O527,Listas!$A$2:$A$9,0)),""))</f>
        <v/>
      </c>
      <c r="Q527" s="25" t="str">
        <f aca="false">IF(OR(O527="",O527="Sin información"),"",IFERROR(INDEX(Listas!$C$2:$C$9,MATCH(O527,Listas!$A$2:$A$9,0)),""))</f>
        <v/>
      </c>
      <c r="R527" s="22"/>
      <c r="S527" s="22"/>
      <c r="T527" s="25" t="str">
        <f aca="false">IF(S527="","",IFERROR(INDEX(Empleadores!$B$2:$B$601,MATCH(S527,Empleadores!$A$2:$A$601,0)),"No encontrado"))</f>
        <v/>
      </c>
      <c r="U527" s="25" t="str">
        <f aca="false">IF(C527="","",IF(V527="","No",IF(Config!$C$4-V527&lt;=Config!$C$15,"Sí","No")))</f>
        <v>No</v>
      </c>
      <c r="V527" s="23"/>
      <c r="W527" s="22"/>
      <c r="X527" s="22"/>
      <c r="Y527" s="22"/>
      <c r="Z527" s="27"/>
      <c r="AA527" s="22"/>
      <c r="AB527" s="22"/>
    </row>
    <row r="528" customFormat="false" ht="15" hidden="false" customHeight="false" outlineLevel="0" collapsed="false">
      <c r="A528" s="22" t="n">
        <v>527</v>
      </c>
      <c r="B528" s="22" t="s">
        <v>2397</v>
      </c>
      <c r="C528" s="22" t="s">
        <v>2398</v>
      </c>
      <c r="D528" s="22" t="s">
        <v>138</v>
      </c>
      <c r="E528" s="22" t="s">
        <v>139</v>
      </c>
      <c r="F528" s="22" t="s">
        <v>105</v>
      </c>
      <c r="G528" s="23" t="n">
        <v>45470</v>
      </c>
      <c r="H528" s="24" t="n">
        <f aca="false">IF(G528="","",ROUND((Config!$C$4-G528)/365.25,2))</f>
        <v>2.26</v>
      </c>
      <c r="I528" s="25" t="str">
        <f aca="false">IF(H528="","",IF(H528&lt;=1,"Tramo 1",IF(H528&lt;=3,"Tramo 2",IF(H528&lt;=5,"Tramo 3","Tramo 4"))))</f>
        <v>Tramo 2</v>
      </c>
      <c r="J528" s="22" t="s">
        <v>140</v>
      </c>
      <c r="K528" s="22"/>
      <c r="L528" s="22" t="s">
        <v>2399</v>
      </c>
      <c r="M528" s="26" t="s">
        <v>2400</v>
      </c>
      <c r="N528" s="22"/>
      <c r="O528" s="22" t="s">
        <v>85</v>
      </c>
      <c r="P528" s="25" t="str">
        <f aca="false">IF(OR(O528="",O528="Sin información"),"",IFERROR(INDEX(Listas!$B$2:$B$9,MATCH(O528,Listas!$A$2:$A$9,0)),""))</f>
        <v>Sí</v>
      </c>
      <c r="Q528" s="25" t="str">
        <f aca="false">IF(OR(O528="",O528="Sin información"),"",IFERROR(INDEX(Listas!$C$2:$C$9,MATCH(O528,Listas!$A$2:$A$9,0)),""))</f>
        <v>Sí</v>
      </c>
      <c r="R528" s="22"/>
      <c r="S528" s="22" t="s">
        <v>2401</v>
      </c>
      <c r="T528" s="25" t="str">
        <f aca="false">IF(S528="","",IFERROR(INDEX(Empleadores!$B$2:$B$601,MATCH(S528,Empleadores!$A$2:$A$601,0)),"No encontrado"))</f>
        <v>Club Cienciano</v>
      </c>
      <c r="U528" s="25" t="str">
        <f aca="false">IF(C528="","",IF(V528="","No",IF(Config!$C$4-V528&lt;=Config!$C$15,"Sí","No")))</f>
        <v>Sí</v>
      </c>
      <c r="V528" s="23" t="n">
        <v>45971</v>
      </c>
      <c r="W528" s="22"/>
      <c r="X528" s="22"/>
      <c r="Y528" s="22" t="s">
        <v>181</v>
      </c>
      <c r="Z528" s="27"/>
      <c r="AA528" s="22"/>
      <c r="AB528" s="22" t="s">
        <v>183</v>
      </c>
    </row>
    <row r="529" customFormat="false" ht="15" hidden="false" customHeight="false" outlineLevel="0" collapsed="false">
      <c r="A529" s="22" t="n">
        <v>528</v>
      </c>
      <c r="B529" s="22" t="s">
        <v>2402</v>
      </c>
      <c r="C529" s="22" t="s">
        <v>2403</v>
      </c>
      <c r="D529" s="22" t="s">
        <v>138</v>
      </c>
      <c r="E529" s="22" t="s">
        <v>139</v>
      </c>
      <c r="F529" s="22" t="s">
        <v>105</v>
      </c>
      <c r="G529" s="23" t="n">
        <v>45470</v>
      </c>
      <c r="H529" s="24" t="n">
        <f aca="false">IF(G529="","",ROUND((Config!$C$4-G529)/365.25,2))</f>
        <v>2.26</v>
      </c>
      <c r="I529" s="25" t="str">
        <f aca="false">IF(H529="","",IF(H529&lt;=1,"Tramo 1",IF(H529&lt;=3,"Tramo 2",IF(H529&lt;=5,"Tramo 3","Tramo 4"))))</f>
        <v>Tramo 2</v>
      </c>
      <c r="J529" s="22" t="s">
        <v>140</v>
      </c>
      <c r="K529" s="22"/>
      <c r="L529" s="22" t="s">
        <v>2404</v>
      </c>
      <c r="M529" s="26" t="s">
        <v>2405</v>
      </c>
      <c r="N529" s="22"/>
      <c r="O529" s="22" t="s">
        <v>63</v>
      </c>
      <c r="P529" s="25" t="str">
        <f aca="false">IF(OR(O529="",O529="Sin información"),"",IFERROR(INDEX(Listas!$B$2:$B$9,MATCH(O529,Listas!$A$2:$A$9,0)),""))</f>
        <v/>
      </c>
      <c r="Q529" s="25" t="str">
        <f aca="false">IF(OR(O529="",O529="Sin información"),"",IFERROR(INDEX(Listas!$C$2:$C$9,MATCH(O529,Listas!$A$2:$A$9,0)),""))</f>
        <v/>
      </c>
      <c r="R529" s="22"/>
      <c r="S529" s="22"/>
      <c r="T529" s="25" t="str">
        <f aca="false">IF(S529="","",IFERROR(INDEX(Empleadores!$B$2:$B$601,MATCH(S529,Empleadores!$A$2:$A$601,0)),"No encontrado"))</f>
        <v/>
      </c>
      <c r="U529" s="25" t="str">
        <f aca="false">IF(C529="","",IF(V529="","No",IF(Config!$C$4-V529&lt;=Config!$C$15,"Sí","No")))</f>
        <v>No</v>
      </c>
      <c r="V529" s="23"/>
      <c r="W529" s="22"/>
      <c r="X529" s="22"/>
      <c r="Y529" s="22"/>
      <c r="Z529" s="27"/>
      <c r="AA529" s="22"/>
      <c r="AB529" s="22"/>
    </row>
    <row r="530" customFormat="false" ht="15" hidden="false" customHeight="false" outlineLevel="0" collapsed="false">
      <c r="A530" s="22" t="n">
        <v>529</v>
      </c>
      <c r="B530" s="22" t="s">
        <v>2406</v>
      </c>
      <c r="C530" s="22" t="s">
        <v>2407</v>
      </c>
      <c r="D530" s="22" t="s">
        <v>138</v>
      </c>
      <c r="E530" s="22" t="s">
        <v>139</v>
      </c>
      <c r="F530" s="22" t="s">
        <v>105</v>
      </c>
      <c r="G530" s="23" t="n">
        <v>45470</v>
      </c>
      <c r="H530" s="24" t="n">
        <f aca="false">IF(G530="","",ROUND((Config!$C$4-G530)/365.25,2))</f>
        <v>2.26</v>
      </c>
      <c r="I530" s="25" t="str">
        <f aca="false">IF(H530="","",IF(H530&lt;=1,"Tramo 1",IF(H530&lt;=3,"Tramo 2",IF(H530&lt;=5,"Tramo 3","Tramo 4"))))</f>
        <v>Tramo 2</v>
      </c>
      <c r="J530" s="22" t="s">
        <v>166</v>
      </c>
      <c r="K530" s="22"/>
      <c r="L530" s="22" t="s">
        <v>2408</v>
      </c>
      <c r="M530" s="26" t="s">
        <v>2409</v>
      </c>
      <c r="N530" s="22"/>
      <c r="O530" s="22" t="s">
        <v>63</v>
      </c>
      <c r="P530" s="25" t="str">
        <f aca="false">IF(OR(O530="",O530="Sin información"),"",IFERROR(INDEX(Listas!$B$2:$B$9,MATCH(O530,Listas!$A$2:$A$9,0)),""))</f>
        <v/>
      </c>
      <c r="Q530" s="25" t="str">
        <f aca="false">IF(OR(O530="",O530="Sin información"),"",IFERROR(INDEX(Listas!$C$2:$C$9,MATCH(O530,Listas!$A$2:$A$9,0)),""))</f>
        <v/>
      </c>
      <c r="R530" s="22"/>
      <c r="S530" s="22"/>
      <c r="T530" s="25" t="str">
        <f aca="false">IF(S530="","",IFERROR(INDEX(Empleadores!$B$2:$B$601,MATCH(S530,Empleadores!$A$2:$A$601,0)),"No encontrado"))</f>
        <v/>
      </c>
      <c r="U530" s="25" t="str">
        <f aca="false">IF(C530="","",IF(V530="","No",IF(Config!$C$4-V530&lt;=Config!$C$15,"Sí","No")))</f>
        <v>No</v>
      </c>
      <c r="V530" s="23"/>
      <c r="W530" s="22"/>
      <c r="X530" s="22"/>
      <c r="Y530" s="22"/>
      <c r="Z530" s="27"/>
      <c r="AA530" s="22"/>
      <c r="AB530" s="22"/>
    </row>
    <row r="531" customFormat="false" ht="15" hidden="false" customHeight="false" outlineLevel="0" collapsed="false">
      <c r="A531" s="22" t="n">
        <v>530</v>
      </c>
      <c r="B531" s="22" t="s">
        <v>2410</v>
      </c>
      <c r="C531" s="22" t="s">
        <v>2411</v>
      </c>
      <c r="D531" s="22" t="s">
        <v>138</v>
      </c>
      <c r="E531" s="22" t="s">
        <v>139</v>
      </c>
      <c r="F531" s="22" t="s">
        <v>105</v>
      </c>
      <c r="G531" s="23" t="n">
        <v>45470</v>
      </c>
      <c r="H531" s="24" t="n">
        <f aca="false">IF(G531="","",ROUND((Config!$C$4-G531)/365.25,2))</f>
        <v>2.26</v>
      </c>
      <c r="I531" s="25" t="str">
        <f aca="false">IF(H531="","",IF(H531&lt;=1,"Tramo 1",IF(H531&lt;=3,"Tramo 2",IF(H531&lt;=5,"Tramo 3","Tramo 4"))))</f>
        <v>Tramo 2</v>
      </c>
      <c r="J531" s="22" t="s">
        <v>140</v>
      </c>
      <c r="K531" s="22"/>
      <c r="L531" s="22" t="s">
        <v>2412</v>
      </c>
      <c r="M531" s="26" t="s">
        <v>2413</v>
      </c>
      <c r="N531" s="22"/>
      <c r="O531" s="22" t="s">
        <v>63</v>
      </c>
      <c r="P531" s="25" t="str">
        <f aca="false">IF(OR(O531="",O531="Sin información"),"",IFERROR(INDEX(Listas!$B$2:$B$9,MATCH(O531,Listas!$A$2:$A$9,0)),""))</f>
        <v/>
      </c>
      <c r="Q531" s="25" t="str">
        <f aca="false">IF(OR(O531="",O531="Sin información"),"",IFERROR(INDEX(Listas!$C$2:$C$9,MATCH(O531,Listas!$A$2:$A$9,0)),""))</f>
        <v/>
      </c>
      <c r="R531" s="22"/>
      <c r="S531" s="22"/>
      <c r="T531" s="25" t="str">
        <f aca="false">IF(S531="","",IFERROR(INDEX(Empleadores!$B$2:$B$601,MATCH(S531,Empleadores!$A$2:$A$601,0)),"No encontrado"))</f>
        <v/>
      </c>
      <c r="U531" s="25" t="str">
        <f aca="false">IF(C531="","",IF(V531="","No",IF(Config!$C$4-V531&lt;=Config!$C$15,"Sí","No")))</f>
        <v>No</v>
      </c>
      <c r="V531" s="23"/>
      <c r="W531" s="22"/>
      <c r="X531" s="22"/>
      <c r="Y531" s="22"/>
      <c r="Z531" s="27"/>
      <c r="AA531" s="22"/>
      <c r="AB531" s="22"/>
    </row>
    <row r="532" customFormat="false" ht="15" hidden="false" customHeight="false" outlineLevel="0" collapsed="false">
      <c r="A532" s="22" t="n">
        <v>531</v>
      </c>
      <c r="B532" s="22" t="s">
        <v>2414</v>
      </c>
      <c r="C532" s="22" t="s">
        <v>2415</v>
      </c>
      <c r="D532" s="22" t="s">
        <v>138</v>
      </c>
      <c r="E532" s="22" t="s">
        <v>139</v>
      </c>
      <c r="F532" s="22" t="s">
        <v>105</v>
      </c>
      <c r="G532" s="23" t="n">
        <v>45470</v>
      </c>
      <c r="H532" s="24" t="n">
        <f aca="false">IF(G532="","",ROUND((Config!$C$4-G532)/365.25,2))</f>
        <v>2.26</v>
      </c>
      <c r="I532" s="25" t="str">
        <f aca="false">IF(H532="","",IF(H532&lt;=1,"Tramo 1",IF(H532&lt;=3,"Tramo 2",IF(H532&lt;=5,"Tramo 3","Tramo 4"))))</f>
        <v>Tramo 2</v>
      </c>
      <c r="J532" s="22" t="s">
        <v>140</v>
      </c>
      <c r="K532" s="22"/>
      <c r="L532" s="22" t="s">
        <v>2416</v>
      </c>
      <c r="M532" s="26" t="s">
        <v>2417</v>
      </c>
      <c r="N532" s="22" t="s">
        <v>2418</v>
      </c>
      <c r="O532" s="22" t="s">
        <v>81</v>
      </c>
      <c r="P532" s="25" t="str">
        <f aca="false">IF(OR(O532="",O532="Sin información"),"",IFERROR(INDEX(Listas!$B$2:$B$9,MATCH(O532,Listas!$A$2:$A$9,0)),""))</f>
        <v>Sí</v>
      </c>
      <c r="Q532" s="25" t="str">
        <f aca="false">IF(OR(O532="",O532="Sin información"),"",IFERROR(INDEX(Listas!$C$2:$C$9,MATCH(O532,Listas!$A$2:$A$9,0)),""))</f>
        <v>Sí</v>
      </c>
      <c r="R532" s="22" t="s">
        <v>2419</v>
      </c>
      <c r="S532" s="22" t="s">
        <v>2420</v>
      </c>
      <c r="T532" s="25" t="str">
        <f aca="false">IF(S532="","",IFERROR(INDEX(Empleadores!$B$2:$B$601,MATCH(S532,Empleadores!$A$2:$A$601,0)),"No encontrado"))</f>
        <v>Sanidad PNP – Quillabamba</v>
      </c>
      <c r="U532" s="25" t="str">
        <f aca="false">IF(C532="","",IF(V532="","No",IF(Config!$C$4-V532&lt;=Config!$C$15,"Sí","No")))</f>
        <v>Sí</v>
      </c>
      <c r="V532" s="23" t="n">
        <v>45951</v>
      </c>
      <c r="W532" s="22"/>
      <c r="X532" s="22"/>
      <c r="Y532" s="22"/>
      <c r="Z532" s="27"/>
      <c r="AA532" s="22" t="s">
        <v>2421</v>
      </c>
      <c r="AB532" s="22" t="s">
        <v>2265</v>
      </c>
    </row>
    <row r="533" customFormat="false" ht="15" hidden="false" customHeight="false" outlineLevel="0" collapsed="false">
      <c r="A533" s="22" t="n">
        <v>532</v>
      </c>
      <c r="B533" s="22" t="s">
        <v>2422</v>
      </c>
      <c r="C533" s="22" t="s">
        <v>2423</v>
      </c>
      <c r="D533" s="22" t="s">
        <v>149</v>
      </c>
      <c r="E533" s="22" t="s">
        <v>139</v>
      </c>
      <c r="F533" s="22" t="s">
        <v>105</v>
      </c>
      <c r="G533" s="23" t="n">
        <v>45470</v>
      </c>
      <c r="H533" s="24" t="n">
        <f aca="false">IF(G533="","",ROUND((Config!$C$4-G533)/365.25,2))</f>
        <v>2.26</v>
      </c>
      <c r="I533" s="25" t="str">
        <f aca="false">IF(H533="","",IF(H533&lt;=1,"Tramo 1",IF(H533&lt;=3,"Tramo 2",IF(H533&lt;=5,"Tramo 3","Tramo 4"))))</f>
        <v>Tramo 2</v>
      </c>
      <c r="J533" s="22" t="s">
        <v>140</v>
      </c>
      <c r="K533" s="22"/>
      <c r="L533" s="22" t="s">
        <v>2424</v>
      </c>
      <c r="M533" s="26" t="s">
        <v>2425</v>
      </c>
      <c r="N533" s="22"/>
      <c r="O533" s="22" t="s">
        <v>63</v>
      </c>
      <c r="P533" s="25" t="str">
        <f aca="false">IF(OR(O533="",O533="Sin información"),"",IFERROR(INDEX(Listas!$B$2:$B$9,MATCH(O533,Listas!$A$2:$A$9,0)),""))</f>
        <v/>
      </c>
      <c r="Q533" s="25" t="str">
        <f aca="false">IF(OR(O533="",O533="Sin información"),"",IFERROR(INDEX(Listas!$C$2:$C$9,MATCH(O533,Listas!$A$2:$A$9,0)),""))</f>
        <v/>
      </c>
      <c r="R533" s="22"/>
      <c r="S533" s="22"/>
      <c r="T533" s="25" t="str">
        <f aca="false">IF(S533="","",IFERROR(INDEX(Empleadores!$B$2:$B$601,MATCH(S533,Empleadores!$A$2:$A$601,0)),"No encontrado"))</f>
        <v/>
      </c>
      <c r="U533" s="25" t="str">
        <f aca="false">IF(C533="","",IF(V533="","No",IF(Config!$C$4-V533&lt;=Config!$C$15,"Sí","No")))</f>
        <v>No</v>
      </c>
      <c r="V533" s="23"/>
      <c r="W533" s="22"/>
      <c r="X533" s="22"/>
      <c r="Y533" s="22"/>
      <c r="Z533" s="27"/>
      <c r="AA533" s="22"/>
      <c r="AB533" s="22"/>
    </row>
    <row r="534" customFormat="false" ht="15" hidden="false" customHeight="false" outlineLevel="0" collapsed="false">
      <c r="A534" s="22" t="n">
        <v>533</v>
      </c>
      <c r="B534" s="22" t="s">
        <v>2426</v>
      </c>
      <c r="C534" s="22" t="s">
        <v>2427</v>
      </c>
      <c r="D534" s="22" t="s">
        <v>138</v>
      </c>
      <c r="E534" s="22" t="s">
        <v>139</v>
      </c>
      <c r="F534" s="22" t="s">
        <v>105</v>
      </c>
      <c r="G534" s="23" t="n">
        <v>45470</v>
      </c>
      <c r="H534" s="24" t="n">
        <f aca="false">IF(G534="","",ROUND((Config!$C$4-G534)/365.25,2))</f>
        <v>2.26</v>
      </c>
      <c r="I534" s="25" t="str">
        <f aca="false">IF(H534="","",IF(H534&lt;=1,"Tramo 1",IF(H534&lt;=3,"Tramo 2",IF(H534&lt;=5,"Tramo 3","Tramo 4"))))</f>
        <v>Tramo 2</v>
      </c>
      <c r="J534" s="22" t="s">
        <v>166</v>
      </c>
      <c r="K534" s="22"/>
      <c r="L534" s="22" t="s">
        <v>2428</v>
      </c>
      <c r="M534" s="26" t="s">
        <v>2429</v>
      </c>
      <c r="N534" s="22"/>
      <c r="O534" s="22" t="s">
        <v>63</v>
      </c>
      <c r="P534" s="25" t="str">
        <f aca="false">IF(OR(O534="",O534="Sin información"),"",IFERROR(INDEX(Listas!$B$2:$B$9,MATCH(O534,Listas!$A$2:$A$9,0)),""))</f>
        <v/>
      </c>
      <c r="Q534" s="25" t="str">
        <f aca="false">IF(OR(O534="",O534="Sin información"),"",IFERROR(INDEX(Listas!$C$2:$C$9,MATCH(O534,Listas!$A$2:$A$9,0)),""))</f>
        <v/>
      </c>
      <c r="R534" s="22"/>
      <c r="S534" s="22"/>
      <c r="T534" s="25" t="str">
        <f aca="false">IF(S534="","",IFERROR(INDEX(Empleadores!$B$2:$B$601,MATCH(S534,Empleadores!$A$2:$A$601,0)),"No encontrado"))</f>
        <v/>
      </c>
      <c r="U534" s="25" t="str">
        <f aca="false">IF(C534="","",IF(V534="","No",IF(Config!$C$4-V534&lt;=Config!$C$15,"Sí","No")))</f>
        <v>No</v>
      </c>
      <c r="V534" s="23"/>
      <c r="W534" s="22"/>
      <c r="X534" s="22"/>
      <c r="Y534" s="22"/>
      <c r="Z534" s="27"/>
      <c r="AA534" s="22"/>
      <c r="AB534" s="22"/>
    </row>
    <row r="535" customFormat="false" ht="15" hidden="false" customHeight="false" outlineLevel="0" collapsed="false">
      <c r="A535" s="22" t="n">
        <v>534</v>
      </c>
      <c r="B535" s="22" t="s">
        <v>2430</v>
      </c>
      <c r="C535" s="22" t="s">
        <v>2431</v>
      </c>
      <c r="D535" s="22" t="s">
        <v>138</v>
      </c>
      <c r="E535" s="22" t="s">
        <v>139</v>
      </c>
      <c r="F535" s="22" t="s">
        <v>105</v>
      </c>
      <c r="G535" s="23" t="n">
        <v>45470</v>
      </c>
      <c r="H535" s="24" t="n">
        <f aca="false">IF(G535="","",ROUND((Config!$C$4-G535)/365.25,2))</f>
        <v>2.26</v>
      </c>
      <c r="I535" s="25" t="str">
        <f aca="false">IF(H535="","",IF(H535&lt;=1,"Tramo 1",IF(H535&lt;=3,"Tramo 2",IF(H535&lt;=5,"Tramo 3","Tramo 4"))))</f>
        <v>Tramo 2</v>
      </c>
      <c r="J535" s="22" t="s">
        <v>140</v>
      </c>
      <c r="K535" s="22"/>
      <c r="L535" s="22" t="s">
        <v>2432</v>
      </c>
      <c r="M535" s="26" t="s">
        <v>2433</v>
      </c>
      <c r="N535" s="22"/>
      <c r="O535" s="22" t="s">
        <v>63</v>
      </c>
      <c r="P535" s="25" t="str">
        <f aca="false">IF(OR(O535="",O535="Sin información"),"",IFERROR(INDEX(Listas!$B$2:$B$9,MATCH(O535,Listas!$A$2:$A$9,0)),""))</f>
        <v/>
      </c>
      <c r="Q535" s="25" t="str">
        <f aca="false">IF(OR(O535="",O535="Sin información"),"",IFERROR(INDEX(Listas!$C$2:$C$9,MATCH(O535,Listas!$A$2:$A$9,0)),""))</f>
        <v/>
      </c>
      <c r="R535" s="22"/>
      <c r="S535" s="22"/>
      <c r="T535" s="25" t="str">
        <f aca="false">IF(S535="","",IFERROR(INDEX(Empleadores!$B$2:$B$601,MATCH(S535,Empleadores!$A$2:$A$601,0)),"No encontrado"))</f>
        <v/>
      </c>
      <c r="U535" s="25" t="str">
        <f aca="false">IF(C535="","",IF(V535="","No",IF(Config!$C$4-V535&lt;=Config!$C$15,"Sí","No")))</f>
        <v>No</v>
      </c>
      <c r="V535" s="23"/>
      <c r="W535" s="22"/>
      <c r="X535" s="22"/>
      <c r="Y535" s="22"/>
      <c r="Z535" s="27"/>
      <c r="AA535" s="22"/>
      <c r="AB535" s="22"/>
    </row>
    <row r="536" customFormat="false" ht="15" hidden="false" customHeight="false" outlineLevel="0" collapsed="false">
      <c r="A536" s="22" t="n">
        <v>535</v>
      </c>
      <c r="B536" s="22" t="s">
        <v>2434</v>
      </c>
      <c r="C536" s="22" t="s">
        <v>2435</v>
      </c>
      <c r="D536" s="22" t="s">
        <v>149</v>
      </c>
      <c r="E536" s="22" t="s">
        <v>139</v>
      </c>
      <c r="F536" s="22" t="s">
        <v>105</v>
      </c>
      <c r="G536" s="23" t="n">
        <v>45470</v>
      </c>
      <c r="H536" s="24" t="n">
        <f aca="false">IF(G536="","",ROUND((Config!$C$4-G536)/365.25,2))</f>
        <v>2.26</v>
      </c>
      <c r="I536" s="25" t="str">
        <f aca="false">IF(H536="","",IF(H536&lt;=1,"Tramo 1",IF(H536&lt;=3,"Tramo 2",IF(H536&lt;=5,"Tramo 3","Tramo 4"))))</f>
        <v>Tramo 2</v>
      </c>
      <c r="J536" s="22" t="s">
        <v>140</v>
      </c>
      <c r="K536" s="22"/>
      <c r="L536" s="22" t="s">
        <v>2436</v>
      </c>
      <c r="M536" s="26" t="s">
        <v>2437</v>
      </c>
      <c r="N536" s="22"/>
      <c r="O536" s="22" t="s">
        <v>63</v>
      </c>
      <c r="P536" s="25" t="str">
        <f aca="false">IF(OR(O536="",O536="Sin información"),"",IFERROR(INDEX(Listas!$B$2:$B$9,MATCH(O536,Listas!$A$2:$A$9,0)),""))</f>
        <v/>
      </c>
      <c r="Q536" s="25" t="str">
        <f aca="false">IF(OR(O536="",O536="Sin información"),"",IFERROR(INDEX(Listas!$C$2:$C$9,MATCH(O536,Listas!$A$2:$A$9,0)),""))</f>
        <v/>
      </c>
      <c r="R536" s="22"/>
      <c r="S536" s="22"/>
      <c r="T536" s="25" t="str">
        <f aca="false">IF(S536="","",IFERROR(INDEX(Empleadores!$B$2:$B$601,MATCH(S536,Empleadores!$A$2:$A$601,0)),"No encontrado"))</f>
        <v/>
      </c>
      <c r="U536" s="25" t="str">
        <f aca="false">IF(C536="","",IF(V536="","No",IF(Config!$C$4-V536&lt;=Config!$C$15,"Sí","No")))</f>
        <v>No</v>
      </c>
      <c r="V536" s="23"/>
      <c r="W536" s="22"/>
      <c r="X536" s="22"/>
      <c r="Y536" s="22"/>
      <c r="Z536" s="27"/>
      <c r="AA536" s="22"/>
      <c r="AB536" s="22"/>
    </row>
    <row r="537" customFormat="false" ht="15" hidden="false" customHeight="false" outlineLevel="0" collapsed="false">
      <c r="A537" s="22" t="n">
        <v>536</v>
      </c>
      <c r="B537" s="22" t="s">
        <v>2438</v>
      </c>
      <c r="C537" s="22" t="s">
        <v>2439</v>
      </c>
      <c r="D537" s="22" t="s">
        <v>138</v>
      </c>
      <c r="E537" s="22" t="s">
        <v>139</v>
      </c>
      <c r="F537" s="22" t="s">
        <v>105</v>
      </c>
      <c r="G537" s="23" t="n">
        <v>45470</v>
      </c>
      <c r="H537" s="24" t="n">
        <f aca="false">IF(G537="","",ROUND((Config!$C$4-G537)/365.25,2))</f>
        <v>2.26</v>
      </c>
      <c r="I537" s="25" t="str">
        <f aca="false">IF(H537="","",IF(H537&lt;=1,"Tramo 1",IF(H537&lt;=3,"Tramo 2",IF(H537&lt;=5,"Tramo 3","Tramo 4"))))</f>
        <v>Tramo 2</v>
      </c>
      <c r="J537" s="22" t="s">
        <v>140</v>
      </c>
      <c r="K537" s="22"/>
      <c r="L537" s="22" t="s">
        <v>2440</v>
      </c>
      <c r="M537" s="26" t="s">
        <v>2441</v>
      </c>
      <c r="N537" s="22"/>
      <c r="O537" s="22" t="s">
        <v>63</v>
      </c>
      <c r="P537" s="25" t="str">
        <f aca="false">IF(OR(O537="",O537="Sin información"),"",IFERROR(INDEX(Listas!$B$2:$B$9,MATCH(O537,Listas!$A$2:$A$9,0)),""))</f>
        <v/>
      </c>
      <c r="Q537" s="25" t="str">
        <f aca="false">IF(OR(O537="",O537="Sin información"),"",IFERROR(INDEX(Listas!$C$2:$C$9,MATCH(O537,Listas!$A$2:$A$9,0)),""))</f>
        <v/>
      </c>
      <c r="R537" s="22"/>
      <c r="S537" s="22"/>
      <c r="T537" s="25" t="str">
        <f aca="false">IF(S537="","",IFERROR(INDEX(Empleadores!$B$2:$B$601,MATCH(S537,Empleadores!$A$2:$A$601,0)),"No encontrado"))</f>
        <v/>
      </c>
      <c r="U537" s="25" t="str">
        <f aca="false">IF(C537="","",IF(V537="","No",IF(Config!$C$4-V537&lt;=Config!$C$15,"Sí","No")))</f>
        <v>No</v>
      </c>
      <c r="V537" s="23"/>
      <c r="W537" s="22"/>
      <c r="X537" s="22"/>
      <c r="Y537" s="22"/>
      <c r="Z537" s="27"/>
      <c r="AA537" s="22"/>
      <c r="AB537" s="22"/>
    </row>
    <row r="538" customFormat="false" ht="15" hidden="false" customHeight="false" outlineLevel="0" collapsed="false">
      <c r="A538" s="22" t="n">
        <v>537</v>
      </c>
      <c r="B538" s="22" t="s">
        <v>2442</v>
      </c>
      <c r="C538" s="22" t="s">
        <v>2443</v>
      </c>
      <c r="D538" s="22" t="s">
        <v>138</v>
      </c>
      <c r="E538" s="22" t="s">
        <v>139</v>
      </c>
      <c r="F538" s="22" t="s">
        <v>105</v>
      </c>
      <c r="G538" s="23" t="n">
        <v>45470</v>
      </c>
      <c r="H538" s="24" t="n">
        <f aca="false">IF(G538="","",ROUND((Config!$C$4-G538)/365.25,2))</f>
        <v>2.26</v>
      </c>
      <c r="I538" s="25" t="str">
        <f aca="false">IF(H538="","",IF(H538&lt;=1,"Tramo 1",IF(H538&lt;=3,"Tramo 2",IF(H538&lt;=5,"Tramo 3","Tramo 4"))))</f>
        <v>Tramo 2</v>
      </c>
      <c r="J538" s="22" t="s">
        <v>140</v>
      </c>
      <c r="K538" s="22"/>
      <c r="L538" s="22" t="s">
        <v>2444</v>
      </c>
      <c r="M538" s="26" t="s">
        <v>2445</v>
      </c>
      <c r="N538" s="22"/>
      <c r="O538" s="22" t="s">
        <v>63</v>
      </c>
      <c r="P538" s="25" t="str">
        <f aca="false">IF(OR(O538="",O538="Sin información"),"",IFERROR(INDEX(Listas!$B$2:$B$9,MATCH(O538,Listas!$A$2:$A$9,0)),""))</f>
        <v/>
      </c>
      <c r="Q538" s="25" t="str">
        <f aca="false">IF(OR(O538="",O538="Sin información"),"",IFERROR(INDEX(Listas!$C$2:$C$9,MATCH(O538,Listas!$A$2:$A$9,0)),""))</f>
        <v/>
      </c>
      <c r="R538" s="22"/>
      <c r="S538" s="22"/>
      <c r="T538" s="25" t="str">
        <f aca="false">IF(S538="","",IFERROR(INDEX(Empleadores!$B$2:$B$601,MATCH(S538,Empleadores!$A$2:$A$601,0)),"No encontrado"))</f>
        <v/>
      </c>
      <c r="U538" s="25" t="str">
        <f aca="false">IF(C538="","",IF(V538="","No",IF(Config!$C$4-V538&lt;=Config!$C$15,"Sí","No")))</f>
        <v>No</v>
      </c>
      <c r="V538" s="23"/>
      <c r="W538" s="22"/>
      <c r="X538" s="22"/>
      <c r="Y538" s="22"/>
      <c r="Z538" s="27"/>
      <c r="AA538" s="22"/>
      <c r="AB538" s="22"/>
    </row>
    <row r="539" customFormat="false" ht="15" hidden="false" customHeight="false" outlineLevel="0" collapsed="false">
      <c r="A539" s="22" t="n">
        <v>538</v>
      </c>
      <c r="B539" s="22" t="s">
        <v>2446</v>
      </c>
      <c r="C539" s="22" t="s">
        <v>2447</v>
      </c>
      <c r="D539" s="22" t="s">
        <v>138</v>
      </c>
      <c r="E539" s="22" t="s">
        <v>139</v>
      </c>
      <c r="F539" s="22" t="s">
        <v>105</v>
      </c>
      <c r="G539" s="23" t="n">
        <v>45470</v>
      </c>
      <c r="H539" s="24" t="n">
        <f aca="false">IF(G539="","",ROUND((Config!$C$4-G539)/365.25,2))</f>
        <v>2.26</v>
      </c>
      <c r="I539" s="25" t="str">
        <f aca="false">IF(H539="","",IF(H539&lt;=1,"Tramo 1",IF(H539&lt;=3,"Tramo 2",IF(H539&lt;=5,"Tramo 3","Tramo 4"))))</f>
        <v>Tramo 2</v>
      </c>
      <c r="J539" s="22" t="s">
        <v>166</v>
      </c>
      <c r="K539" s="22"/>
      <c r="L539" s="22" t="s">
        <v>2448</v>
      </c>
      <c r="M539" s="26" t="s">
        <v>2449</v>
      </c>
      <c r="N539" s="22"/>
      <c r="O539" s="22" t="s">
        <v>63</v>
      </c>
      <c r="P539" s="25" t="str">
        <f aca="false">IF(OR(O539="",O539="Sin información"),"",IFERROR(INDEX(Listas!$B$2:$B$9,MATCH(O539,Listas!$A$2:$A$9,0)),""))</f>
        <v/>
      </c>
      <c r="Q539" s="25" t="str">
        <f aca="false">IF(OR(O539="",O539="Sin información"),"",IFERROR(INDEX(Listas!$C$2:$C$9,MATCH(O539,Listas!$A$2:$A$9,0)),""))</f>
        <v/>
      </c>
      <c r="R539" s="22"/>
      <c r="S539" s="22"/>
      <c r="T539" s="25" t="str">
        <f aca="false">IF(S539="","",IFERROR(INDEX(Empleadores!$B$2:$B$601,MATCH(S539,Empleadores!$A$2:$A$601,0)),"No encontrado"))</f>
        <v/>
      </c>
      <c r="U539" s="25" t="str">
        <f aca="false">IF(C539="","",IF(V539="","No",IF(Config!$C$4-V539&lt;=Config!$C$15,"Sí","No")))</f>
        <v>No</v>
      </c>
      <c r="V539" s="23"/>
      <c r="W539" s="22"/>
      <c r="X539" s="22"/>
      <c r="Y539" s="22"/>
      <c r="Z539" s="27"/>
      <c r="AA539" s="22"/>
      <c r="AB539" s="22"/>
    </row>
    <row r="540" customFormat="false" ht="15" hidden="false" customHeight="false" outlineLevel="0" collapsed="false">
      <c r="A540" s="22" t="n">
        <v>539</v>
      </c>
      <c r="B540" s="22" t="s">
        <v>2450</v>
      </c>
      <c r="C540" s="22" t="s">
        <v>2451</v>
      </c>
      <c r="D540" s="22" t="s">
        <v>138</v>
      </c>
      <c r="E540" s="22" t="s">
        <v>139</v>
      </c>
      <c r="F540" s="22" t="s">
        <v>105</v>
      </c>
      <c r="G540" s="23" t="n">
        <v>45470</v>
      </c>
      <c r="H540" s="24" t="n">
        <f aca="false">IF(G540="","",ROUND((Config!$C$4-G540)/365.25,2))</f>
        <v>2.26</v>
      </c>
      <c r="I540" s="25" t="str">
        <f aca="false">IF(H540="","",IF(H540&lt;=1,"Tramo 1",IF(H540&lt;=3,"Tramo 2",IF(H540&lt;=5,"Tramo 3","Tramo 4"))))</f>
        <v>Tramo 2</v>
      </c>
      <c r="J540" s="22" t="s">
        <v>140</v>
      </c>
      <c r="K540" s="22"/>
      <c r="L540" s="22" t="s">
        <v>2452</v>
      </c>
      <c r="M540" s="26" t="s">
        <v>2453</v>
      </c>
      <c r="N540" s="22"/>
      <c r="O540" s="22" t="s">
        <v>63</v>
      </c>
      <c r="P540" s="25" t="str">
        <f aca="false">IF(OR(O540="",O540="Sin información"),"",IFERROR(INDEX(Listas!$B$2:$B$9,MATCH(O540,Listas!$A$2:$A$9,0)),""))</f>
        <v/>
      </c>
      <c r="Q540" s="25" t="str">
        <f aca="false">IF(OR(O540="",O540="Sin información"),"",IFERROR(INDEX(Listas!$C$2:$C$9,MATCH(O540,Listas!$A$2:$A$9,0)),""))</f>
        <v/>
      </c>
      <c r="R540" s="22"/>
      <c r="S540" s="22"/>
      <c r="T540" s="25" t="str">
        <f aca="false">IF(S540="","",IFERROR(INDEX(Empleadores!$B$2:$B$601,MATCH(S540,Empleadores!$A$2:$A$601,0)),"No encontrado"))</f>
        <v/>
      </c>
      <c r="U540" s="25" t="str">
        <f aca="false">IF(C540="","",IF(V540="","No",IF(Config!$C$4-V540&lt;=Config!$C$15,"Sí","No")))</f>
        <v>No</v>
      </c>
      <c r="V540" s="23"/>
      <c r="W540" s="22"/>
      <c r="X540" s="22"/>
      <c r="Y540" s="22"/>
      <c r="Z540" s="27"/>
      <c r="AA540" s="22"/>
      <c r="AB540" s="22"/>
    </row>
    <row r="541" customFormat="false" ht="15" hidden="false" customHeight="false" outlineLevel="0" collapsed="false">
      <c r="A541" s="22" t="n">
        <v>540</v>
      </c>
      <c r="B541" s="22" t="s">
        <v>2454</v>
      </c>
      <c r="C541" s="22" t="s">
        <v>2455</v>
      </c>
      <c r="D541" s="22" t="s">
        <v>138</v>
      </c>
      <c r="E541" s="22" t="s">
        <v>139</v>
      </c>
      <c r="F541" s="22" t="s">
        <v>105</v>
      </c>
      <c r="G541" s="23" t="n">
        <v>45470</v>
      </c>
      <c r="H541" s="24" t="n">
        <f aca="false">IF(G541="","",ROUND((Config!$C$4-G541)/365.25,2))</f>
        <v>2.26</v>
      </c>
      <c r="I541" s="25" t="str">
        <f aca="false">IF(H541="","",IF(H541&lt;=1,"Tramo 1",IF(H541&lt;=3,"Tramo 2",IF(H541&lt;=5,"Tramo 3","Tramo 4"))))</f>
        <v>Tramo 2</v>
      </c>
      <c r="J541" s="22" t="s">
        <v>140</v>
      </c>
      <c r="K541" s="22"/>
      <c r="L541" s="22" t="s">
        <v>2456</v>
      </c>
      <c r="M541" s="26" t="s">
        <v>2457</v>
      </c>
      <c r="N541" s="22"/>
      <c r="O541" s="22" t="s">
        <v>63</v>
      </c>
      <c r="P541" s="25" t="str">
        <f aca="false">IF(OR(O541="",O541="Sin información"),"",IFERROR(INDEX(Listas!$B$2:$B$9,MATCH(O541,Listas!$A$2:$A$9,0)),""))</f>
        <v/>
      </c>
      <c r="Q541" s="25" t="str">
        <f aca="false">IF(OR(O541="",O541="Sin información"),"",IFERROR(INDEX(Listas!$C$2:$C$9,MATCH(O541,Listas!$A$2:$A$9,0)),""))</f>
        <v/>
      </c>
      <c r="R541" s="22"/>
      <c r="S541" s="22"/>
      <c r="T541" s="25" t="str">
        <f aca="false">IF(S541="","",IFERROR(INDEX(Empleadores!$B$2:$B$601,MATCH(S541,Empleadores!$A$2:$A$601,0)),"No encontrado"))</f>
        <v/>
      </c>
      <c r="U541" s="25" t="str">
        <f aca="false">IF(C541="","",IF(V541="","No",IF(Config!$C$4-V541&lt;=Config!$C$15,"Sí","No")))</f>
        <v>No</v>
      </c>
      <c r="V541" s="23"/>
      <c r="W541" s="22"/>
      <c r="X541" s="22"/>
      <c r="Y541" s="22"/>
      <c r="Z541" s="27"/>
      <c r="AA541" s="22"/>
      <c r="AB541" s="22"/>
    </row>
    <row r="542" customFormat="false" ht="15" hidden="false" customHeight="false" outlineLevel="0" collapsed="false">
      <c r="A542" s="22" t="n">
        <v>541</v>
      </c>
      <c r="B542" s="22" t="s">
        <v>2458</v>
      </c>
      <c r="C542" s="22" t="s">
        <v>2459</v>
      </c>
      <c r="D542" s="22" t="s">
        <v>138</v>
      </c>
      <c r="E542" s="22" t="s">
        <v>139</v>
      </c>
      <c r="F542" s="22" t="s">
        <v>105</v>
      </c>
      <c r="G542" s="23" t="n">
        <v>45470</v>
      </c>
      <c r="H542" s="24" t="n">
        <f aca="false">IF(G542="","",ROUND((Config!$C$4-G542)/365.25,2))</f>
        <v>2.26</v>
      </c>
      <c r="I542" s="25" t="str">
        <f aca="false">IF(H542="","",IF(H542&lt;=1,"Tramo 1",IF(H542&lt;=3,"Tramo 2",IF(H542&lt;=5,"Tramo 3","Tramo 4"))))</f>
        <v>Tramo 2</v>
      </c>
      <c r="J542" s="22" t="s">
        <v>140</v>
      </c>
      <c r="K542" s="22"/>
      <c r="L542" s="22" t="s">
        <v>2460</v>
      </c>
      <c r="M542" s="26" t="s">
        <v>2461</v>
      </c>
      <c r="N542" s="22"/>
      <c r="O542" s="22" t="s">
        <v>63</v>
      </c>
      <c r="P542" s="25" t="str">
        <f aca="false">IF(OR(O542="",O542="Sin información"),"",IFERROR(INDEX(Listas!$B$2:$B$9,MATCH(O542,Listas!$A$2:$A$9,0)),""))</f>
        <v/>
      </c>
      <c r="Q542" s="25" t="str">
        <f aca="false">IF(OR(O542="",O542="Sin información"),"",IFERROR(INDEX(Listas!$C$2:$C$9,MATCH(O542,Listas!$A$2:$A$9,0)),""))</f>
        <v/>
      </c>
      <c r="R542" s="22"/>
      <c r="S542" s="22"/>
      <c r="T542" s="25" t="str">
        <f aca="false">IF(S542="","",IFERROR(INDEX(Empleadores!$B$2:$B$601,MATCH(S542,Empleadores!$A$2:$A$601,0)),"No encontrado"))</f>
        <v/>
      </c>
      <c r="U542" s="25" t="str">
        <f aca="false">IF(C542="","",IF(V542="","No",IF(Config!$C$4-V542&lt;=Config!$C$15,"Sí","No")))</f>
        <v>No</v>
      </c>
      <c r="V542" s="23"/>
      <c r="W542" s="22"/>
      <c r="X542" s="22"/>
      <c r="Y542" s="22"/>
      <c r="Z542" s="27"/>
      <c r="AA542" s="22"/>
      <c r="AB542" s="22"/>
    </row>
    <row r="543" customFormat="false" ht="15" hidden="false" customHeight="false" outlineLevel="0" collapsed="false">
      <c r="A543" s="22" t="n">
        <v>542</v>
      </c>
      <c r="B543" s="22" t="s">
        <v>2462</v>
      </c>
      <c r="C543" s="22" t="s">
        <v>2463</v>
      </c>
      <c r="D543" s="22" t="s">
        <v>138</v>
      </c>
      <c r="E543" s="22" t="s">
        <v>139</v>
      </c>
      <c r="F543" s="22" t="s">
        <v>105</v>
      </c>
      <c r="G543" s="23" t="n">
        <v>45470</v>
      </c>
      <c r="H543" s="24" t="n">
        <f aca="false">IF(G543="","",ROUND((Config!$C$4-G543)/365.25,2))</f>
        <v>2.26</v>
      </c>
      <c r="I543" s="25" t="str">
        <f aca="false">IF(H543="","",IF(H543&lt;=1,"Tramo 1",IF(H543&lt;=3,"Tramo 2",IF(H543&lt;=5,"Tramo 3","Tramo 4"))))</f>
        <v>Tramo 2</v>
      </c>
      <c r="J543" s="22" t="s">
        <v>140</v>
      </c>
      <c r="K543" s="22"/>
      <c r="L543" s="22" t="s">
        <v>2464</v>
      </c>
      <c r="M543" s="26" t="s">
        <v>2465</v>
      </c>
      <c r="N543" s="22"/>
      <c r="O543" s="22" t="s">
        <v>63</v>
      </c>
      <c r="P543" s="25" t="str">
        <f aca="false">IF(OR(O543="",O543="Sin información"),"",IFERROR(INDEX(Listas!$B$2:$B$9,MATCH(O543,Listas!$A$2:$A$9,0)),""))</f>
        <v/>
      </c>
      <c r="Q543" s="25" t="str">
        <f aca="false">IF(OR(O543="",O543="Sin información"),"",IFERROR(INDEX(Listas!$C$2:$C$9,MATCH(O543,Listas!$A$2:$A$9,0)),""))</f>
        <v/>
      </c>
      <c r="R543" s="22"/>
      <c r="S543" s="22"/>
      <c r="T543" s="25" t="str">
        <f aca="false">IF(S543="","",IFERROR(INDEX(Empleadores!$B$2:$B$601,MATCH(S543,Empleadores!$A$2:$A$601,0)),"No encontrado"))</f>
        <v/>
      </c>
      <c r="U543" s="25" t="str">
        <f aca="false">IF(C543="","",IF(V543="","No",IF(Config!$C$4-V543&lt;=Config!$C$15,"Sí","No")))</f>
        <v>No</v>
      </c>
      <c r="V543" s="23"/>
      <c r="W543" s="22"/>
      <c r="X543" s="22"/>
      <c r="Y543" s="22"/>
      <c r="Z543" s="27"/>
      <c r="AA543" s="22"/>
      <c r="AB543" s="22"/>
    </row>
    <row r="544" customFormat="false" ht="15" hidden="false" customHeight="false" outlineLevel="0" collapsed="false">
      <c r="A544" s="22" t="n">
        <v>543</v>
      </c>
      <c r="B544" s="22" t="s">
        <v>2466</v>
      </c>
      <c r="C544" s="22" t="s">
        <v>2467</v>
      </c>
      <c r="D544" s="22" t="s">
        <v>149</v>
      </c>
      <c r="E544" s="22" t="s">
        <v>139</v>
      </c>
      <c r="F544" s="22" t="s">
        <v>105</v>
      </c>
      <c r="G544" s="23" t="n">
        <v>45470</v>
      </c>
      <c r="H544" s="24" t="n">
        <f aca="false">IF(G544="","",ROUND((Config!$C$4-G544)/365.25,2))</f>
        <v>2.26</v>
      </c>
      <c r="I544" s="25" t="str">
        <f aca="false">IF(H544="","",IF(H544&lt;=1,"Tramo 1",IF(H544&lt;=3,"Tramo 2",IF(H544&lt;=5,"Tramo 3","Tramo 4"))))</f>
        <v>Tramo 2</v>
      </c>
      <c r="J544" s="22" t="s">
        <v>166</v>
      </c>
      <c r="K544" s="22"/>
      <c r="L544" s="22" t="s">
        <v>2468</v>
      </c>
      <c r="M544" s="26" t="s">
        <v>2469</v>
      </c>
      <c r="N544" s="22"/>
      <c r="O544" s="22" t="s">
        <v>63</v>
      </c>
      <c r="P544" s="25" t="str">
        <f aca="false">IF(OR(O544="",O544="Sin información"),"",IFERROR(INDEX(Listas!$B$2:$B$9,MATCH(O544,Listas!$A$2:$A$9,0)),""))</f>
        <v/>
      </c>
      <c r="Q544" s="25" t="str">
        <f aca="false">IF(OR(O544="",O544="Sin información"),"",IFERROR(INDEX(Listas!$C$2:$C$9,MATCH(O544,Listas!$A$2:$A$9,0)),""))</f>
        <v/>
      </c>
      <c r="R544" s="22"/>
      <c r="S544" s="22"/>
      <c r="T544" s="25" t="str">
        <f aca="false">IF(S544="","",IFERROR(INDEX(Empleadores!$B$2:$B$601,MATCH(S544,Empleadores!$A$2:$A$601,0)),"No encontrado"))</f>
        <v/>
      </c>
      <c r="U544" s="25" t="str">
        <f aca="false">IF(C544="","",IF(V544="","No",IF(Config!$C$4-V544&lt;=Config!$C$15,"Sí","No")))</f>
        <v>No</v>
      </c>
      <c r="V544" s="23"/>
      <c r="W544" s="22"/>
      <c r="X544" s="22"/>
      <c r="Y544" s="22"/>
      <c r="Z544" s="27"/>
      <c r="AA544" s="22"/>
      <c r="AB544" s="22"/>
    </row>
    <row r="545" customFormat="false" ht="15" hidden="false" customHeight="false" outlineLevel="0" collapsed="false">
      <c r="A545" s="22" t="n">
        <v>544</v>
      </c>
      <c r="B545" s="22" t="s">
        <v>2470</v>
      </c>
      <c r="C545" s="22" t="s">
        <v>2471</v>
      </c>
      <c r="D545" s="22" t="s">
        <v>138</v>
      </c>
      <c r="E545" s="22" t="s">
        <v>139</v>
      </c>
      <c r="F545" s="22" t="s">
        <v>105</v>
      </c>
      <c r="G545" s="23" t="n">
        <v>45470</v>
      </c>
      <c r="H545" s="24" t="n">
        <f aca="false">IF(G545="","",ROUND((Config!$C$4-G545)/365.25,2))</f>
        <v>2.26</v>
      </c>
      <c r="I545" s="25" t="str">
        <f aca="false">IF(H545="","",IF(H545&lt;=1,"Tramo 1",IF(H545&lt;=3,"Tramo 2",IF(H545&lt;=5,"Tramo 3","Tramo 4"))))</f>
        <v>Tramo 2</v>
      </c>
      <c r="J545" s="22" t="s">
        <v>140</v>
      </c>
      <c r="K545" s="22"/>
      <c r="L545" s="22" t="s">
        <v>2472</v>
      </c>
      <c r="M545" s="26" t="s">
        <v>2473</v>
      </c>
      <c r="N545" s="22"/>
      <c r="O545" s="22" t="s">
        <v>63</v>
      </c>
      <c r="P545" s="25" t="str">
        <f aca="false">IF(OR(O545="",O545="Sin información"),"",IFERROR(INDEX(Listas!$B$2:$B$9,MATCH(O545,Listas!$A$2:$A$9,0)),""))</f>
        <v/>
      </c>
      <c r="Q545" s="25" t="str">
        <f aca="false">IF(OR(O545="",O545="Sin información"),"",IFERROR(INDEX(Listas!$C$2:$C$9,MATCH(O545,Listas!$A$2:$A$9,0)),""))</f>
        <v/>
      </c>
      <c r="R545" s="22"/>
      <c r="S545" s="22"/>
      <c r="T545" s="25" t="str">
        <f aca="false">IF(S545="","",IFERROR(INDEX(Empleadores!$B$2:$B$601,MATCH(S545,Empleadores!$A$2:$A$601,0)),"No encontrado"))</f>
        <v/>
      </c>
      <c r="U545" s="25" t="str">
        <f aca="false">IF(C545="","",IF(V545="","No",IF(Config!$C$4-V545&lt;=Config!$C$15,"Sí","No")))</f>
        <v>No</v>
      </c>
      <c r="V545" s="23"/>
      <c r="W545" s="22"/>
      <c r="X545" s="22"/>
      <c r="Y545" s="22"/>
      <c r="Z545" s="27"/>
      <c r="AA545" s="22"/>
      <c r="AB545" s="22"/>
    </row>
    <row r="546" customFormat="false" ht="15" hidden="false" customHeight="false" outlineLevel="0" collapsed="false">
      <c r="A546" s="22" t="n">
        <v>545</v>
      </c>
      <c r="B546" s="22" t="s">
        <v>2474</v>
      </c>
      <c r="C546" s="22" t="s">
        <v>2475</v>
      </c>
      <c r="D546" s="22" t="s">
        <v>138</v>
      </c>
      <c r="E546" s="22" t="s">
        <v>139</v>
      </c>
      <c r="F546" s="22" t="s">
        <v>105</v>
      </c>
      <c r="G546" s="23" t="n">
        <v>45470</v>
      </c>
      <c r="H546" s="24" t="n">
        <f aca="false">IF(G546="","",ROUND((Config!$C$4-G546)/365.25,2))</f>
        <v>2.26</v>
      </c>
      <c r="I546" s="25" t="str">
        <f aca="false">IF(H546="","",IF(H546&lt;=1,"Tramo 1",IF(H546&lt;=3,"Tramo 2",IF(H546&lt;=5,"Tramo 3","Tramo 4"))))</f>
        <v>Tramo 2</v>
      </c>
      <c r="J546" s="22" t="s">
        <v>140</v>
      </c>
      <c r="K546" s="22"/>
      <c r="L546" s="22" t="s">
        <v>2476</v>
      </c>
      <c r="M546" s="26" t="s">
        <v>2477</v>
      </c>
      <c r="N546" s="22"/>
      <c r="O546" s="22" t="s">
        <v>63</v>
      </c>
      <c r="P546" s="25" t="str">
        <f aca="false">IF(OR(O546="",O546="Sin información"),"",IFERROR(INDEX(Listas!$B$2:$B$9,MATCH(O546,Listas!$A$2:$A$9,0)),""))</f>
        <v/>
      </c>
      <c r="Q546" s="25" t="str">
        <f aca="false">IF(OR(O546="",O546="Sin información"),"",IFERROR(INDEX(Listas!$C$2:$C$9,MATCH(O546,Listas!$A$2:$A$9,0)),""))</f>
        <v/>
      </c>
      <c r="R546" s="22"/>
      <c r="S546" s="22"/>
      <c r="T546" s="25" t="str">
        <f aca="false">IF(S546="","",IFERROR(INDEX(Empleadores!$B$2:$B$601,MATCH(S546,Empleadores!$A$2:$A$601,0)),"No encontrado"))</f>
        <v/>
      </c>
      <c r="U546" s="25" t="str">
        <f aca="false">IF(C546="","",IF(V546="","No",IF(Config!$C$4-V546&lt;=Config!$C$15,"Sí","No")))</f>
        <v>No</v>
      </c>
      <c r="V546" s="23"/>
      <c r="W546" s="22"/>
      <c r="X546" s="22"/>
      <c r="Y546" s="22"/>
      <c r="Z546" s="27"/>
      <c r="AA546" s="22"/>
      <c r="AB546" s="22"/>
    </row>
    <row r="547" customFormat="false" ht="15" hidden="false" customHeight="false" outlineLevel="0" collapsed="false">
      <c r="A547" s="22" t="n">
        <v>546</v>
      </c>
      <c r="B547" s="22" t="s">
        <v>2478</v>
      </c>
      <c r="C547" s="22" t="s">
        <v>2479</v>
      </c>
      <c r="D547" s="22" t="s">
        <v>138</v>
      </c>
      <c r="E547" s="22" t="s">
        <v>139</v>
      </c>
      <c r="F547" s="22" t="s">
        <v>105</v>
      </c>
      <c r="G547" s="23" t="n">
        <v>45470</v>
      </c>
      <c r="H547" s="24" t="n">
        <f aca="false">IF(G547="","",ROUND((Config!$C$4-G547)/365.25,2))</f>
        <v>2.26</v>
      </c>
      <c r="I547" s="25" t="str">
        <f aca="false">IF(H547="","",IF(H547&lt;=1,"Tramo 1",IF(H547&lt;=3,"Tramo 2",IF(H547&lt;=5,"Tramo 3","Tramo 4"))))</f>
        <v>Tramo 2</v>
      </c>
      <c r="J547" s="22" t="s">
        <v>140</v>
      </c>
      <c r="K547" s="22"/>
      <c r="L547" s="22" t="s">
        <v>2480</v>
      </c>
      <c r="M547" s="26" t="s">
        <v>2481</v>
      </c>
      <c r="N547" s="22" t="s">
        <v>2482</v>
      </c>
      <c r="O547" s="22" t="s">
        <v>81</v>
      </c>
      <c r="P547" s="25" t="str">
        <f aca="false">IF(OR(O547="",O547="Sin información"),"",IFERROR(INDEX(Listas!$B$2:$B$9,MATCH(O547,Listas!$A$2:$A$9,0)),""))</f>
        <v>Sí</v>
      </c>
      <c r="Q547" s="25" t="str">
        <f aca="false">IF(OR(O547="",O547="Sin información"),"",IFERROR(INDEX(Listas!$C$2:$C$9,MATCH(O547,Listas!$A$2:$A$9,0)),""))</f>
        <v>Sí</v>
      </c>
      <c r="R547" s="22" t="s">
        <v>2483</v>
      </c>
      <c r="S547" s="22" t="s">
        <v>2484</v>
      </c>
      <c r="T547" s="25" t="str">
        <f aca="false">IF(S547="","",IFERROR(INDEX(Empleadores!$B$2:$B$601,MATCH(S547,Empleadores!$A$2:$A$601,0)),"No encontrado"))</f>
        <v>P.S. Pichirhua</v>
      </c>
      <c r="U547" s="25" t="str">
        <f aca="false">IF(C547="","",IF(V547="","No",IF(Config!$C$4-V547&lt;=Config!$C$15,"Sí","No")))</f>
        <v>Sí</v>
      </c>
      <c r="V547" s="23" t="n">
        <v>45951</v>
      </c>
      <c r="W547" s="22"/>
      <c r="X547" s="22"/>
      <c r="Y547" s="22"/>
      <c r="Z547" s="27"/>
      <c r="AA547" s="22" t="s">
        <v>2485</v>
      </c>
      <c r="AB547" s="22" t="s">
        <v>2265</v>
      </c>
    </row>
    <row r="548" customFormat="false" ht="15" hidden="false" customHeight="false" outlineLevel="0" collapsed="false">
      <c r="A548" s="22" t="n">
        <v>547</v>
      </c>
      <c r="B548" s="22" t="s">
        <v>2486</v>
      </c>
      <c r="C548" s="22" t="s">
        <v>2487</v>
      </c>
      <c r="D548" s="22" t="s">
        <v>138</v>
      </c>
      <c r="E548" s="22" t="s">
        <v>139</v>
      </c>
      <c r="F548" s="22" t="s">
        <v>105</v>
      </c>
      <c r="G548" s="23" t="n">
        <v>45470</v>
      </c>
      <c r="H548" s="24" t="n">
        <f aca="false">IF(G548="","",ROUND((Config!$C$4-G548)/365.25,2))</f>
        <v>2.26</v>
      </c>
      <c r="I548" s="25" t="str">
        <f aca="false">IF(H548="","",IF(H548&lt;=1,"Tramo 1",IF(H548&lt;=3,"Tramo 2",IF(H548&lt;=5,"Tramo 3","Tramo 4"))))</f>
        <v>Tramo 2</v>
      </c>
      <c r="J548" s="22" t="s">
        <v>140</v>
      </c>
      <c r="K548" s="22"/>
      <c r="L548" s="22" t="s">
        <v>2488</v>
      </c>
      <c r="M548" s="26" t="s">
        <v>2489</v>
      </c>
      <c r="N548" s="22"/>
      <c r="O548" s="22" t="s">
        <v>63</v>
      </c>
      <c r="P548" s="25" t="str">
        <f aca="false">IF(OR(O548="",O548="Sin información"),"",IFERROR(INDEX(Listas!$B$2:$B$9,MATCH(O548,Listas!$A$2:$A$9,0)),""))</f>
        <v/>
      </c>
      <c r="Q548" s="25" t="str">
        <f aca="false">IF(OR(O548="",O548="Sin información"),"",IFERROR(INDEX(Listas!$C$2:$C$9,MATCH(O548,Listas!$A$2:$A$9,0)),""))</f>
        <v/>
      </c>
      <c r="R548" s="22"/>
      <c r="S548" s="22"/>
      <c r="T548" s="25" t="str">
        <f aca="false">IF(S548="","",IFERROR(INDEX(Empleadores!$B$2:$B$601,MATCH(S548,Empleadores!$A$2:$A$601,0)),"No encontrado"))</f>
        <v/>
      </c>
      <c r="U548" s="25" t="str">
        <f aca="false">IF(C548="","",IF(V548="","No",IF(Config!$C$4-V548&lt;=Config!$C$15,"Sí","No")))</f>
        <v>No</v>
      </c>
      <c r="V548" s="23"/>
      <c r="W548" s="22"/>
      <c r="X548" s="22"/>
      <c r="Y548" s="22"/>
      <c r="Z548" s="27"/>
      <c r="AA548" s="22"/>
      <c r="AB548" s="22"/>
    </row>
    <row r="549" customFormat="false" ht="15" hidden="false" customHeight="false" outlineLevel="0" collapsed="false">
      <c r="A549" s="22" t="n">
        <v>548</v>
      </c>
      <c r="B549" s="22" t="s">
        <v>2490</v>
      </c>
      <c r="C549" s="22" t="s">
        <v>2491</v>
      </c>
      <c r="D549" s="22" t="s">
        <v>149</v>
      </c>
      <c r="E549" s="22" t="s">
        <v>139</v>
      </c>
      <c r="F549" s="22" t="s">
        <v>105</v>
      </c>
      <c r="G549" s="23" t="n">
        <v>45470</v>
      </c>
      <c r="H549" s="24" t="n">
        <f aca="false">IF(G549="","",ROUND((Config!$C$4-G549)/365.25,2))</f>
        <v>2.26</v>
      </c>
      <c r="I549" s="25" t="str">
        <f aca="false">IF(H549="","",IF(H549&lt;=1,"Tramo 1",IF(H549&lt;=3,"Tramo 2",IF(H549&lt;=5,"Tramo 3","Tramo 4"))))</f>
        <v>Tramo 2</v>
      </c>
      <c r="J549" s="22" t="s">
        <v>140</v>
      </c>
      <c r="K549" s="22"/>
      <c r="L549" s="22" t="s">
        <v>2492</v>
      </c>
      <c r="M549" s="26" t="s">
        <v>2493</v>
      </c>
      <c r="N549" s="22" t="s">
        <v>2494</v>
      </c>
      <c r="O549" s="22" t="s">
        <v>85</v>
      </c>
      <c r="P549" s="25" t="str">
        <f aca="false">IF(OR(O549="",O549="Sin información"),"",IFERROR(INDEX(Listas!$B$2:$B$9,MATCH(O549,Listas!$A$2:$A$9,0)),""))</f>
        <v>Sí</v>
      </c>
      <c r="Q549" s="25" t="str">
        <f aca="false">IF(OR(O549="",O549="Sin información"),"",IFERROR(INDEX(Listas!$C$2:$C$9,MATCH(O549,Listas!$A$2:$A$9,0)),""))</f>
        <v>Sí</v>
      </c>
      <c r="R549" s="22" t="s">
        <v>917</v>
      </c>
      <c r="S549" s="22" t="s">
        <v>2495</v>
      </c>
      <c r="T549" s="25" t="str">
        <f aca="false">IF(S549="","",IFERROR(INDEX(Empleadores!$B$2:$B$601,MATCH(S549,Empleadores!$A$2:$A$601,0)),"No encontrado"))</f>
        <v>O2 Medical Network</v>
      </c>
      <c r="U549" s="25" t="str">
        <f aca="false">IF(C549="","",IF(V549="","No",IF(Config!$C$4-V549&lt;=Config!$C$15,"Sí","No")))</f>
        <v>Sí</v>
      </c>
      <c r="V549" s="23" t="n">
        <v>45946</v>
      </c>
      <c r="W549" s="22"/>
      <c r="X549" s="22"/>
      <c r="Y549" s="22"/>
      <c r="Z549" s="27"/>
      <c r="AA549" s="22" t="s">
        <v>2496</v>
      </c>
      <c r="AB549" s="22" t="s">
        <v>2252</v>
      </c>
    </row>
    <row r="550" customFormat="false" ht="15" hidden="false" customHeight="false" outlineLevel="0" collapsed="false">
      <c r="A550" s="22" t="n">
        <v>549</v>
      </c>
      <c r="B550" s="22" t="s">
        <v>2497</v>
      </c>
      <c r="C550" s="22" t="s">
        <v>2498</v>
      </c>
      <c r="D550" s="22" t="s">
        <v>138</v>
      </c>
      <c r="E550" s="22" t="s">
        <v>139</v>
      </c>
      <c r="F550" s="22" t="s">
        <v>105</v>
      </c>
      <c r="G550" s="23" t="n">
        <v>45470</v>
      </c>
      <c r="H550" s="24" t="n">
        <f aca="false">IF(G550="","",ROUND((Config!$C$4-G550)/365.25,2))</f>
        <v>2.26</v>
      </c>
      <c r="I550" s="25" t="str">
        <f aca="false">IF(H550="","",IF(H550&lt;=1,"Tramo 1",IF(H550&lt;=3,"Tramo 2",IF(H550&lt;=5,"Tramo 3","Tramo 4"))))</f>
        <v>Tramo 2</v>
      </c>
      <c r="J550" s="22" t="s">
        <v>140</v>
      </c>
      <c r="K550" s="22"/>
      <c r="L550" s="22" t="s">
        <v>2499</v>
      </c>
      <c r="M550" s="26" t="s">
        <v>2500</v>
      </c>
      <c r="N550" s="22"/>
      <c r="O550" s="22" t="s">
        <v>63</v>
      </c>
      <c r="P550" s="25" t="str">
        <f aca="false">IF(OR(O550="",O550="Sin información"),"",IFERROR(INDEX(Listas!$B$2:$B$9,MATCH(O550,Listas!$A$2:$A$9,0)),""))</f>
        <v/>
      </c>
      <c r="Q550" s="25" t="str">
        <f aca="false">IF(OR(O550="",O550="Sin información"),"",IFERROR(INDEX(Listas!$C$2:$C$9,MATCH(O550,Listas!$A$2:$A$9,0)),""))</f>
        <v/>
      </c>
      <c r="R550" s="22"/>
      <c r="S550" s="22"/>
      <c r="T550" s="25" t="str">
        <f aca="false">IF(S550="","",IFERROR(INDEX(Empleadores!$B$2:$B$601,MATCH(S550,Empleadores!$A$2:$A$601,0)),"No encontrado"))</f>
        <v/>
      </c>
      <c r="U550" s="25" t="str">
        <f aca="false">IF(C550="","",IF(V550="","No",IF(Config!$C$4-V550&lt;=Config!$C$15,"Sí","No")))</f>
        <v>No</v>
      </c>
      <c r="V550" s="23"/>
      <c r="W550" s="22"/>
      <c r="X550" s="22"/>
      <c r="Y550" s="22"/>
      <c r="Z550" s="27"/>
      <c r="AA550" s="22"/>
      <c r="AB550" s="22"/>
    </row>
    <row r="551" customFormat="false" ht="15" hidden="false" customHeight="false" outlineLevel="0" collapsed="false">
      <c r="A551" s="22" t="n">
        <v>550</v>
      </c>
      <c r="B551" s="22" t="s">
        <v>2501</v>
      </c>
      <c r="C551" s="22" t="s">
        <v>2502</v>
      </c>
      <c r="D551" s="22" t="s">
        <v>149</v>
      </c>
      <c r="E551" s="22" t="s">
        <v>139</v>
      </c>
      <c r="F551" s="22" t="s">
        <v>105</v>
      </c>
      <c r="G551" s="23" t="n">
        <v>45470</v>
      </c>
      <c r="H551" s="24" t="n">
        <f aca="false">IF(G551="","",ROUND((Config!$C$4-G551)/365.25,2))</f>
        <v>2.26</v>
      </c>
      <c r="I551" s="25" t="str">
        <f aca="false">IF(H551="","",IF(H551&lt;=1,"Tramo 1",IF(H551&lt;=3,"Tramo 2",IF(H551&lt;=5,"Tramo 3","Tramo 4"))))</f>
        <v>Tramo 2</v>
      </c>
      <c r="J551" s="22" t="s">
        <v>166</v>
      </c>
      <c r="K551" s="22"/>
      <c r="L551" s="22" t="s">
        <v>2503</v>
      </c>
      <c r="M551" s="26" t="s">
        <v>2504</v>
      </c>
      <c r="N551" s="22"/>
      <c r="O551" s="22" t="s">
        <v>63</v>
      </c>
      <c r="P551" s="25" t="str">
        <f aca="false">IF(OR(O551="",O551="Sin información"),"",IFERROR(INDEX(Listas!$B$2:$B$9,MATCH(O551,Listas!$A$2:$A$9,0)),""))</f>
        <v/>
      </c>
      <c r="Q551" s="25" t="str">
        <f aca="false">IF(OR(O551="",O551="Sin información"),"",IFERROR(INDEX(Listas!$C$2:$C$9,MATCH(O551,Listas!$A$2:$A$9,0)),""))</f>
        <v/>
      </c>
      <c r="R551" s="22"/>
      <c r="S551" s="22"/>
      <c r="T551" s="25" t="str">
        <f aca="false">IF(S551="","",IFERROR(INDEX(Empleadores!$B$2:$B$601,MATCH(S551,Empleadores!$A$2:$A$601,0)),"No encontrado"))</f>
        <v/>
      </c>
      <c r="U551" s="25" t="str">
        <f aca="false">IF(C551="","",IF(V551="","No",IF(Config!$C$4-V551&lt;=Config!$C$15,"Sí","No")))</f>
        <v>No</v>
      </c>
      <c r="V551" s="23"/>
      <c r="W551" s="22"/>
      <c r="X551" s="22"/>
      <c r="Y551" s="22"/>
      <c r="Z551" s="27"/>
      <c r="AA551" s="22"/>
      <c r="AB551" s="22"/>
    </row>
    <row r="552" customFormat="false" ht="15" hidden="false" customHeight="false" outlineLevel="0" collapsed="false">
      <c r="A552" s="22" t="n">
        <v>551</v>
      </c>
      <c r="B552" s="22" t="s">
        <v>2505</v>
      </c>
      <c r="C552" s="22" t="s">
        <v>2506</v>
      </c>
      <c r="D552" s="22" t="s">
        <v>138</v>
      </c>
      <c r="E552" s="22" t="s">
        <v>139</v>
      </c>
      <c r="F552" s="22" t="s">
        <v>105</v>
      </c>
      <c r="G552" s="23" t="n">
        <v>45470</v>
      </c>
      <c r="H552" s="24" t="n">
        <f aca="false">IF(G552="","",ROUND((Config!$C$4-G552)/365.25,2))</f>
        <v>2.26</v>
      </c>
      <c r="I552" s="25" t="str">
        <f aca="false">IF(H552="","",IF(H552&lt;=1,"Tramo 1",IF(H552&lt;=3,"Tramo 2",IF(H552&lt;=5,"Tramo 3","Tramo 4"))))</f>
        <v>Tramo 2</v>
      </c>
      <c r="J552" s="22" t="s">
        <v>140</v>
      </c>
      <c r="K552" s="22"/>
      <c r="L552" s="22" t="s">
        <v>2507</v>
      </c>
      <c r="M552" s="26" t="s">
        <v>2508</v>
      </c>
      <c r="N552" s="22"/>
      <c r="O552" s="22" t="s">
        <v>63</v>
      </c>
      <c r="P552" s="25" t="str">
        <f aca="false">IF(OR(O552="",O552="Sin información"),"",IFERROR(INDEX(Listas!$B$2:$B$9,MATCH(O552,Listas!$A$2:$A$9,0)),""))</f>
        <v/>
      </c>
      <c r="Q552" s="25" t="str">
        <f aca="false">IF(OR(O552="",O552="Sin información"),"",IFERROR(INDEX(Listas!$C$2:$C$9,MATCH(O552,Listas!$A$2:$A$9,0)),""))</f>
        <v/>
      </c>
      <c r="R552" s="22"/>
      <c r="S552" s="22"/>
      <c r="T552" s="25" t="str">
        <f aca="false">IF(S552="","",IFERROR(INDEX(Empleadores!$B$2:$B$601,MATCH(S552,Empleadores!$A$2:$A$601,0)),"No encontrado"))</f>
        <v/>
      </c>
      <c r="U552" s="25" t="str">
        <f aca="false">IF(C552="","",IF(V552="","No",IF(Config!$C$4-V552&lt;=Config!$C$15,"Sí","No")))</f>
        <v>No</v>
      </c>
      <c r="V552" s="23"/>
      <c r="W552" s="22"/>
      <c r="X552" s="22"/>
      <c r="Y552" s="22"/>
      <c r="Z552" s="27"/>
      <c r="AA552" s="22"/>
      <c r="AB552" s="22"/>
    </row>
    <row r="553" customFormat="false" ht="15" hidden="false" customHeight="false" outlineLevel="0" collapsed="false">
      <c r="A553" s="22" t="n">
        <v>552</v>
      </c>
      <c r="B553" s="22" t="s">
        <v>2509</v>
      </c>
      <c r="C553" s="22" t="s">
        <v>2510</v>
      </c>
      <c r="D553" s="22" t="s">
        <v>149</v>
      </c>
      <c r="E553" s="22" t="s">
        <v>139</v>
      </c>
      <c r="F553" s="22" t="s">
        <v>105</v>
      </c>
      <c r="G553" s="23" t="n">
        <v>45470</v>
      </c>
      <c r="H553" s="24" t="n">
        <f aca="false">IF(G553="","",ROUND((Config!$C$4-G553)/365.25,2))</f>
        <v>2.26</v>
      </c>
      <c r="I553" s="25" t="str">
        <f aca="false">IF(H553="","",IF(H553&lt;=1,"Tramo 1",IF(H553&lt;=3,"Tramo 2",IF(H553&lt;=5,"Tramo 3","Tramo 4"))))</f>
        <v>Tramo 2</v>
      </c>
      <c r="J553" s="22" t="s">
        <v>140</v>
      </c>
      <c r="K553" s="22"/>
      <c r="L553" s="22" t="s">
        <v>2511</v>
      </c>
      <c r="M553" s="26" t="s">
        <v>2512</v>
      </c>
      <c r="N553" s="22"/>
      <c r="O553" s="22" t="s">
        <v>63</v>
      </c>
      <c r="P553" s="25" t="str">
        <f aca="false">IF(OR(O553="",O553="Sin información"),"",IFERROR(INDEX(Listas!$B$2:$B$9,MATCH(O553,Listas!$A$2:$A$9,0)),""))</f>
        <v/>
      </c>
      <c r="Q553" s="25" t="str">
        <f aca="false">IF(OR(O553="",O553="Sin información"),"",IFERROR(INDEX(Listas!$C$2:$C$9,MATCH(O553,Listas!$A$2:$A$9,0)),""))</f>
        <v/>
      </c>
      <c r="R553" s="22"/>
      <c r="S553" s="22"/>
      <c r="T553" s="25" t="str">
        <f aca="false">IF(S553="","",IFERROR(INDEX(Empleadores!$B$2:$B$601,MATCH(S553,Empleadores!$A$2:$A$601,0)),"No encontrado"))</f>
        <v/>
      </c>
      <c r="U553" s="25" t="str">
        <f aca="false">IF(C553="","",IF(V553="","No",IF(Config!$C$4-V553&lt;=Config!$C$15,"Sí","No")))</f>
        <v>No</v>
      </c>
      <c r="V553" s="23"/>
      <c r="W553" s="22"/>
      <c r="X553" s="22"/>
      <c r="Y553" s="22"/>
      <c r="Z553" s="27"/>
      <c r="AA553" s="22"/>
      <c r="AB553" s="22"/>
    </row>
    <row r="554" customFormat="false" ht="15" hidden="false" customHeight="false" outlineLevel="0" collapsed="false">
      <c r="A554" s="22" t="n">
        <v>553</v>
      </c>
      <c r="B554" s="22" t="s">
        <v>2513</v>
      </c>
      <c r="C554" s="22" t="s">
        <v>2514</v>
      </c>
      <c r="D554" s="22" t="s">
        <v>138</v>
      </c>
      <c r="E554" s="22" t="s">
        <v>139</v>
      </c>
      <c r="F554" s="22" t="s">
        <v>105</v>
      </c>
      <c r="G554" s="23" t="n">
        <v>45470</v>
      </c>
      <c r="H554" s="24" t="n">
        <f aca="false">IF(G554="","",ROUND((Config!$C$4-G554)/365.25,2))</f>
        <v>2.26</v>
      </c>
      <c r="I554" s="25" t="str">
        <f aca="false">IF(H554="","",IF(H554&lt;=1,"Tramo 1",IF(H554&lt;=3,"Tramo 2",IF(H554&lt;=5,"Tramo 3","Tramo 4"))))</f>
        <v>Tramo 2</v>
      </c>
      <c r="J554" s="22" t="s">
        <v>166</v>
      </c>
      <c r="K554" s="22"/>
      <c r="L554" s="22" t="s">
        <v>2515</v>
      </c>
      <c r="M554" s="26" t="s">
        <v>2516</v>
      </c>
      <c r="N554" s="22"/>
      <c r="O554" s="22" t="s">
        <v>90</v>
      </c>
      <c r="P554" s="25" t="str">
        <f aca="false">IF(OR(O554="",O554="Sin información"),"",IFERROR(INDEX(Listas!$B$2:$B$9,MATCH(O554,Listas!$A$2:$A$9,0)),""))</f>
        <v>No</v>
      </c>
      <c r="Q554" s="25" t="str">
        <f aca="false">IF(OR(O554="",O554="Sin información"),"",IFERROR(INDEX(Listas!$C$2:$C$9,MATCH(O554,Listas!$A$2:$A$9,0)),""))</f>
        <v>No</v>
      </c>
      <c r="R554" s="22"/>
      <c r="S554" s="22"/>
      <c r="T554" s="25" t="str">
        <f aca="false">IF(S554="","",IFERROR(INDEX(Empleadores!$B$2:$B$601,MATCH(S554,Empleadores!$A$2:$A$601,0)),"No encontrado"))</f>
        <v/>
      </c>
      <c r="U554" s="25" t="str">
        <f aca="false">IF(C554="","",IF(V554="","No",IF(Config!$C$4-V554&lt;=Config!$C$15,"Sí","No")))</f>
        <v>Sí</v>
      </c>
      <c r="V554" s="23" t="n">
        <v>45951</v>
      </c>
      <c r="W554" s="22"/>
      <c r="X554" s="22"/>
      <c r="Y554" s="22"/>
      <c r="Z554" s="27" t="s">
        <v>2517</v>
      </c>
      <c r="AA554" s="22" t="s">
        <v>2518</v>
      </c>
      <c r="AB554" s="22" t="s">
        <v>2265</v>
      </c>
    </row>
    <row r="555" customFormat="false" ht="15" hidden="false" customHeight="false" outlineLevel="0" collapsed="false">
      <c r="A555" s="22" t="n">
        <v>554</v>
      </c>
      <c r="B555" s="22" t="s">
        <v>2519</v>
      </c>
      <c r="C555" s="22" t="s">
        <v>2520</v>
      </c>
      <c r="D555" s="22" t="s">
        <v>149</v>
      </c>
      <c r="E555" s="22" t="s">
        <v>139</v>
      </c>
      <c r="F555" s="22" t="s">
        <v>105</v>
      </c>
      <c r="G555" s="23" t="n">
        <v>45470</v>
      </c>
      <c r="H555" s="24" t="n">
        <f aca="false">IF(G555="","",ROUND((Config!$C$4-G555)/365.25,2))</f>
        <v>2.26</v>
      </c>
      <c r="I555" s="25" t="str">
        <f aca="false">IF(H555="","",IF(H555&lt;=1,"Tramo 1",IF(H555&lt;=3,"Tramo 2",IF(H555&lt;=5,"Tramo 3","Tramo 4"))))</f>
        <v>Tramo 2</v>
      </c>
      <c r="J555" s="22" t="s">
        <v>140</v>
      </c>
      <c r="K555" s="22"/>
      <c r="L555" s="22" t="s">
        <v>2521</v>
      </c>
      <c r="M555" s="26" t="s">
        <v>2522</v>
      </c>
      <c r="N555" s="22"/>
      <c r="O555" s="22" t="s">
        <v>63</v>
      </c>
      <c r="P555" s="25" t="str">
        <f aca="false">IF(OR(O555="",O555="Sin información"),"",IFERROR(INDEX(Listas!$B$2:$B$9,MATCH(O555,Listas!$A$2:$A$9,0)),""))</f>
        <v/>
      </c>
      <c r="Q555" s="25" t="str">
        <f aca="false">IF(OR(O555="",O555="Sin información"),"",IFERROR(INDEX(Listas!$C$2:$C$9,MATCH(O555,Listas!$A$2:$A$9,0)),""))</f>
        <v/>
      </c>
      <c r="R555" s="22"/>
      <c r="S555" s="22"/>
      <c r="T555" s="25" t="str">
        <f aca="false">IF(S555="","",IFERROR(INDEX(Empleadores!$B$2:$B$601,MATCH(S555,Empleadores!$A$2:$A$601,0)),"No encontrado"))</f>
        <v/>
      </c>
      <c r="U555" s="25" t="str">
        <f aca="false">IF(C555="","",IF(V555="","No",IF(Config!$C$4-V555&lt;=Config!$C$15,"Sí","No")))</f>
        <v>No</v>
      </c>
      <c r="V555" s="23"/>
      <c r="W555" s="22"/>
      <c r="X555" s="22"/>
      <c r="Y555" s="22"/>
      <c r="Z555" s="27"/>
      <c r="AA555" s="22"/>
      <c r="AB555" s="22"/>
    </row>
    <row r="556" customFormat="false" ht="15" hidden="false" customHeight="false" outlineLevel="0" collapsed="false">
      <c r="A556" s="22" t="n">
        <v>555</v>
      </c>
      <c r="B556" s="22" t="s">
        <v>2523</v>
      </c>
      <c r="C556" s="22" t="s">
        <v>2524</v>
      </c>
      <c r="D556" s="22" t="s">
        <v>138</v>
      </c>
      <c r="E556" s="22" t="s">
        <v>139</v>
      </c>
      <c r="F556" s="22" t="s">
        <v>105</v>
      </c>
      <c r="G556" s="23" t="n">
        <v>45470</v>
      </c>
      <c r="H556" s="24" t="n">
        <f aca="false">IF(G556="","",ROUND((Config!$C$4-G556)/365.25,2))</f>
        <v>2.26</v>
      </c>
      <c r="I556" s="25" t="str">
        <f aca="false">IF(H556="","",IF(H556&lt;=1,"Tramo 1",IF(H556&lt;=3,"Tramo 2",IF(H556&lt;=5,"Tramo 3","Tramo 4"))))</f>
        <v>Tramo 2</v>
      </c>
      <c r="J556" s="22" t="s">
        <v>140</v>
      </c>
      <c r="K556" s="22"/>
      <c r="L556" s="22" t="s">
        <v>2525</v>
      </c>
      <c r="M556" s="26" t="s">
        <v>2526</v>
      </c>
      <c r="N556" s="22"/>
      <c r="O556" s="22" t="s">
        <v>63</v>
      </c>
      <c r="P556" s="25" t="str">
        <f aca="false">IF(OR(O556="",O556="Sin información"),"",IFERROR(INDEX(Listas!$B$2:$B$9,MATCH(O556,Listas!$A$2:$A$9,0)),""))</f>
        <v/>
      </c>
      <c r="Q556" s="25" t="str">
        <f aca="false">IF(OR(O556="",O556="Sin información"),"",IFERROR(INDEX(Listas!$C$2:$C$9,MATCH(O556,Listas!$A$2:$A$9,0)),""))</f>
        <v/>
      </c>
      <c r="R556" s="22"/>
      <c r="S556" s="22"/>
      <c r="T556" s="25" t="str">
        <f aca="false">IF(S556="","",IFERROR(INDEX(Empleadores!$B$2:$B$601,MATCH(S556,Empleadores!$A$2:$A$601,0)),"No encontrado"))</f>
        <v/>
      </c>
      <c r="U556" s="25" t="str">
        <f aca="false">IF(C556="","",IF(V556="","No",IF(Config!$C$4-V556&lt;=Config!$C$15,"Sí","No")))</f>
        <v>No</v>
      </c>
      <c r="V556" s="23"/>
      <c r="W556" s="22"/>
      <c r="X556" s="22"/>
      <c r="Y556" s="22"/>
      <c r="Z556" s="27"/>
      <c r="AA556" s="22"/>
      <c r="AB556" s="22"/>
    </row>
    <row r="557" customFormat="false" ht="15" hidden="false" customHeight="false" outlineLevel="0" collapsed="false">
      <c r="A557" s="22" t="n">
        <v>556</v>
      </c>
      <c r="B557" s="22" t="s">
        <v>2527</v>
      </c>
      <c r="C557" s="22" t="s">
        <v>2528</v>
      </c>
      <c r="D557" s="22" t="s">
        <v>138</v>
      </c>
      <c r="E557" s="22" t="s">
        <v>139</v>
      </c>
      <c r="F557" s="22" t="s">
        <v>105</v>
      </c>
      <c r="G557" s="23" t="n">
        <v>45470</v>
      </c>
      <c r="H557" s="24" t="n">
        <f aca="false">IF(G557="","",ROUND((Config!$C$4-G557)/365.25,2))</f>
        <v>2.26</v>
      </c>
      <c r="I557" s="25" t="str">
        <f aca="false">IF(H557="","",IF(H557&lt;=1,"Tramo 1",IF(H557&lt;=3,"Tramo 2",IF(H557&lt;=5,"Tramo 3","Tramo 4"))))</f>
        <v>Tramo 2</v>
      </c>
      <c r="J557" s="22" t="s">
        <v>140</v>
      </c>
      <c r="K557" s="22"/>
      <c r="L557" s="22" t="s">
        <v>2529</v>
      </c>
      <c r="M557" s="26" t="s">
        <v>2530</v>
      </c>
      <c r="N557" s="22"/>
      <c r="O557" s="22" t="s">
        <v>63</v>
      </c>
      <c r="P557" s="25" t="str">
        <f aca="false">IF(OR(O557="",O557="Sin información"),"",IFERROR(INDEX(Listas!$B$2:$B$9,MATCH(O557,Listas!$A$2:$A$9,0)),""))</f>
        <v/>
      </c>
      <c r="Q557" s="25" t="str">
        <f aca="false">IF(OR(O557="",O557="Sin información"),"",IFERROR(INDEX(Listas!$C$2:$C$9,MATCH(O557,Listas!$A$2:$A$9,0)),""))</f>
        <v/>
      </c>
      <c r="R557" s="22"/>
      <c r="S557" s="22"/>
      <c r="T557" s="25" t="str">
        <f aca="false">IF(S557="","",IFERROR(INDEX(Empleadores!$B$2:$B$601,MATCH(S557,Empleadores!$A$2:$A$601,0)),"No encontrado"))</f>
        <v/>
      </c>
      <c r="U557" s="25" t="str">
        <f aca="false">IF(C557="","",IF(V557="","No",IF(Config!$C$4-V557&lt;=Config!$C$15,"Sí","No")))</f>
        <v>No</v>
      </c>
      <c r="V557" s="23"/>
      <c r="W557" s="22"/>
      <c r="X557" s="22"/>
      <c r="Y557" s="22"/>
      <c r="Z557" s="27"/>
      <c r="AA557" s="22"/>
      <c r="AB557" s="22"/>
    </row>
    <row r="558" customFormat="false" ht="15" hidden="false" customHeight="false" outlineLevel="0" collapsed="false">
      <c r="A558" s="22" t="n">
        <v>557</v>
      </c>
      <c r="B558" s="22" t="s">
        <v>2531</v>
      </c>
      <c r="C558" s="22" t="s">
        <v>2532</v>
      </c>
      <c r="D558" s="22" t="s">
        <v>149</v>
      </c>
      <c r="E558" s="22" t="s">
        <v>139</v>
      </c>
      <c r="F558" s="22" t="s">
        <v>105</v>
      </c>
      <c r="G558" s="23" t="n">
        <v>45470</v>
      </c>
      <c r="H558" s="24" t="n">
        <f aca="false">IF(G558="","",ROUND((Config!$C$4-G558)/365.25,2))</f>
        <v>2.26</v>
      </c>
      <c r="I558" s="25" t="str">
        <f aca="false">IF(H558="","",IF(H558&lt;=1,"Tramo 1",IF(H558&lt;=3,"Tramo 2",IF(H558&lt;=5,"Tramo 3","Tramo 4"))))</f>
        <v>Tramo 2</v>
      </c>
      <c r="J558" s="22" t="s">
        <v>140</v>
      </c>
      <c r="K558" s="22"/>
      <c r="L558" s="22" t="s">
        <v>2533</v>
      </c>
      <c r="M558" s="26" t="s">
        <v>2534</v>
      </c>
      <c r="N558" s="22"/>
      <c r="O558" s="22" t="s">
        <v>63</v>
      </c>
      <c r="P558" s="25" t="str">
        <f aca="false">IF(OR(O558="",O558="Sin información"),"",IFERROR(INDEX(Listas!$B$2:$B$9,MATCH(O558,Listas!$A$2:$A$9,0)),""))</f>
        <v/>
      </c>
      <c r="Q558" s="25" t="str">
        <f aca="false">IF(OR(O558="",O558="Sin información"),"",IFERROR(INDEX(Listas!$C$2:$C$9,MATCH(O558,Listas!$A$2:$A$9,0)),""))</f>
        <v/>
      </c>
      <c r="R558" s="22"/>
      <c r="S558" s="22"/>
      <c r="T558" s="25" t="str">
        <f aca="false">IF(S558="","",IFERROR(INDEX(Empleadores!$B$2:$B$601,MATCH(S558,Empleadores!$A$2:$A$601,0)),"No encontrado"))</f>
        <v/>
      </c>
      <c r="U558" s="25" t="str">
        <f aca="false">IF(C558="","",IF(V558="","No",IF(Config!$C$4-V558&lt;=Config!$C$15,"Sí","No")))</f>
        <v>No</v>
      </c>
      <c r="V558" s="23"/>
      <c r="W558" s="22"/>
      <c r="X558" s="22"/>
      <c r="Y558" s="22"/>
      <c r="Z558" s="27"/>
      <c r="AA558" s="22"/>
      <c r="AB558" s="22"/>
    </row>
    <row r="559" customFormat="false" ht="15" hidden="false" customHeight="false" outlineLevel="0" collapsed="false">
      <c r="A559" s="22" t="n">
        <v>558</v>
      </c>
      <c r="B559" s="22" t="s">
        <v>2535</v>
      </c>
      <c r="C559" s="22" t="s">
        <v>2536</v>
      </c>
      <c r="D559" s="22" t="s">
        <v>149</v>
      </c>
      <c r="E559" s="22" t="s">
        <v>139</v>
      </c>
      <c r="F559" s="22" t="s">
        <v>105</v>
      </c>
      <c r="G559" s="23" t="n">
        <v>45470</v>
      </c>
      <c r="H559" s="24" t="n">
        <f aca="false">IF(G559="","",ROUND((Config!$C$4-G559)/365.25,2))</f>
        <v>2.26</v>
      </c>
      <c r="I559" s="25" t="str">
        <f aca="false">IF(H559="","",IF(H559&lt;=1,"Tramo 1",IF(H559&lt;=3,"Tramo 2",IF(H559&lt;=5,"Tramo 3","Tramo 4"))))</f>
        <v>Tramo 2</v>
      </c>
      <c r="J559" s="22" t="s">
        <v>140</v>
      </c>
      <c r="K559" s="22"/>
      <c r="L559" s="22" t="s">
        <v>2537</v>
      </c>
      <c r="M559" s="26" t="s">
        <v>2538</v>
      </c>
      <c r="N559" s="22"/>
      <c r="O559" s="22" t="s">
        <v>63</v>
      </c>
      <c r="P559" s="25" t="str">
        <f aca="false">IF(OR(O559="",O559="Sin información"),"",IFERROR(INDEX(Listas!$B$2:$B$9,MATCH(O559,Listas!$A$2:$A$9,0)),""))</f>
        <v/>
      </c>
      <c r="Q559" s="25" t="str">
        <f aca="false">IF(OR(O559="",O559="Sin información"),"",IFERROR(INDEX(Listas!$C$2:$C$9,MATCH(O559,Listas!$A$2:$A$9,0)),""))</f>
        <v/>
      </c>
      <c r="R559" s="22"/>
      <c r="S559" s="22"/>
      <c r="T559" s="25" t="str">
        <f aca="false">IF(S559="","",IFERROR(INDEX(Empleadores!$B$2:$B$601,MATCH(S559,Empleadores!$A$2:$A$601,0)),"No encontrado"))</f>
        <v/>
      </c>
      <c r="U559" s="25" t="str">
        <f aca="false">IF(C559="","",IF(V559="","No",IF(Config!$C$4-V559&lt;=Config!$C$15,"Sí","No")))</f>
        <v>No</v>
      </c>
      <c r="V559" s="23"/>
      <c r="W559" s="22"/>
      <c r="X559" s="22"/>
      <c r="Y559" s="22"/>
      <c r="Z559" s="27"/>
      <c r="AA559" s="22"/>
      <c r="AB559" s="22"/>
    </row>
    <row r="560" customFormat="false" ht="15" hidden="false" customHeight="false" outlineLevel="0" collapsed="false">
      <c r="A560" s="22" t="n">
        <v>559</v>
      </c>
      <c r="B560" s="22" t="s">
        <v>2539</v>
      </c>
      <c r="C560" s="22" t="s">
        <v>2540</v>
      </c>
      <c r="D560" s="22" t="s">
        <v>149</v>
      </c>
      <c r="E560" s="22" t="s">
        <v>139</v>
      </c>
      <c r="F560" s="22" t="s">
        <v>105</v>
      </c>
      <c r="G560" s="23" t="n">
        <v>45470</v>
      </c>
      <c r="H560" s="24" t="n">
        <f aca="false">IF(G560="","",ROUND((Config!$C$4-G560)/365.25,2))</f>
        <v>2.26</v>
      </c>
      <c r="I560" s="25" t="str">
        <f aca="false">IF(H560="","",IF(H560&lt;=1,"Tramo 1",IF(H560&lt;=3,"Tramo 2",IF(H560&lt;=5,"Tramo 3","Tramo 4"))))</f>
        <v>Tramo 2</v>
      </c>
      <c r="J560" s="22" t="s">
        <v>140</v>
      </c>
      <c r="K560" s="22"/>
      <c r="L560" s="22" t="s">
        <v>2541</v>
      </c>
      <c r="M560" s="26" t="s">
        <v>2542</v>
      </c>
      <c r="N560" s="22"/>
      <c r="O560" s="22" t="s">
        <v>63</v>
      </c>
      <c r="P560" s="25" t="str">
        <f aca="false">IF(OR(O560="",O560="Sin información"),"",IFERROR(INDEX(Listas!$B$2:$B$9,MATCH(O560,Listas!$A$2:$A$9,0)),""))</f>
        <v/>
      </c>
      <c r="Q560" s="25" t="str">
        <f aca="false">IF(OR(O560="",O560="Sin información"),"",IFERROR(INDEX(Listas!$C$2:$C$9,MATCH(O560,Listas!$A$2:$A$9,0)),""))</f>
        <v/>
      </c>
      <c r="R560" s="22"/>
      <c r="S560" s="22"/>
      <c r="T560" s="25" t="str">
        <f aca="false">IF(S560="","",IFERROR(INDEX(Empleadores!$B$2:$B$601,MATCH(S560,Empleadores!$A$2:$A$601,0)),"No encontrado"))</f>
        <v/>
      </c>
      <c r="U560" s="25" t="str">
        <f aca="false">IF(C560="","",IF(V560="","No",IF(Config!$C$4-V560&lt;=Config!$C$15,"Sí","No")))</f>
        <v>No</v>
      </c>
      <c r="V560" s="23"/>
      <c r="W560" s="22"/>
      <c r="X560" s="22"/>
      <c r="Y560" s="22"/>
      <c r="Z560" s="27"/>
      <c r="AA560" s="22"/>
      <c r="AB560" s="22"/>
    </row>
    <row r="561" customFormat="false" ht="15" hidden="false" customHeight="false" outlineLevel="0" collapsed="false">
      <c r="A561" s="22" t="n">
        <v>560</v>
      </c>
      <c r="B561" s="22" t="s">
        <v>2543</v>
      </c>
      <c r="C561" s="22" t="s">
        <v>2544</v>
      </c>
      <c r="D561" s="22" t="s">
        <v>138</v>
      </c>
      <c r="E561" s="22" t="s">
        <v>139</v>
      </c>
      <c r="F561" s="22" t="s">
        <v>105</v>
      </c>
      <c r="G561" s="23" t="n">
        <v>45470</v>
      </c>
      <c r="H561" s="24" t="n">
        <f aca="false">IF(G561="","",ROUND((Config!$C$4-G561)/365.25,2))</f>
        <v>2.26</v>
      </c>
      <c r="I561" s="25" t="str">
        <f aca="false">IF(H561="","",IF(H561&lt;=1,"Tramo 1",IF(H561&lt;=3,"Tramo 2",IF(H561&lt;=5,"Tramo 3","Tramo 4"))))</f>
        <v>Tramo 2</v>
      </c>
      <c r="J561" s="22" t="s">
        <v>140</v>
      </c>
      <c r="K561" s="22"/>
      <c r="L561" s="22" t="s">
        <v>2545</v>
      </c>
      <c r="M561" s="26" t="s">
        <v>2546</v>
      </c>
      <c r="N561" s="22"/>
      <c r="O561" s="22" t="s">
        <v>63</v>
      </c>
      <c r="P561" s="25" t="str">
        <f aca="false">IF(OR(O561="",O561="Sin información"),"",IFERROR(INDEX(Listas!$B$2:$B$9,MATCH(O561,Listas!$A$2:$A$9,0)),""))</f>
        <v/>
      </c>
      <c r="Q561" s="25" t="str">
        <f aca="false">IF(OR(O561="",O561="Sin información"),"",IFERROR(INDEX(Listas!$C$2:$C$9,MATCH(O561,Listas!$A$2:$A$9,0)),""))</f>
        <v/>
      </c>
      <c r="R561" s="22"/>
      <c r="S561" s="22"/>
      <c r="T561" s="25" t="str">
        <f aca="false">IF(S561="","",IFERROR(INDEX(Empleadores!$B$2:$B$601,MATCH(S561,Empleadores!$A$2:$A$601,0)),"No encontrado"))</f>
        <v/>
      </c>
      <c r="U561" s="25" t="str">
        <f aca="false">IF(C561="","",IF(V561="","No",IF(Config!$C$4-V561&lt;=Config!$C$15,"Sí","No")))</f>
        <v>No</v>
      </c>
      <c r="V561" s="23"/>
      <c r="W561" s="22"/>
      <c r="X561" s="22"/>
      <c r="Y561" s="22"/>
      <c r="Z561" s="27"/>
      <c r="AA561" s="22"/>
      <c r="AB561" s="22"/>
    </row>
    <row r="562" customFormat="false" ht="15" hidden="false" customHeight="false" outlineLevel="0" collapsed="false">
      <c r="A562" s="22" t="n">
        <v>561</v>
      </c>
      <c r="B562" s="22" t="s">
        <v>2547</v>
      </c>
      <c r="C562" s="22" t="s">
        <v>2548</v>
      </c>
      <c r="D562" s="22" t="s">
        <v>138</v>
      </c>
      <c r="E562" s="22" t="s">
        <v>139</v>
      </c>
      <c r="F562" s="22" t="s">
        <v>105</v>
      </c>
      <c r="G562" s="23" t="n">
        <v>45470</v>
      </c>
      <c r="H562" s="24" t="n">
        <f aca="false">IF(G562="","",ROUND((Config!$C$4-G562)/365.25,2))</f>
        <v>2.26</v>
      </c>
      <c r="I562" s="25" t="str">
        <f aca="false">IF(H562="","",IF(H562&lt;=1,"Tramo 1",IF(H562&lt;=3,"Tramo 2",IF(H562&lt;=5,"Tramo 3","Tramo 4"))))</f>
        <v>Tramo 2</v>
      </c>
      <c r="J562" s="22" t="s">
        <v>140</v>
      </c>
      <c r="K562" s="22"/>
      <c r="L562" s="22" t="s">
        <v>2549</v>
      </c>
      <c r="M562" s="26" t="s">
        <v>2550</v>
      </c>
      <c r="N562" s="22"/>
      <c r="O562" s="22" t="s">
        <v>63</v>
      </c>
      <c r="P562" s="25" t="str">
        <f aca="false">IF(OR(O562="",O562="Sin información"),"",IFERROR(INDEX(Listas!$B$2:$B$9,MATCH(O562,Listas!$A$2:$A$9,0)),""))</f>
        <v/>
      </c>
      <c r="Q562" s="25" t="str">
        <f aca="false">IF(OR(O562="",O562="Sin información"),"",IFERROR(INDEX(Listas!$C$2:$C$9,MATCH(O562,Listas!$A$2:$A$9,0)),""))</f>
        <v/>
      </c>
      <c r="R562" s="22"/>
      <c r="S562" s="22"/>
      <c r="T562" s="25" t="str">
        <f aca="false">IF(S562="","",IFERROR(INDEX(Empleadores!$B$2:$B$601,MATCH(S562,Empleadores!$A$2:$A$601,0)),"No encontrado"))</f>
        <v/>
      </c>
      <c r="U562" s="25" t="str">
        <f aca="false">IF(C562="","",IF(V562="","No",IF(Config!$C$4-V562&lt;=Config!$C$15,"Sí","No")))</f>
        <v>No</v>
      </c>
      <c r="V562" s="23"/>
      <c r="W562" s="22"/>
      <c r="X562" s="22"/>
      <c r="Y562" s="22"/>
      <c r="Z562" s="27"/>
      <c r="AA562" s="22"/>
      <c r="AB562" s="22"/>
    </row>
    <row r="563" customFormat="false" ht="15" hidden="false" customHeight="false" outlineLevel="0" collapsed="false">
      <c r="A563" s="22" t="n">
        <v>562</v>
      </c>
      <c r="B563" s="22" t="s">
        <v>2551</v>
      </c>
      <c r="C563" s="22" t="s">
        <v>2552</v>
      </c>
      <c r="D563" s="22" t="s">
        <v>149</v>
      </c>
      <c r="E563" s="22" t="s">
        <v>139</v>
      </c>
      <c r="F563" s="22" t="s">
        <v>105</v>
      </c>
      <c r="G563" s="23" t="n">
        <v>45470</v>
      </c>
      <c r="H563" s="24" t="n">
        <f aca="false">IF(G563="","",ROUND((Config!$C$4-G563)/365.25,2))</f>
        <v>2.26</v>
      </c>
      <c r="I563" s="25" t="str">
        <f aca="false">IF(H563="","",IF(H563&lt;=1,"Tramo 1",IF(H563&lt;=3,"Tramo 2",IF(H563&lt;=5,"Tramo 3","Tramo 4"))))</f>
        <v>Tramo 2</v>
      </c>
      <c r="J563" s="22" t="s">
        <v>140</v>
      </c>
      <c r="K563" s="22"/>
      <c r="L563" s="22" t="s">
        <v>2553</v>
      </c>
      <c r="M563" s="26" t="s">
        <v>2554</v>
      </c>
      <c r="N563" s="22"/>
      <c r="O563" s="22" t="s">
        <v>85</v>
      </c>
      <c r="P563" s="25" t="str">
        <f aca="false">IF(OR(O563="",O563="Sin información"),"",IFERROR(INDEX(Listas!$B$2:$B$9,MATCH(O563,Listas!$A$2:$A$9,0)),""))</f>
        <v>Sí</v>
      </c>
      <c r="Q563" s="25" t="str">
        <f aca="false">IF(OR(O563="",O563="Sin información"),"",IFERROR(INDEX(Listas!$C$2:$C$9,MATCH(O563,Listas!$A$2:$A$9,0)),""))</f>
        <v>Sí</v>
      </c>
      <c r="R563" s="22"/>
      <c r="S563" s="22" t="s">
        <v>2555</v>
      </c>
      <c r="T563" s="25" t="str">
        <f aca="false">IF(S563="","",IFERROR(INDEX(Empleadores!$B$2:$B$601,MATCH(S563,Empleadores!$A$2:$A$601,0)),"No encontrado"))</f>
        <v>MacSalud</v>
      </c>
      <c r="U563" s="25" t="str">
        <f aca="false">IF(C563="","",IF(V563="","No",IF(Config!$C$4-V563&lt;=Config!$C$15,"Sí","No")))</f>
        <v>Sí</v>
      </c>
      <c r="V563" s="23" t="n">
        <v>45967</v>
      </c>
      <c r="W563" s="22"/>
      <c r="X563" s="22"/>
      <c r="Y563" s="22" t="s">
        <v>181</v>
      </c>
      <c r="Z563" s="27"/>
      <c r="AA563" s="22"/>
      <c r="AB563" s="22" t="s">
        <v>183</v>
      </c>
    </row>
    <row r="564" customFormat="false" ht="15" hidden="false" customHeight="false" outlineLevel="0" collapsed="false">
      <c r="A564" s="22" t="n">
        <v>563</v>
      </c>
      <c r="B564" s="22" t="s">
        <v>2556</v>
      </c>
      <c r="C564" s="22" t="s">
        <v>2557</v>
      </c>
      <c r="D564" s="22" t="s">
        <v>138</v>
      </c>
      <c r="E564" s="22" t="s">
        <v>139</v>
      </c>
      <c r="F564" s="22" t="s">
        <v>106</v>
      </c>
      <c r="G564" s="23" t="n">
        <v>45657</v>
      </c>
      <c r="H564" s="24" t="n">
        <f aca="false">IF(G564="","",ROUND((Config!$C$4-G564)/365.25,2))</f>
        <v>1.75</v>
      </c>
      <c r="I564" s="25" t="str">
        <f aca="false">IF(H564="","",IF(H564&lt;=1,"Tramo 1",IF(H564&lt;=3,"Tramo 2",IF(H564&lt;=5,"Tramo 3","Tramo 4"))))</f>
        <v>Tramo 2</v>
      </c>
      <c r="J564" s="22" t="s">
        <v>166</v>
      </c>
      <c r="K564" s="22"/>
      <c r="L564" s="22" t="s">
        <v>2558</v>
      </c>
      <c r="M564" s="26" t="s">
        <v>2559</v>
      </c>
      <c r="N564" s="22"/>
      <c r="O564" s="22" t="s">
        <v>63</v>
      </c>
      <c r="P564" s="25" t="str">
        <f aca="false">IF(OR(O564="",O564="Sin información"),"",IFERROR(INDEX(Listas!$B$2:$B$9,MATCH(O564,Listas!$A$2:$A$9,0)),""))</f>
        <v/>
      </c>
      <c r="Q564" s="25" t="str">
        <f aca="false">IF(OR(O564="",O564="Sin información"),"",IFERROR(INDEX(Listas!$C$2:$C$9,MATCH(O564,Listas!$A$2:$A$9,0)),""))</f>
        <v/>
      </c>
      <c r="R564" s="22"/>
      <c r="S564" s="22"/>
      <c r="T564" s="25" t="str">
        <f aca="false">IF(S564="","",IFERROR(INDEX(Empleadores!$B$2:$B$601,MATCH(S564,Empleadores!$A$2:$A$601,0)),"No encontrado"))</f>
        <v/>
      </c>
      <c r="U564" s="25" t="str">
        <f aca="false">IF(C564="","",IF(V564="","No",IF(Config!$C$4-V564&lt;=Config!$C$15,"Sí","No")))</f>
        <v>No</v>
      </c>
      <c r="V564" s="23"/>
      <c r="W564" s="22"/>
      <c r="X564" s="22"/>
      <c r="Y564" s="22"/>
      <c r="Z564" s="27"/>
      <c r="AA564" s="22"/>
      <c r="AB564" s="22"/>
    </row>
    <row r="565" customFormat="false" ht="15" hidden="false" customHeight="false" outlineLevel="0" collapsed="false">
      <c r="A565" s="22" t="n">
        <v>564</v>
      </c>
      <c r="B565" s="22" t="s">
        <v>2560</v>
      </c>
      <c r="C565" s="22" t="s">
        <v>2561</v>
      </c>
      <c r="D565" s="22" t="s">
        <v>149</v>
      </c>
      <c r="E565" s="22" t="s">
        <v>139</v>
      </c>
      <c r="F565" s="22" t="s">
        <v>106</v>
      </c>
      <c r="G565" s="23" t="n">
        <v>45657</v>
      </c>
      <c r="H565" s="24" t="n">
        <f aca="false">IF(G565="","",ROUND((Config!$C$4-G565)/365.25,2))</f>
        <v>1.75</v>
      </c>
      <c r="I565" s="25" t="str">
        <f aca="false">IF(H565="","",IF(H565&lt;=1,"Tramo 1",IF(H565&lt;=3,"Tramo 2",IF(H565&lt;=5,"Tramo 3","Tramo 4"))))</f>
        <v>Tramo 2</v>
      </c>
      <c r="J565" s="22" t="s">
        <v>166</v>
      </c>
      <c r="K565" s="22"/>
      <c r="L565" s="22" t="s">
        <v>2562</v>
      </c>
      <c r="M565" s="26" t="s">
        <v>2563</v>
      </c>
      <c r="N565" s="22"/>
      <c r="O565" s="22" t="s">
        <v>63</v>
      </c>
      <c r="P565" s="25" t="str">
        <f aca="false">IF(OR(O565="",O565="Sin información"),"",IFERROR(INDEX(Listas!$B$2:$B$9,MATCH(O565,Listas!$A$2:$A$9,0)),""))</f>
        <v/>
      </c>
      <c r="Q565" s="25" t="str">
        <f aca="false">IF(OR(O565="",O565="Sin información"),"",IFERROR(INDEX(Listas!$C$2:$C$9,MATCH(O565,Listas!$A$2:$A$9,0)),""))</f>
        <v/>
      </c>
      <c r="R565" s="22"/>
      <c r="S565" s="22"/>
      <c r="T565" s="25" t="str">
        <f aca="false">IF(S565="","",IFERROR(INDEX(Empleadores!$B$2:$B$601,MATCH(S565,Empleadores!$A$2:$A$601,0)),"No encontrado"))</f>
        <v/>
      </c>
      <c r="U565" s="25" t="str">
        <f aca="false">IF(C565="","",IF(V565="","No",IF(Config!$C$4-V565&lt;=Config!$C$15,"Sí","No")))</f>
        <v>No</v>
      </c>
      <c r="V565" s="23"/>
      <c r="W565" s="22"/>
      <c r="X565" s="22"/>
      <c r="Y565" s="22"/>
      <c r="Z565" s="27"/>
      <c r="AA565" s="22" t="s">
        <v>2564</v>
      </c>
      <c r="AB565" s="22" t="s">
        <v>1691</v>
      </c>
    </row>
    <row r="566" customFormat="false" ht="15" hidden="false" customHeight="false" outlineLevel="0" collapsed="false">
      <c r="A566" s="22" t="n">
        <v>565</v>
      </c>
      <c r="B566" s="22" t="s">
        <v>2565</v>
      </c>
      <c r="C566" s="22" t="s">
        <v>2566</v>
      </c>
      <c r="D566" s="22" t="s">
        <v>138</v>
      </c>
      <c r="E566" s="22" t="s">
        <v>139</v>
      </c>
      <c r="F566" s="22" t="s">
        <v>106</v>
      </c>
      <c r="G566" s="23" t="n">
        <v>45657</v>
      </c>
      <c r="H566" s="24" t="n">
        <f aca="false">IF(G566="","",ROUND((Config!$C$4-G566)/365.25,2))</f>
        <v>1.75</v>
      </c>
      <c r="I566" s="25" t="str">
        <f aca="false">IF(H566="","",IF(H566&lt;=1,"Tramo 1",IF(H566&lt;=3,"Tramo 2",IF(H566&lt;=5,"Tramo 3","Tramo 4"))))</f>
        <v>Tramo 2</v>
      </c>
      <c r="J566" s="22" t="s">
        <v>166</v>
      </c>
      <c r="K566" s="22"/>
      <c r="L566" s="22" t="s">
        <v>2567</v>
      </c>
      <c r="M566" s="26" t="s">
        <v>2568</v>
      </c>
      <c r="N566" s="22"/>
      <c r="O566" s="22" t="s">
        <v>63</v>
      </c>
      <c r="P566" s="25" t="str">
        <f aca="false">IF(OR(O566="",O566="Sin información"),"",IFERROR(INDEX(Listas!$B$2:$B$9,MATCH(O566,Listas!$A$2:$A$9,0)),""))</f>
        <v/>
      </c>
      <c r="Q566" s="25" t="str">
        <f aca="false">IF(OR(O566="",O566="Sin información"),"",IFERROR(INDEX(Listas!$C$2:$C$9,MATCH(O566,Listas!$A$2:$A$9,0)),""))</f>
        <v/>
      </c>
      <c r="R566" s="22"/>
      <c r="S566" s="22"/>
      <c r="T566" s="25" t="str">
        <f aca="false">IF(S566="","",IFERROR(INDEX(Empleadores!$B$2:$B$601,MATCH(S566,Empleadores!$A$2:$A$601,0)),"No encontrado"))</f>
        <v/>
      </c>
      <c r="U566" s="25" t="str">
        <f aca="false">IF(C566="","",IF(V566="","No",IF(Config!$C$4-V566&lt;=Config!$C$15,"Sí","No")))</f>
        <v>No</v>
      </c>
      <c r="V566" s="23"/>
      <c r="W566" s="22"/>
      <c r="X566" s="22"/>
      <c r="Y566" s="22"/>
      <c r="Z566" s="27"/>
      <c r="AA566" s="22"/>
      <c r="AB566" s="22"/>
    </row>
    <row r="567" customFormat="false" ht="15" hidden="false" customHeight="false" outlineLevel="0" collapsed="false">
      <c r="A567" s="22" t="n">
        <v>566</v>
      </c>
      <c r="B567" s="22" t="s">
        <v>2569</v>
      </c>
      <c r="C567" s="22" t="s">
        <v>2570</v>
      </c>
      <c r="D567" s="22" t="s">
        <v>138</v>
      </c>
      <c r="E567" s="22" t="s">
        <v>139</v>
      </c>
      <c r="F567" s="22" t="s">
        <v>106</v>
      </c>
      <c r="G567" s="23" t="n">
        <v>45657</v>
      </c>
      <c r="H567" s="24" t="n">
        <f aca="false">IF(G567="","",ROUND((Config!$C$4-G567)/365.25,2))</f>
        <v>1.75</v>
      </c>
      <c r="I567" s="25" t="str">
        <f aca="false">IF(H567="","",IF(H567&lt;=1,"Tramo 1",IF(H567&lt;=3,"Tramo 2",IF(H567&lt;=5,"Tramo 3","Tramo 4"))))</f>
        <v>Tramo 2</v>
      </c>
      <c r="J567" s="22" t="s">
        <v>166</v>
      </c>
      <c r="K567" s="22"/>
      <c r="L567" s="22" t="s">
        <v>2571</v>
      </c>
      <c r="M567" s="26" t="s">
        <v>2572</v>
      </c>
      <c r="N567" s="22"/>
      <c r="O567" s="22" t="s">
        <v>63</v>
      </c>
      <c r="P567" s="25" t="str">
        <f aca="false">IF(OR(O567="",O567="Sin información"),"",IFERROR(INDEX(Listas!$B$2:$B$9,MATCH(O567,Listas!$A$2:$A$9,0)),""))</f>
        <v/>
      </c>
      <c r="Q567" s="25" t="str">
        <f aca="false">IF(OR(O567="",O567="Sin información"),"",IFERROR(INDEX(Listas!$C$2:$C$9,MATCH(O567,Listas!$A$2:$A$9,0)),""))</f>
        <v/>
      </c>
      <c r="R567" s="22"/>
      <c r="S567" s="22"/>
      <c r="T567" s="25" t="str">
        <f aca="false">IF(S567="","",IFERROR(INDEX(Empleadores!$B$2:$B$601,MATCH(S567,Empleadores!$A$2:$A$601,0)),"No encontrado"))</f>
        <v/>
      </c>
      <c r="U567" s="25" t="str">
        <f aca="false">IF(C567="","",IF(V567="","No",IF(Config!$C$4-V567&lt;=Config!$C$15,"Sí","No")))</f>
        <v>No</v>
      </c>
      <c r="V567" s="23"/>
      <c r="W567" s="22"/>
      <c r="X567" s="22"/>
      <c r="Y567" s="22"/>
      <c r="Z567" s="27"/>
      <c r="AA567" s="22"/>
      <c r="AB567" s="22"/>
    </row>
    <row r="568" customFormat="false" ht="15" hidden="false" customHeight="false" outlineLevel="0" collapsed="false">
      <c r="A568" s="22" t="n">
        <v>567</v>
      </c>
      <c r="B568" s="22" t="s">
        <v>2573</v>
      </c>
      <c r="C568" s="22" t="s">
        <v>2574</v>
      </c>
      <c r="D568" s="22" t="s">
        <v>149</v>
      </c>
      <c r="E568" s="22" t="s">
        <v>139</v>
      </c>
      <c r="F568" s="22" t="s">
        <v>106</v>
      </c>
      <c r="G568" s="23" t="n">
        <v>45657</v>
      </c>
      <c r="H568" s="24" t="n">
        <f aca="false">IF(G568="","",ROUND((Config!$C$4-G568)/365.25,2))</f>
        <v>1.75</v>
      </c>
      <c r="I568" s="25" t="str">
        <f aca="false">IF(H568="","",IF(H568&lt;=1,"Tramo 1",IF(H568&lt;=3,"Tramo 2",IF(H568&lt;=5,"Tramo 3","Tramo 4"))))</f>
        <v>Tramo 2</v>
      </c>
      <c r="J568" s="22" t="s">
        <v>140</v>
      </c>
      <c r="K568" s="22"/>
      <c r="L568" s="22" t="s">
        <v>2575</v>
      </c>
      <c r="M568" s="26" t="s">
        <v>2576</v>
      </c>
      <c r="N568" s="22"/>
      <c r="O568" s="22" t="s">
        <v>63</v>
      </c>
      <c r="P568" s="25" t="str">
        <f aca="false">IF(OR(O568="",O568="Sin información"),"",IFERROR(INDEX(Listas!$B$2:$B$9,MATCH(O568,Listas!$A$2:$A$9,0)),""))</f>
        <v/>
      </c>
      <c r="Q568" s="25" t="str">
        <f aca="false">IF(OR(O568="",O568="Sin información"),"",IFERROR(INDEX(Listas!$C$2:$C$9,MATCH(O568,Listas!$A$2:$A$9,0)),""))</f>
        <v/>
      </c>
      <c r="R568" s="22"/>
      <c r="S568" s="22"/>
      <c r="T568" s="25" t="str">
        <f aca="false">IF(S568="","",IFERROR(INDEX(Empleadores!$B$2:$B$601,MATCH(S568,Empleadores!$A$2:$A$601,0)),"No encontrado"))</f>
        <v/>
      </c>
      <c r="U568" s="25" t="str">
        <f aca="false">IF(C568="","",IF(V568="","No",IF(Config!$C$4-V568&lt;=Config!$C$15,"Sí","No")))</f>
        <v>No</v>
      </c>
      <c r="V568" s="23"/>
      <c r="W568" s="22"/>
      <c r="X568" s="22"/>
      <c r="Y568" s="22"/>
      <c r="Z568" s="27"/>
      <c r="AA568" s="22"/>
      <c r="AB568" s="22"/>
    </row>
    <row r="569" customFormat="false" ht="15" hidden="false" customHeight="false" outlineLevel="0" collapsed="false">
      <c r="A569" s="22" t="n">
        <v>568</v>
      </c>
      <c r="B569" s="22" t="s">
        <v>2577</v>
      </c>
      <c r="C569" s="22" t="s">
        <v>2578</v>
      </c>
      <c r="D569" s="22" t="s">
        <v>149</v>
      </c>
      <c r="E569" s="22" t="s">
        <v>139</v>
      </c>
      <c r="F569" s="22" t="s">
        <v>106</v>
      </c>
      <c r="G569" s="23" t="n">
        <v>45657</v>
      </c>
      <c r="H569" s="24" t="n">
        <f aca="false">IF(G569="","",ROUND((Config!$C$4-G569)/365.25,2))</f>
        <v>1.75</v>
      </c>
      <c r="I569" s="25" t="str">
        <f aca="false">IF(H569="","",IF(H569&lt;=1,"Tramo 1",IF(H569&lt;=3,"Tramo 2",IF(H569&lt;=5,"Tramo 3","Tramo 4"))))</f>
        <v>Tramo 2</v>
      </c>
      <c r="J569" s="22" t="s">
        <v>140</v>
      </c>
      <c r="K569" s="22"/>
      <c r="L569" s="22" t="s">
        <v>2579</v>
      </c>
      <c r="M569" s="26" t="s">
        <v>2580</v>
      </c>
      <c r="N569" s="22"/>
      <c r="O569" s="22" t="s">
        <v>63</v>
      </c>
      <c r="P569" s="25" t="str">
        <f aca="false">IF(OR(O569="",O569="Sin información"),"",IFERROR(INDEX(Listas!$B$2:$B$9,MATCH(O569,Listas!$A$2:$A$9,0)),""))</f>
        <v/>
      </c>
      <c r="Q569" s="25" t="str">
        <f aca="false">IF(OR(O569="",O569="Sin información"),"",IFERROR(INDEX(Listas!$C$2:$C$9,MATCH(O569,Listas!$A$2:$A$9,0)),""))</f>
        <v/>
      </c>
      <c r="R569" s="22"/>
      <c r="S569" s="22"/>
      <c r="T569" s="25" t="str">
        <f aca="false">IF(S569="","",IFERROR(INDEX(Empleadores!$B$2:$B$601,MATCH(S569,Empleadores!$A$2:$A$601,0)),"No encontrado"))</f>
        <v/>
      </c>
      <c r="U569" s="25" t="str">
        <f aca="false">IF(C569="","",IF(V569="","No",IF(Config!$C$4-V569&lt;=Config!$C$15,"Sí","No")))</f>
        <v>No</v>
      </c>
      <c r="V569" s="23"/>
      <c r="W569" s="22"/>
      <c r="X569" s="22"/>
      <c r="Y569" s="22"/>
      <c r="Z569" s="27"/>
      <c r="AA569" s="22"/>
      <c r="AB569" s="22"/>
    </row>
    <row r="570" customFormat="false" ht="15" hidden="false" customHeight="false" outlineLevel="0" collapsed="false">
      <c r="A570" s="22" t="n">
        <v>569</v>
      </c>
      <c r="B570" s="22" t="s">
        <v>2581</v>
      </c>
      <c r="C570" s="22" t="s">
        <v>2582</v>
      </c>
      <c r="D570" s="22" t="s">
        <v>138</v>
      </c>
      <c r="E570" s="22" t="s">
        <v>139</v>
      </c>
      <c r="F570" s="22" t="s">
        <v>106</v>
      </c>
      <c r="G570" s="23" t="n">
        <v>45657</v>
      </c>
      <c r="H570" s="24" t="n">
        <f aca="false">IF(G570="","",ROUND((Config!$C$4-G570)/365.25,2))</f>
        <v>1.75</v>
      </c>
      <c r="I570" s="25" t="str">
        <f aca="false">IF(H570="","",IF(H570&lt;=1,"Tramo 1",IF(H570&lt;=3,"Tramo 2",IF(H570&lt;=5,"Tramo 3","Tramo 4"))))</f>
        <v>Tramo 2</v>
      </c>
      <c r="J570" s="22" t="s">
        <v>140</v>
      </c>
      <c r="K570" s="22"/>
      <c r="L570" s="22" t="s">
        <v>2583</v>
      </c>
      <c r="M570" s="26" t="s">
        <v>2584</v>
      </c>
      <c r="N570" s="22"/>
      <c r="O570" s="22" t="s">
        <v>63</v>
      </c>
      <c r="P570" s="25" t="str">
        <f aca="false">IF(OR(O570="",O570="Sin información"),"",IFERROR(INDEX(Listas!$B$2:$B$9,MATCH(O570,Listas!$A$2:$A$9,0)),""))</f>
        <v/>
      </c>
      <c r="Q570" s="25" t="str">
        <f aca="false">IF(OR(O570="",O570="Sin información"),"",IFERROR(INDEX(Listas!$C$2:$C$9,MATCH(O570,Listas!$A$2:$A$9,0)),""))</f>
        <v/>
      </c>
      <c r="R570" s="22"/>
      <c r="S570" s="22"/>
      <c r="T570" s="25" t="str">
        <f aca="false">IF(S570="","",IFERROR(INDEX(Empleadores!$B$2:$B$601,MATCH(S570,Empleadores!$A$2:$A$601,0)),"No encontrado"))</f>
        <v/>
      </c>
      <c r="U570" s="25" t="str">
        <f aca="false">IF(C570="","",IF(V570="","No",IF(Config!$C$4-V570&lt;=Config!$C$15,"Sí","No")))</f>
        <v>No</v>
      </c>
      <c r="V570" s="23"/>
      <c r="W570" s="22"/>
      <c r="X570" s="22"/>
      <c r="Y570" s="22"/>
      <c r="Z570" s="27"/>
      <c r="AA570" s="22"/>
      <c r="AB570" s="22"/>
    </row>
    <row r="571" customFormat="false" ht="15" hidden="false" customHeight="false" outlineLevel="0" collapsed="false">
      <c r="A571" s="22" t="n">
        <v>570</v>
      </c>
      <c r="B571" s="22" t="s">
        <v>2585</v>
      </c>
      <c r="C571" s="22" t="s">
        <v>2586</v>
      </c>
      <c r="D571" s="22" t="s">
        <v>138</v>
      </c>
      <c r="E571" s="22" t="s">
        <v>139</v>
      </c>
      <c r="F571" s="22" t="s">
        <v>106</v>
      </c>
      <c r="G571" s="23" t="n">
        <v>45657</v>
      </c>
      <c r="H571" s="24" t="n">
        <f aca="false">IF(G571="","",ROUND((Config!$C$4-G571)/365.25,2))</f>
        <v>1.75</v>
      </c>
      <c r="I571" s="25" t="str">
        <f aca="false">IF(H571="","",IF(H571&lt;=1,"Tramo 1",IF(H571&lt;=3,"Tramo 2",IF(H571&lt;=5,"Tramo 3","Tramo 4"))))</f>
        <v>Tramo 2</v>
      </c>
      <c r="J571" s="22" t="s">
        <v>166</v>
      </c>
      <c r="K571" s="22"/>
      <c r="L571" s="22" t="s">
        <v>2587</v>
      </c>
      <c r="M571" s="26" t="s">
        <v>2588</v>
      </c>
      <c r="N571" s="22"/>
      <c r="O571" s="22" t="s">
        <v>63</v>
      </c>
      <c r="P571" s="25" t="str">
        <f aca="false">IF(OR(O571="",O571="Sin información"),"",IFERROR(INDEX(Listas!$B$2:$B$9,MATCH(O571,Listas!$A$2:$A$9,0)),""))</f>
        <v/>
      </c>
      <c r="Q571" s="25" t="str">
        <f aca="false">IF(OR(O571="",O571="Sin información"),"",IFERROR(INDEX(Listas!$C$2:$C$9,MATCH(O571,Listas!$A$2:$A$9,0)),""))</f>
        <v/>
      </c>
      <c r="R571" s="22"/>
      <c r="S571" s="22"/>
      <c r="T571" s="25" t="str">
        <f aca="false">IF(S571="","",IFERROR(INDEX(Empleadores!$B$2:$B$601,MATCH(S571,Empleadores!$A$2:$A$601,0)),"No encontrado"))</f>
        <v/>
      </c>
      <c r="U571" s="25" t="str">
        <f aca="false">IF(C571="","",IF(V571="","No",IF(Config!$C$4-V571&lt;=Config!$C$15,"Sí","No")))</f>
        <v>No</v>
      </c>
      <c r="V571" s="23"/>
      <c r="W571" s="22"/>
      <c r="X571" s="22"/>
      <c r="Y571" s="22"/>
      <c r="Z571" s="27"/>
      <c r="AA571" s="22" t="s">
        <v>2589</v>
      </c>
      <c r="AB571" s="22" t="s">
        <v>1691</v>
      </c>
    </row>
    <row r="572" customFormat="false" ht="15" hidden="false" customHeight="false" outlineLevel="0" collapsed="false">
      <c r="A572" s="22" t="n">
        <v>571</v>
      </c>
      <c r="B572" s="22" t="s">
        <v>2590</v>
      </c>
      <c r="C572" s="22" t="s">
        <v>2591</v>
      </c>
      <c r="D572" s="22" t="s">
        <v>138</v>
      </c>
      <c r="E572" s="22" t="s">
        <v>139</v>
      </c>
      <c r="F572" s="22" t="s">
        <v>106</v>
      </c>
      <c r="G572" s="23" t="n">
        <v>45657</v>
      </c>
      <c r="H572" s="24" t="n">
        <f aca="false">IF(G572="","",ROUND((Config!$C$4-G572)/365.25,2))</f>
        <v>1.75</v>
      </c>
      <c r="I572" s="25" t="str">
        <f aca="false">IF(H572="","",IF(H572&lt;=1,"Tramo 1",IF(H572&lt;=3,"Tramo 2",IF(H572&lt;=5,"Tramo 3","Tramo 4"))))</f>
        <v>Tramo 2</v>
      </c>
      <c r="J572" s="22" t="s">
        <v>166</v>
      </c>
      <c r="K572" s="22"/>
      <c r="L572" s="22" t="s">
        <v>2592</v>
      </c>
      <c r="M572" s="26" t="s">
        <v>2593</v>
      </c>
      <c r="N572" s="22"/>
      <c r="O572" s="22" t="s">
        <v>90</v>
      </c>
      <c r="P572" s="25" t="str">
        <f aca="false">IF(OR(O572="",O572="Sin información"),"",IFERROR(INDEX(Listas!$B$2:$B$9,MATCH(O572,Listas!$A$2:$A$9,0)),""))</f>
        <v>No</v>
      </c>
      <c r="Q572" s="25" t="str">
        <f aca="false">IF(OR(O572="",O572="Sin información"),"",IFERROR(INDEX(Listas!$C$2:$C$9,MATCH(O572,Listas!$A$2:$A$9,0)),""))</f>
        <v>No</v>
      </c>
      <c r="R572" s="22"/>
      <c r="S572" s="22"/>
      <c r="T572" s="25" t="str">
        <f aca="false">IF(S572="","",IFERROR(INDEX(Empleadores!$B$2:$B$601,MATCH(S572,Empleadores!$A$2:$A$601,0)),"No encontrado"))</f>
        <v/>
      </c>
      <c r="U572" s="25" t="str">
        <f aca="false">IF(C572="","",IF(V572="","No",IF(Config!$C$4-V572&lt;=Config!$C$15,"Sí","No")))</f>
        <v>Sí</v>
      </c>
      <c r="V572" s="23" t="n">
        <v>45947</v>
      </c>
      <c r="W572" s="22"/>
      <c r="X572" s="22"/>
      <c r="Y572" s="22"/>
      <c r="Z572" s="27"/>
      <c r="AA572" s="22" t="s">
        <v>2594</v>
      </c>
      <c r="AB572" s="22" t="s">
        <v>2265</v>
      </c>
    </row>
    <row r="573" customFormat="false" ht="15" hidden="false" customHeight="false" outlineLevel="0" collapsed="false">
      <c r="A573" s="22" t="n">
        <v>572</v>
      </c>
      <c r="B573" s="22" t="s">
        <v>2595</v>
      </c>
      <c r="C573" s="22" t="s">
        <v>2596</v>
      </c>
      <c r="D573" s="22" t="s">
        <v>149</v>
      </c>
      <c r="E573" s="22" t="s">
        <v>139</v>
      </c>
      <c r="F573" s="22" t="s">
        <v>106</v>
      </c>
      <c r="G573" s="23" t="n">
        <v>45657</v>
      </c>
      <c r="H573" s="24" t="n">
        <f aca="false">IF(G573="","",ROUND((Config!$C$4-G573)/365.25,2))</f>
        <v>1.75</v>
      </c>
      <c r="I573" s="25" t="str">
        <f aca="false">IF(H573="","",IF(H573&lt;=1,"Tramo 1",IF(H573&lt;=3,"Tramo 2",IF(H573&lt;=5,"Tramo 3","Tramo 4"))))</f>
        <v>Tramo 2</v>
      </c>
      <c r="J573" s="22" t="s">
        <v>166</v>
      </c>
      <c r="K573" s="22"/>
      <c r="L573" s="22" t="s">
        <v>2597</v>
      </c>
      <c r="M573" s="26" t="s">
        <v>2598</v>
      </c>
      <c r="N573" s="22"/>
      <c r="O573" s="22" t="s">
        <v>63</v>
      </c>
      <c r="P573" s="25" t="str">
        <f aca="false">IF(OR(O573="",O573="Sin información"),"",IFERROR(INDEX(Listas!$B$2:$B$9,MATCH(O573,Listas!$A$2:$A$9,0)),""))</f>
        <v/>
      </c>
      <c r="Q573" s="25" t="str">
        <f aca="false">IF(OR(O573="",O573="Sin información"),"",IFERROR(INDEX(Listas!$C$2:$C$9,MATCH(O573,Listas!$A$2:$A$9,0)),""))</f>
        <v/>
      </c>
      <c r="R573" s="22"/>
      <c r="S573" s="22"/>
      <c r="T573" s="25" t="str">
        <f aca="false">IF(S573="","",IFERROR(INDEX(Empleadores!$B$2:$B$601,MATCH(S573,Empleadores!$A$2:$A$601,0)),"No encontrado"))</f>
        <v/>
      </c>
      <c r="U573" s="25" t="str">
        <f aca="false">IF(C573="","",IF(V573="","No",IF(Config!$C$4-V573&lt;=Config!$C$15,"Sí","No")))</f>
        <v>No</v>
      </c>
      <c r="V573" s="23"/>
      <c r="W573" s="22"/>
      <c r="X573" s="22"/>
      <c r="Y573" s="22"/>
      <c r="Z573" s="27"/>
      <c r="AA573" s="22"/>
      <c r="AB573" s="22"/>
    </row>
    <row r="574" customFormat="false" ht="15" hidden="false" customHeight="false" outlineLevel="0" collapsed="false">
      <c r="A574" s="22" t="n">
        <v>573</v>
      </c>
      <c r="B574" s="22" t="s">
        <v>2599</v>
      </c>
      <c r="C574" s="22" t="s">
        <v>2600</v>
      </c>
      <c r="D574" s="22" t="s">
        <v>149</v>
      </c>
      <c r="E574" s="22" t="s">
        <v>139</v>
      </c>
      <c r="F574" s="22" t="s">
        <v>106</v>
      </c>
      <c r="G574" s="23" t="n">
        <v>45657</v>
      </c>
      <c r="H574" s="24" t="n">
        <f aca="false">IF(G574="","",ROUND((Config!$C$4-G574)/365.25,2))</f>
        <v>1.75</v>
      </c>
      <c r="I574" s="25" t="str">
        <f aca="false">IF(H574="","",IF(H574&lt;=1,"Tramo 1",IF(H574&lt;=3,"Tramo 2",IF(H574&lt;=5,"Tramo 3","Tramo 4"))))</f>
        <v>Tramo 2</v>
      </c>
      <c r="J574" s="22" t="s">
        <v>166</v>
      </c>
      <c r="K574" s="22"/>
      <c r="L574" s="22" t="s">
        <v>2601</v>
      </c>
      <c r="M574" s="26" t="s">
        <v>2602</v>
      </c>
      <c r="N574" s="22"/>
      <c r="O574" s="22" t="s">
        <v>63</v>
      </c>
      <c r="P574" s="25" t="str">
        <f aca="false">IF(OR(O574="",O574="Sin información"),"",IFERROR(INDEX(Listas!$B$2:$B$9,MATCH(O574,Listas!$A$2:$A$9,0)),""))</f>
        <v/>
      </c>
      <c r="Q574" s="25" t="str">
        <f aca="false">IF(OR(O574="",O574="Sin información"),"",IFERROR(INDEX(Listas!$C$2:$C$9,MATCH(O574,Listas!$A$2:$A$9,0)),""))</f>
        <v/>
      </c>
      <c r="R574" s="22"/>
      <c r="S574" s="22"/>
      <c r="T574" s="25" t="str">
        <f aca="false">IF(S574="","",IFERROR(INDEX(Empleadores!$B$2:$B$601,MATCH(S574,Empleadores!$A$2:$A$601,0)),"No encontrado"))</f>
        <v/>
      </c>
      <c r="U574" s="25" t="str">
        <f aca="false">IF(C574="","",IF(V574="","No",IF(Config!$C$4-V574&lt;=Config!$C$15,"Sí","No")))</f>
        <v>No</v>
      </c>
      <c r="V574" s="23"/>
      <c r="W574" s="22"/>
      <c r="X574" s="22"/>
      <c r="Y574" s="22"/>
      <c r="Z574" s="27"/>
      <c r="AA574" s="22"/>
      <c r="AB574" s="22"/>
    </row>
    <row r="575" customFormat="false" ht="15" hidden="false" customHeight="false" outlineLevel="0" collapsed="false">
      <c r="A575" s="22" t="n">
        <v>574</v>
      </c>
      <c r="B575" s="22" t="s">
        <v>2603</v>
      </c>
      <c r="C575" s="22" t="s">
        <v>2604</v>
      </c>
      <c r="D575" s="22" t="s">
        <v>138</v>
      </c>
      <c r="E575" s="22" t="s">
        <v>139</v>
      </c>
      <c r="F575" s="22" t="s">
        <v>106</v>
      </c>
      <c r="G575" s="23" t="n">
        <v>45657</v>
      </c>
      <c r="H575" s="24" t="n">
        <f aca="false">IF(G575="","",ROUND((Config!$C$4-G575)/365.25,2))</f>
        <v>1.75</v>
      </c>
      <c r="I575" s="25" t="str">
        <f aca="false">IF(H575="","",IF(H575&lt;=1,"Tramo 1",IF(H575&lt;=3,"Tramo 2",IF(H575&lt;=5,"Tramo 3","Tramo 4"))))</f>
        <v>Tramo 2</v>
      </c>
      <c r="J575" s="22" t="s">
        <v>166</v>
      </c>
      <c r="K575" s="22"/>
      <c r="L575" s="22" t="s">
        <v>2605</v>
      </c>
      <c r="M575" s="26" t="s">
        <v>2606</v>
      </c>
      <c r="N575" s="22"/>
      <c r="O575" s="22" t="s">
        <v>63</v>
      </c>
      <c r="P575" s="25" t="str">
        <f aca="false">IF(OR(O575="",O575="Sin información"),"",IFERROR(INDEX(Listas!$B$2:$B$9,MATCH(O575,Listas!$A$2:$A$9,0)),""))</f>
        <v/>
      </c>
      <c r="Q575" s="25" t="str">
        <f aca="false">IF(OR(O575="",O575="Sin información"),"",IFERROR(INDEX(Listas!$C$2:$C$9,MATCH(O575,Listas!$A$2:$A$9,0)),""))</f>
        <v/>
      </c>
      <c r="R575" s="22"/>
      <c r="S575" s="22"/>
      <c r="T575" s="25" t="str">
        <f aca="false">IF(S575="","",IFERROR(INDEX(Empleadores!$B$2:$B$601,MATCH(S575,Empleadores!$A$2:$A$601,0)),"No encontrado"))</f>
        <v/>
      </c>
      <c r="U575" s="25" t="str">
        <f aca="false">IF(C575="","",IF(V575="","No",IF(Config!$C$4-V575&lt;=Config!$C$15,"Sí","No")))</f>
        <v>No</v>
      </c>
      <c r="V575" s="23"/>
      <c r="W575" s="22"/>
      <c r="X575" s="22"/>
      <c r="Y575" s="22"/>
      <c r="Z575" s="27"/>
      <c r="AA575" s="22" t="s">
        <v>2607</v>
      </c>
      <c r="AB575" s="22" t="s">
        <v>1691</v>
      </c>
    </row>
    <row r="576" customFormat="false" ht="15" hidden="false" customHeight="false" outlineLevel="0" collapsed="false">
      <c r="A576" s="22" t="n">
        <v>575</v>
      </c>
      <c r="B576" s="22" t="s">
        <v>2608</v>
      </c>
      <c r="C576" s="22" t="s">
        <v>2609</v>
      </c>
      <c r="D576" s="22" t="s">
        <v>138</v>
      </c>
      <c r="E576" s="22" t="s">
        <v>139</v>
      </c>
      <c r="F576" s="22" t="s">
        <v>106</v>
      </c>
      <c r="G576" s="23" t="n">
        <v>45657</v>
      </c>
      <c r="H576" s="24" t="n">
        <f aca="false">IF(G576="","",ROUND((Config!$C$4-G576)/365.25,2))</f>
        <v>1.75</v>
      </c>
      <c r="I576" s="25" t="str">
        <f aca="false">IF(H576="","",IF(H576&lt;=1,"Tramo 1",IF(H576&lt;=3,"Tramo 2",IF(H576&lt;=5,"Tramo 3","Tramo 4"))))</f>
        <v>Tramo 2</v>
      </c>
      <c r="J576" s="22" t="s">
        <v>166</v>
      </c>
      <c r="K576" s="22"/>
      <c r="L576" s="22" t="s">
        <v>2610</v>
      </c>
      <c r="M576" s="26" t="s">
        <v>2611</v>
      </c>
      <c r="N576" s="22"/>
      <c r="O576" s="22" t="s">
        <v>63</v>
      </c>
      <c r="P576" s="25" t="str">
        <f aca="false">IF(OR(O576="",O576="Sin información"),"",IFERROR(INDEX(Listas!$B$2:$B$9,MATCH(O576,Listas!$A$2:$A$9,0)),""))</f>
        <v/>
      </c>
      <c r="Q576" s="25" t="str">
        <f aca="false">IF(OR(O576="",O576="Sin información"),"",IFERROR(INDEX(Listas!$C$2:$C$9,MATCH(O576,Listas!$A$2:$A$9,0)),""))</f>
        <v/>
      </c>
      <c r="R576" s="22"/>
      <c r="S576" s="22"/>
      <c r="T576" s="25" t="str">
        <f aca="false">IF(S576="","",IFERROR(INDEX(Empleadores!$B$2:$B$601,MATCH(S576,Empleadores!$A$2:$A$601,0)),"No encontrado"))</f>
        <v/>
      </c>
      <c r="U576" s="25" t="str">
        <f aca="false">IF(C576="","",IF(V576="","No",IF(Config!$C$4-V576&lt;=Config!$C$15,"Sí","No")))</f>
        <v>No</v>
      </c>
      <c r="V576" s="23"/>
      <c r="W576" s="22"/>
      <c r="X576" s="22"/>
      <c r="Y576" s="22"/>
      <c r="Z576" s="27"/>
      <c r="AA576" s="22"/>
      <c r="AB576" s="22"/>
    </row>
    <row r="577" customFormat="false" ht="15" hidden="false" customHeight="false" outlineLevel="0" collapsed="false">
      <c r="A577" s="22" t="n">
        <v>576</v>
      </c>
      <c r="B577" s="22" t="s">
        <v>2612</v>
      </c>
      <c r="C577" s="22" t="s">
        <v>2613</v>
      </c>
      <c r="D577" s="22" t="s">
        <v>138</v>
      </c>
      <c r="E577" s="22" t="s">
        <v>139</v>
      </c>
      <c r="F577" s="22" t="s">
        <v>106</v>
      </c>
      <c r="G577" s="23" t="n">
        <v>45657</v>
      </c>
      <c r="H577" s="24" t="n">
        <f aca="false">IF(G577="","",ROUND((Config!$C$4-G577)/365.25,2))</f>
        <v>1.75</v>
      </c>
      <c r="I577" s="25" t="str">
        <f aca="false">IF(H577="","",IF(H577&lt;=1,"Tramo 1",IF(H577&lt;=3,"Tramo 2",IF(H577&lt;=5,"Tramo 3","Tramo 4"))))</f>
        <v>Tramo 2</v>
      </c>
      <c r="J577" s="22" t="s">
        <v>166</v>
      </c>
      <c r="K577" s="22"/>
      <c r="L577" s="22" t="s">
        <v>2614</v>
      </c>
      <c r="M577" s="26" t="s">
        <v>2615</v>
      </c>
      <c r="N577" s="22"/>
      <c r="O577" s="22" t="s">
        <v>63</v>
      </c>
      <c r="P577" s="25" t="str">
        <f aca="false">IF(OR(O577="",O577="Sin información"),"",IFERROR(INDEX(Listas!$B$2:$B$9,MATCH(O577,Listas!$A$2:$A$9,0)),""))</f>
        <v/>
      </c>
      <c r="Q577" s="25" t="str">
        <f aca="false">IF(OR(O577="",O577="Sin información"),"",IFERROR(INDEX(Listas!$C$2:$C$9,MATCH(O577,Listas!$A$2:$A$9,0)),""))</f>
        <v/>
      </c>
      <c r="R577" s="22"/>
      <c r="S577" s="22"/>
      <c r="T577" s="25" t="str">
        <f aca="false">IF(S577="","",IFERROR(INDEX(Empleadores!$B$2:$B$601,MATCH(S577,Empleadores!$A$2:$A$601,0)),"No encontrado"))</f>
        <v/>
      </c>
      <c r="U577" s="25" t="str">
        <f aca="false">IF(C577="","",IF(V577="","No",IF(Config!$C$4-V577&lt;=Config!$C$15,"Sí","No")))</f>
        <v>No</v>
      </c>
      <c r="V577" s="23"/>
      <c r="W577" s="22"/>
      <c r="X577" s="22"/>
      <c r="Y577" s="22"/>
      <c r="Z577" s="27"/>
      <c r="AA577" s="22"/>
      <c r="AB577" s="22"/>
    </row>
    <row r="578" customFormat="false" ht="15" hidden="false" customHeight="false" outlineLevel="0" collapsed="false">
      <c r="A578" s="22" t="n">
        <v>577</v>
      </c>
      <c r="B578" s="22" t="s">
        <v>2616</v>
      </c>
      <c r="C578" s="22" t="s">
        <v>2617</v>
      </c>
      <c r="D578" s="22" t="s">
        <v>149</v>
      </c>
      <c r="E578" s="22" t="s">
        <v>139</v>
      </c>
      <c r="F578" s="22" t="s">
        <v>106</v>
      </c>
      <c r="G578" s="23" t="n">
        <v>45657</v>
      </c>
      <c r="H578" s="24" t="n">
        <f aca="false">IF(G578="","",ROUND((Config!$C$4-G578)/365.25,2))</f>
        <v>1.75</v>
      </c>
      <c r="I578" s="25" t="str">
        <f aca="false">IF(H578="","",IF(H578&lt;=1,"Tramo 1",IF(H578&lt;=3,"Tramo 2",IF(H578&lt;=5,"Tramo 3","Tramo 4"))))</f>
        <v>Tramo 2</v>
      </c>
      <c r="J578" s="22" t="s">
        <v>140</v>
      </c>
      <c r="K578" s="22"/>
      <c r="L578" s="22" t="s">
        <v>2618</v>
      </c>
      <c r="M578" s="26" t="s">
        <v>2619</v>
      </c>
      <c r="N578" s="22"/>
      <c r="O578" s="22" t="s">
        <v>63</v>
      </c>
      <c r="P578" s="25" t="str">
        <f aca="false">IF(OR(O578="",O578="Sin información"),"",IFERROR(INDEX(Listas!$B$2:$B$9,MATCH(O578,Listas!$A$2:$A$9,0)),""))</f>
        <v/>
      </c>
      <c r="Q578" s="25" t="str">
        <f aca="false">IF(OR(O578="",O578="Sin información"),"",IFERROR(INDEX(Listas!$C$2:$C$9,MATCH(O578,Listas!$A$2:$A$9,0)),""))</f>
        <v/>
      </c>
      <c r="R578" s="22"/>
      <c r="S578" s="22"/>
      <c r="T578" s="25" t="str">
        <f aca="false">IF(S578="","",IFERROR(INDEX(Empleadores!$B$2:$B$601,MATCH(S578,Empleadores!$A$2:$A$601,0)),"No encontrado"))</f>
        <v/>
      </c>
      <c r="U578" s="25" t="str">
        <f aca="false">IF(C578="","",IF(V578="","No",IF(Config!$C$4-V578&lt;=Config!$C$15,"Sí","No")))</f>
        <v>No</v>
      </c>
      <c r="V578" s="23"/>
      <c r="W578" s="22"/>
      <c r="X578" s="22"/>
      <c r="Y578" s="22"/>
      <c r="Z578" s="27"/>
      <c r="AA578" s="22"/>
      <c r="AB578" s="22"/>
    </row>
    <row r="579" customFormat="false" ht="15" hidden="false" customHeight="false" outlineLevel="0" collapsed="false">
      <c r="A579" s="22" t="n">
        <v>578</v>
      </c>
      <c r="B579" s="22" t="s">
        <v>2620</v>
      </c>
      <c r="C579" s="22" t="s">
        <v>2621</v>
      </c>
      <c r="D579" s="22" t="s">
        <v>138</v>
      </c>
      <c r="E579" s="22" t="s">
        <v>139</v>
      </c>
      <c r="F579" s="22" t="s">
        <v>106</v>
      </c>
      <c r="G579" s="23" t="n">
        <v>45657</v>
      </c>
      <c r="H579" s="24" t="n">
        <f aca="false">IF(G579="","",ROUND((Config!$C$4-G579)/365.25,2))</f>
        <v>1.75</v>
      </c>
      <c r="I579" s="25" t="str">
        <f aca="false">IF(H579="","",IF(H579&lt;=1,"Tramo 1",IF(H579&lt;=3,"Tramo 2",IF(H579&lt;=5,"Tramo 3","Tramo 4"))))</f>
        <v>Tramo 2</v>
      </c>
      <c r="J579" s="22" t="s">
        <v>166</v>
      </c>
      <c r="K579" s="22"/>
      <c r="L579" s="22" t="s">
        <v>2622</v>
      </c>
      <c r="M579" s="26" t="s">
        <v>2623</v>
      </c>
      <c r="N579" s="22"/>
      <c r="O579" s="22" t="s">
        <v>90</v>
      </c>
      <c r="P579" s="25" t="str">
        <f aca="false">IF(OR(O579="",O579="Sin información"),"",IFERROR(INDEX(Listas!$B$2:$B$9,MATCH(O579,Listas!$A$2:$A$9,0)),""))</f>
        <v>No</v>
      </c>
      <c r="Q579" s="25" t="str">
        <f aca="false">IF(OR(O579="",O579="Sin información"),"",IFERROR(INDEX(Listas!$C$2:$C$9,MATCH(O579,Listas!$A$2:$A$9,0)),""))</f>
        <v>No</v>
      </c>
      <c r="R579" s="22"/>
      <c r="S579" s="22"/>
      <c r="T579" s="25" t="str">
        <f aca="false">IF(S579="","",IFERROR(INDEX(Empleadores!$B$2:$B$601,MATCH(S579,Empleadores!$A$2:$A$601,0)),"No encontrado"))</f>
        <v/>
      </c>
      <c r="U579" s="25" t="str">
        <f aca="false">IF(C579="","",IF(V579="","No",IF(Config!$C$4-V579&lt;=Config!$C$15,"Sí","No")))</f>
        <v>Sí</v>
      </c>
      <c r="V579" s="23" t="n">
        <v>45946</v>
      </c>
      <c r="W579" s="22"/>
      <c r="X579" s="22"/>
      <c r="Y579" s="22"/>
      <c r="Z579" s="27"/>
      <c r="AA579" s="22" t="s">
        <v>2594</v>
      </c>
      <c r="AB579" s="22" t="s">
        <v>2265</v>
      </c>
    </row>
    <row r="580" customFormat="false" ht="15" hidden="false" customHeight="false" outlineLevel="0" collapsed="false">
      <c r="A580" s="22" t="n">
        <v>579</v>
      </c>
      <c r="B580" s="22" t="s">
        <v>2624</v>
      </c>
      <c r="C580" s="22" t="s">
        <v>2625</v>
      </c>
      <c r="D580" s="22" t="s">
        <v>138</v>
      </c>
      <c r="E580" s="22" t="s">
        <v>139</v>
      </c>
      <c r="F580" s="22" t="s">
        <v>106</v>
      </c>
      <c r="G580" s="23" t="n">
        <v>45657</v>
      </c>
      <c r="H580" s="24" t="n">
        <f aca="false">IF(G580="","",ROUND((Config!$C$4-G580)/365.25,2))</f>
        <v>1.75</v>
      </c>
      <c r="I580" s="25" t="str">
        <f aca="false">IF(H580="","",IF(H580&lt;=1,"Tramo 1",IF(H580&lt;=3,"Tramo 2",IF(H580&lt;=5,"Tramo 3","Tramo 4"))))</f>
        <v>Tramo 2</v>
      </c>
      <c r="J580" s="22" t="s">
        <v>166</v>
      </c>
      <c r="K580" s="22"/>
      <c r="L580" s="22" t="s">
        <v>2626</v>
      </c>
      <c r="M580" s="26" t="s">
        <v>2627</v>
      </c>
      <c r="N580" s="22"/>
      <c r="O580" s="22" t="s">
        <v>63</v>
      </c>
      <c r="P580" s="25" t="str">
        <f aca="false">IF(OR(O580="",O580="Sin información"),"",IFERROR(INDEX(Listas!$B$2:$B$9,MATCH(O580,Listas!$A$2:$A$9,0)),""))</f>
        <v/>
      </c>
      <c r="Q580" s="25" t="str">
        <f aca="false">IF(OR(O580="",O580="Sin información"),"",IFERROR(INDEX(Listas!$C$2:$C$9,MATCH(O580,Listas!$A$2:$A$9,0)),""))</f>
        <v/>
      </c>
      <c r="R580" s="22"/>
      <c r="S580" s="22"/>
      <c r="T580" s="25" t="str">
        <f aca="false">IF(S580="","",IFERROR(INDEX(Empleadores!$B$2:$B$601,MATCH(S580,Empleadores!$A$2:$A$601,0)),"No encontrado"))</f>
        <v/>
      </c>
      <c r="U580" s="25" t="str">
        <f aca="false">IF(C580="","",IF(V580="","No",IF(Config!$C$4-V580&lt;=Config!$C$15,"Sí","No")))</f>
        <v>No</v>
      </c>
      <c r="V580" s="23"/>
      <c r="W580" s="22"/>
      <c r="X580" s="22"/>
      <c r="Y580" s="22"/>
      <c r="Z580" s="27"/>
      <c r="AA580" s="22"/>
      <c r="AB580" s="22"/>
    </row>
    <row r="581" customFormat="false" ht="15" hidden="false" customHeight="false" outlineLevel="0" collapsed="false">
      <c r="A581" s="22" t="n">
        <v>580</v>
      </c>
      <c r="B581" s="22" t="s">
        <v>2628</v>
      </c>
      <c r="C581" s="22" t="s">
        <v>2629</v>
      </c>
      <c r="D581" s="22" t="s">
        <v>149</v>
      </c>
      <c r="E581" s="22" t="s">
        <v>139</v>
      </c>
      <c r="F581" s="22" t="s">
        <v>106</v>
      </c>
      <c r="G581" s="23" t="n">
        <v>45657</v>
      </c>
      <c r="H581" s="24" t="n">
        <f aca="false">IF(G581="","",ROUND((Config!$C$4-G581)/365.25,2))</f>
        <v>1.75</v>
      </c>
      <c r="I581" s="25" t="str">
        <f aca="false">IF(H581="","",IF(H581&lt;=1,"Tramo 1",IF(H581&lt;=3,"Tramo 2",IF(H581&lt;=5,"Tramo 3","Tramo 4"))))</f>
        <v>Tramo 2</v>
      </c>
      <c r="J581" s="22" t="s">
        <v>166</v>
      </c>
      <c r="K581" s="22"/>
      <c r="L581" s="22" t="s">
        <v>2630</v>
      </c>
      <c r="M581" s="26" t="s">
        <v>2631</v>
      </c>
      <c r="N581" s="22"/>
      <c r="O581" s="22" t="s">
        <v>63</v>
      </c>
      <c r="P581" s="25" t="str">
        <f aca="false">IF(OR(O581="",O581="Sin información"),"",IFERROR(INDEX(Listas!$B$2:$B$9,MATCH(O581,Listas!$A$2:$A$9,0)),""))</f>
        <v/>
      </c>
      <c r="Q581" s="25" t="str">
        <f aca="false">IF(OR(O581="",O581="Sin información"),"",IFERROR(INDEX(Listas!$C$2:$C$9,MATCH(O581,Listas!$A$2:$A$9,0)),""))</f>
        <v/>
      </c>
      <c r="R581" s="22"/>
      <c r="S581" s="22"/>
      <c r="T581" s="25" t="str">
        <f aca="false">IF(S581="","",IFERROR(INDEX(Empleadores!$B$2:$B$601,MATCH(S581,Empleadores!$A$2:$A$601,0)),"No encontrado"))</f>
        <v/>
      </c>
      <c r="U581" s="25" t="str">
        <f aca="false">IF(C581="","",IF(V581="","No",IF(Config!$C$4-V581&lt;=Config!$C$15,"Sí","No")))</f>
        <v>No</v>
      </c>
      <c r="V581" s="23"/>
      <c r="W581" s="22"/>
      <c r="X581" s="22"/>
      <c r="Y581" s="22"/>
      <c r="Z581" s="27"/>
      <c r="AA581" s="22"/>
      <c r="AB581" s="22"/>
    </row>
    <row r="582" customFormat="false" ht="15" hidden="false" customHeight="false" outlineLevel="0" collapsed="false">
      <c r="A582" s="22" t="n">
        <v>581</v>
      </c>
      <c r="B582" s="22" t="s">
        <v>2632</v>
      </c>
      <c r="C582" s="22" t="s">
        <v>2633</v>
      </c>
      <c r="D582" s="22" t="s">
        <v>138</v>
      </c>
      <c r="E582" s="22" t="s">
        <v>139</v>
      </c>
      <c r="F582" s="22" t="s">
        <v>106</v>
      </c>
      <c r="G582" s="23" t="n">
        <v>45657</v>
      </c>
      <c r="H582" s="24" t="n">
        <f aca="false">IF(G582="","",ROUND((Config!$C$4-G582)/365.25,2))</f>
        <v>1.75</v>
      </c>
      <c r="I582" s="25" t="str">
        <f aca="false">IF(H582="","",IF(H582&lt;=1,"Tramo 1",IF(H582&lt;=3,"Tramo 2",IF(H582&lt;=5,"Tramo 3","Tramo 4"))))</f>
        <v>Tramo 2</v>
      </c>
      <c r="J582" s="22" t="s">
        <v>166</v>
      </c>
      <c r="K582" s="22"/>
      <c r="L582" s="22" t="s">
        <v>2634</v>
      </c>
      <c r="M582" s="26" t="s">
        <v>2635</v>
      </c>
      <c r="N582" s="22"/>
      <c r="O582" s="22" t="s">
        <v>63</v>
      </c>
      <c r="P582" s="25" t="str">
        <f aca="false">IF(OR(O582="",O582="Sin información"),"",IFERROR(INDEX(Listas!$B$2:$B$9,MATCH(O582,Listas!$A$2:$A$9,0)),""))</f>
        <v/>
      </c>
      <c r="Q582" s="25" t="str">
        <f aca="false">IF(OR(O582="",O582="Sin información"),"",IFERROR(INDEX(Listas!$C$2:$C$9,MATCH(O582,Listas!$A$2:$A$9,0)),""))</f>
        <v/>
      </c>
      <c r="R582" s="22"/>
      <c r="S582" s="22"/>
      <c r="T582" s="25" t="str">
        <f aca="false">IF(S582="","",IFERROR(INDEX(Empleadores!$B$2:$B$601,MATCH(S582,Empleadores!$A$2:$A$601,0)),"No encontrado"))</f>
        <v/>
      </c>
      <c r="U582" s="25" t="str">
        <f aca="false">IF(C582="","",IF(V582="","No",IF(Config!$C$4-V582&lt;=Config!$C$15,"Sí","No")))</f>
        <v>No</v>
      </c>
      <c r="V582" s="23"/>
      <c r="W582" s="22"/>
      <c r="X582" s="22"/>
      <c r="Y582" s="22"/>
      <c r="Z582" s="27"/>
      <c r="AA582" s="22" t="s">
        <v>2636</v>
      </c>
      <c r="AB582" s="22" t="s">
        <v>1691</v>
      </c>
    </row>
    <row r="583" customFormat="false" ht="15" hidden="false" customHeight="false" outlineLevel="0" collapsed="false">
      <c r="A583" s="22" t="n">
        <v>582</v>
      </c>
      <c r="B583" s="22" t="s">
        <v>2637</v>
      </c>
      <c r="C583" s="22" t="s">
        <v>2638</v>
      </c>
      <c r="D583" s="22" t="s">
        <v>149</v>
      </c>
      <c r="E583" s="22" t="s">
        <v>139</v>
      </c>
      <c r="F583" s="22" t="s">
        <v>106</v>
      </c>
      <c r="G583" s="23" t="n">
        <v>45657</v>
      </c>
      <c r="H583" s="24" t="n">
        <f aca="false">IF(G583="","",ROUND((Config!$C$4-G583)/365.25,2))</f>
        <v>1.75</v>
      </c>
      <c r="I583" s="25" t="str">
        <f aca="false">IF(H583="","",IF(H583&lt;=1,"Tramo 1",IF(H583&lt;=3,"Tramo 2",IF(H583&lt;=5,"Tramo 3","Tramo 4"))))</f>
        <v>Tramo 2</v>
      </c>
      <c r="J583" s="22" t="s">
        <v>2639</v>
      </c>
      <c r="K583" s="22"/>
      <c r="L583" s="22" t="s">
        <v>2640</v>
      </c>
      <c r="M583" s="26" t="s">
        <v>2641</v>
      </c>
      <c r="N583" s="22"/>
      <c r="O583" s="22" t="s">
        <v>63</v>
      </c>
      <c r="P583" s="25" t="str">
        <f aca="false">IF(OR(O583="",O583="Sin información"),"",IFERROR(INDEX(Listas!$B$2:$B$9,MATCH(O583,Listas!$A$2:$A$9,0)),""))</f>
        <v/>
      </c>
      <c r="Q583" s="25" t="str">
        <f aca="false">IF(OR(O583="",O583="Sin información"),"",IFERROR(INDEX(Listas!$C$2:$C$9,MATCH(O583,Listas!$A$2:$A$9,0)),""))</f>
        <v/>
      </c>
      <c r="R583" s="22"/>
      <c r="S583" s="22"/>
      <c r="T583" s="25" t="str">
        <f aca="false">IF(S583="","",IFERROR(INDEX(Empleadores!$B$2:$B$601,MATCH(S583,Empleadores!$A$2:$A$601,0)),"No encontrado"))</f>
        <v/>
      </c>
      <c r="U583" s="25" t="str">
        <f aca="false">IF(C583="","",IF(V583="","No",IF(Config!$C$4-V583&lt;=Config!$C$15,"Sí","No")))</f>
        <v>No</v>
      </c>
      <c r="V583" s="23"/>
      <c r="W583" s="22"/>
      <c r="X583" s="22"/>
      <c r="Y583" s="22"/>
      <c r="Z583" s="27"/>
      <c r="AA583" s="22"/>
      <c r="AB583" s="22"/>
    </row>
    <row r="584" customFormat="false" ht="15" hidden="false" customHeight="false" outlineLevel="0" collapsed="false">
      <c r="A584" s="22" t="n">
        <v>583</v>
      </c>
      <c r="B584" s="22" t="s">
        <v>2642</v>
      </c>
      <c r="C584" s="22" t="s">
        <v>2643</v>
      </c>
      <c r="D584" s="22" t="s">
        <v>138</v>
      </c>
      <c r="E584" s="22" t="s">
        <v>139</v>
      </c>
      <c r="F584" s="22" t="s">
        <v>106</v>
      </c>
      <c r="G584" s="23" t="n">
        <v>45657</v>
      </c>
      <c r="H584" s="24" t="n">
        <f aca="false">IF(G584="","",ROUND((Config!$C$4-G584)/365.25,2))</f>
        <v>1.75</v>
      </c>
      <c r="I584" s="25" t="str">
        <f aca="false">IF(H584="","",IF(H584&lt;=1,"Tramo 1",IF(H584&lt;=3,"Tramo 2",IF(H584&lt;=5,"Tramo 3","Tramo 4"))))</f>
        <v>Tramo 2</v>
      </c>
      <c r="J584" s="22" t="s">
        <v>166</v>
      </c>
      <c r="K584" s="22"/>
      <c r="L584" s="22" t="s">
        <v>2644</v>
      </c>
      <c r="M584" s="26" t="s">
        <v>2645</v>
      </c>
      <c r="N584" s="22"/>
      <c r="O584" s="22" t="s">
        <v>63</v>
      </c>
      <c r="P584" s="25" t="str">
        <f aca="false">IF(OR(O584="",O584="Sin información"),"",IFERROR(INDEX(Listas!$B$2:$B$9,MATCH(O584,Listas!$A$2:$A$9,0)),""))</f>
        <v/>
      </c>
      <c r="Q584" s="25" t="str">
        <f aca="false">IF(OR(O584="",O584="Sin información"),"",IFERROR(INDEX(Listas!$C$2:$C$9,MATCH(O584,Listas!$A$2:$A$9,0)),""))</f>
        <v/>
      </c>
      <c r="R584" s="22"/>
      <c r="S584" s="22"/>
      <c r="T584" s="25" t="str">
        <f aca="false">IF(S584="","",IFERROR(INDEX(Empleadores!$B$2:$B$601,MATCH(S584,Empleadores!$A$2:$A$601,0)),"No encontrado"))</f>
        <v/>
      </c>
      <c r="U584" s="25" t="str">
        <f aca="false">IF(C584="","",IF(V584="","No",IF(Config!$C$4-V584&lt;=Config!$C$15,"Sí","No")))</f>
        <v>No</v>
      </c>
      <c r="V584" s="23"/>
      <c r="W584" s="22"/>
      <c r="X584" s="22"/>
      <c r="Y584" s="22"/>
      <c r="Z584" s="27"/>
      <c r="AA584" s="22"/>
      <c r="AB584" s="22"/>
    </row>
    <row r="585" customFormat="false" ht="15" hidden="false" customHeight="false" outlineLevel="0" collapsed="false">
      <c r="A585" s="22" t="n">
        <v>584</v>
      </c>
      <c r="B585" s="22" t="s">
        <v>2646</v>
      </c>
      <c r="C585" s="22" t="s">
        <v>2647</v>
      </c>
      <c r="D585" s="22" t="s">
        <v>149</v>
      </c>
      <c r="E585" s="22" t="s">
        <v>139</v>
      </c>
      <c r="F585" s="22" t="s">
        <v>106</v>
      </c>
      <c r="G585" s="23" t="n">
        <v>45657</v>
      </c>
      <c r="H585" s="24" t="n">
        <f aca="false">IF(G585="","",ROUND((Config!$C$4-G585)/365.25,2))</f>
        <v>1.75</v>
      </c>
      <c r="I585" s="25" t="str">
        <f aca="false">IF(H585="","",IF(H585&lt;=1,"Tramo 1",IF(H585&lt;=3,"Tramo 2",IF(H585&lt;=5,"Tramo 3","Tramo 4"))))</f>
        <v>Tramo 2</v>
      </c>
      <c r="J585" s="22" t="s">
        <v>166</v>
      </c>
      <c r="K585" s="22"/>
      <c r="L585" s="22" t="s">
        <v>2648</v>
      </c>
      <c r="M585" s="26" t="s">
        <v>2649</v>
      </c>
      <c r="N585" s="22"/>
      <c r="O585" s="22" t="s">
        <v>90</v>
      </c>
      <c r="P585" s="25" t="str">
        <f aca="false">IF(OR(O585="",O585="Sin información"),"",IFERROR(INDEX(Listas!$B$2:$B$9,MATCH(O585,Listas!$A$2:$A$9,0)),""))</f>
        <v>No</v>
      </c>
      <c r="Q585" s="25" t="str">
        <f aca="false">IF(OR(O585="",O585="Sin información"),"",IFERROR(INDEX(Listas!$C$2:$C$9,MATCH(O585,Listas!$A$2:$A$9,0)),""))</f>
        <v>No</v>
      </c>
      <c r="R585" s="22"/>
      <c r="S585" s="22"/>
      <c r="T585" s="25" t="str">
        <f aca="false">IF(S585="","",IFERROR(INDEX(Empleadores!$B$2:$B$601,MATCH(S585,Empleadores!$A$2:$A$601,0)),"No encontrado"))</f>
        <v/>
      </c>
      <c r="U585" s="25" t="str">
        <f aca="false">IF(C585="","",IF(V585="","No",IF(Config!$C$4-V585&lt;=Config!$C$15,"Sí","No")))</f>
        <v>Sí</v>
      </c>
      <c r="V585" s="23" t="n">
        <v>45967</v>
      </c>
      <c r="W585" s="22"/>
      <c r="X585" s="22"/>
      <c r="Y585" s="22" t="s">
        <v>181</v>
      </c>
      <c r="Z585" s="27" t="s">
        <v>2650</v>
      </c>
      <c r="AA585" s="22"/>
      <c r="AB585" s="22" t="s">
        <v>183</v>
      </c>
    </row>
    <row r="586" customFormat="false" ht="15" hidden="false" customHeight="false" outlineLevel="0" collapsed="false">
      <c r="A586" s="22" t="n">
        <v>585</v>
      </c>
      <c r="B586" s="22" t="s">
        <v>2651</v>
      </c>
      <c r="C586" s="22" t="s">
        <v>2652</v>
      </c>
      <c r="D586" s="22" t="s">
        <v>149</v>
      </c>
      <c r="E586" s="22" t="s">
        <v>139</v>
      </c>
      <c r="F586" s="22" t="s">
        <v>106</v>
      </c>
      <c r="G586" s="23" t="n">
        <v>45657</v>
      </c>
      <c r="H586" s="24" t="n">
        <f aca="false">IF(G586="","",ROUND((Config!$C$4-G586)/365.25,2))</f>
        <v>1.75</v>
      </c>
      <c r="I586" s="25" t="str">
        <f aca="false">IF(H586="","",IF(H586&lt;=1,"Tramo 1",IF(H586&lt;=3,"Tramo 2",IF(H586&lt;=5,"Tramo 3","Tramo 4"))))</f>
        <v>Tramo 2</v>
      </c>
      <c r="J586" s="22" t="s">
        <v>140</v>
      </c>
      <c r="K586" s="22"/>
      <c r="L586" s="22" t="s">
        <v>2653</v>
      </c>
      <c r="M586" s="26" t="s">
        <v>2654</v>
      </c>
      <c r="N586" s="22"/>
      <c r="O586" s="22" t="s">
        <v>63</v>
      </c>
      <c r="P586" s="25" t="str">
        <f aca="false">IF(OR(O586="",O586="Sin información"),"",IFERROR(INDEX(Listas!$B$2:$B$9,MATCH(O586,Listas!$A$2:$A$9,0)),""))</f>
        <v/>
      </c>
      <c r="Q586" s="25" t="str">
        <f aca="false">IF(OR(O586="",O586="Sin información"),"",IFERROR(INDEX(Listas!$C$2:$C$9,MATCH(O586,Listas!$A$2:$A$9,0)),""))</f>
        <v/>
      </c>
      <c r="R586" s="22"/>
      <c r="S586" s="22"/>
      <c r="T586" s="25" t="str">
        <f aca="false">IF(S586="","",IFERROR(INDEX(Empleadores!$B$2:$B$601,MATCH(S586,Empleadores!$A$2:$A$601,0)),"No encontrado"))</f>
        <v/>
      </c>
      <c r="U586" s="25" t="str">
        <f aca="false">IF(C586="","",IF(V586="","No",IF(Config!$C$4-V586&lt;=Config!$C$15,"Sí","No")))</f>
        <v>No</v>
      </c>
      <c r="V586" s="23"/>
      <c r="W586" s="22"/>
      <c r="X586" s="22"/>
      <c r="Y586" s="22"/>
      <c r="Z586" s="27"/>
      <c r="AA586" s="22"/>
      <c r="AB586" s="22"/>
    </row>
    <row r="587" customFormat="false" ht="15" hidden="false" customHeight="false" outlineLevel="0" collapsed="false">
      <c r="A587" s="22" t="n">
        <v>586</v>
      </c>
      <c r="B587" s="22" t="s">
        <v>2655</v>
      </c>
      <c r="C587" s="22" t="s">
        <v>2656</v>
      </c>
      <c r="D587" s="22" t="s">
        <v>138</v>
      </c>
      <c r="E587" s="22" t="s">
        <v>139</v>
      </c>
      <c r="F587" s="22" t="s">
        <v>106</v>
      </c>
      <c r="G587" s="23" t="n">
        <v>45657</v>
      </c>
      <c r="H587" s="24" t="n">
        <f aca="false">IF(G587="","",ROUND((Config!$C$4-G587)/365.25,2))</f>
        <v>1.75</v>
      </c>
      <c r="I587" s="25" t="str">
        <f aca="false">IF(H587="","",IF(H587&lt;=1,"Tramo 1",IF(H587&lt;=3,"Tramo 2",IF(H587&lt;=5,"Tramo 3","Tramo 4"))))</f>
        <v>Tramo 2</v>
      </c>
      <c r="J587" s="22" t="s">
        <v>166</v>
      </c>
      <c r="K587" s="22"/>
      <c r="L587" s="22" t="s">
        <v>2657</v>
      </c>
      <c r="M587" s="26" t="s">
        <v>2658</v>
      </c>
      <c r="N587" s="22"/>
      <c r="O587" s="22" t="s">
        <v>63</v>
      </c>
      <c r="P587" s="25" t="str">
        <f aca="false">IF(OR(O587="",O587="Sin información"),"",IFERROR(INDEX(Listas!$B$2:$B$9,MATCH(O587,Listas!$A$2:$A$9,0)),""))</f>
        <v/>
      </c>
      <c r="Q587" s="25" t="str">
        <f aca="false">IF(OR(O587="",O587="Sin información"),"",IFERROR(INDEX(Listas!$C$2:$C$9,MATCH(O587,Listas!$A$2:$A$9,0)),""))</f>
        <v/>
      </c>
      <c r="R587" s="22"/>
      <c r="S587" s="22"/>
      <c r="T587" s="25" t="str">
        <f aca="false">IF(S587="","",IFERROR(INDEX(Empleadores!$B$2:$B$601,MATCH(S587,Empleadores!$A$2:$A$601,0)),"No encontrado"))</f>
        <v/>
      </c>
      <c r="U587" s="25" t="str">
        <f aca="false">IF(C587="","",IF(V587="","No",IF(Config!$C$4-V587&lt;=Config!$C$15,"Sí","No")))</f>
        <v>No</v>
      </c>
      <c r="V587" s="23"/>
      <c r="W587" s="22"/>
      <c r="X587" s="22"/>
      <c r="Y587" s="22"/>
      <c r="Z587" s="27"/>
      <c r="AA587" s="22"/>
      <c r="AB587" s="22"/>
    </row>
    <row r="588" customFormat="false" ht="15" hidden="false" customHeight="false" outlineLevel="0" collapsed="false">
      <c r="A588" s="22" t="n">
        <v>587</v>
      </c>
      <c r="B588" s="22" t="s">
        <v>2659</v>
      </c>
      <c r="C588" s="22" t="s">
        <v>2660</v>
      </c>
      <c r="D588" s="22" t="s">
        <v>149</v>
      </c>
      <c r="E588" s="22" t="s">
        <v>139</v>
      </c>
      <c r="F588" s="22" t="s">
        <v>106</v>
      </c>
      <c r="G588" s="23" t="n">
        <v>45657</v>
      </c>
      <c r="H588" s="24" t="n">
        <f aca="false">IF(G588="","",ROUND((Config!$C$4-G588)/365.25,2))</f>
        <v>1.75</v>
      </c>
      <c r="I588" s="25" t="str">
        <f aca="false">IF(H588="","",IF(H588&lt;=1,"Tramo 1",IF(H588&lt;=3,"Tramo 2",IF(H588&lt;=5,"Tramo 3","Tramo 4"))))</f>
        <v>Tramo 2</v>
      </c>
      <c r="J588" s="22" t="s">
        <v>2639</v>
      </c>
      <c r="K588" s="22"/>
      <c r="L588" s="22" t="s">
        <v>2661</v>
      </c>
      <c r="M588" s="26" t="s">
        <v>2662</v>
      </c>
      <c r="N588" s="22"/>
      <c r="O588" s="22" t="s">
        <v>63</v>
      </c>
      <c r="P588" s="25" t="str">
        <f aca="false">IF(OR(O588="",O588="Sin información"),"",IFERROR(INDEX(Listas!$B$2:$B$9,MATCH(O588,Listas!$A$2:$A$9,0)),""))</f>
        <v/>
      </c>
      <c r="Q588" s="25" t="str">
        <f aca="false">IF(OR(O588="",O588="Sin información"),"",IFERROR(INDEX(Listas!$C$2:$C$9,MATCH(O588,Listas!$A$2:$A$9,0)),""))</f>
        <v/>
      </c>
      <c r="R588" s="22"/>
      <c r="S588" s="22"/>
      <c r="T588" s="25" t="str">
        <f aca="false">IF(S588="","",IFERROR(INDEX(Empleadores!$B$2:$B$601,MATCH(S588,Empleadores!$A$2:$A$601,0)),"No encontrado"))</f>
        <v/>
      </c>
      <c r="U588" s="25" t="str">
        <f aca="false">IF(C588="","",IF(V588="","No",IF(Config!$C$4-V588&lt;=Config!$C$15,"Sí","No")))</f>
        <v>No</v>
      </c>
      <c r="V588" s="23"/>
      <c r="W588" s="22"/>
      <c r="X588" s="22"/>
      <c r="Y588" s="22"/>
      <c r="Z588" s="27"/>
      <c r="AA588" s="22"/>
      <c r="AB588" s="22"/>
    </row>
    <row r="589" customFormat="false" ht="15" hidden="false" customHeight="false" outlineLevel="0" collapsed="false">
      <c r="A589" s="22" t="n">
        <v>588</v>
      </c>
      <c r="B589" s="22" t="s">
        <v>2663</v>
      </c>
      <c r="C589" s="22" t="s">
        <v>2664</v>
      </c>
      <c r="D589" s="22" t="s">
        <v>138</v>
      </c>
      <c r="E589" s="22" t="s">
        <v>139</v>
      </c>
      <c r="F589" s="22" t="s">
        <v>106</v>
      </c>
      <c r="G589" s="23" t="n">
        <v>45657</v>
      </c>
      <c r="H589" s="24" t="n">
        <f aca="false">IF(G589="","",ROUND((Config!$C$4-G589)/365.25,2))</f>
        <v>1.75</v>
      </c>
      <c r="I589" s="25" t="str">
        <f aca="false">IF(H589="","",IF(H589&lt;=1,"Tramo 1",IF(H589&lt;=3,"Tramo 2",IF(H589&lt;=5,"Tramo 3","Tramo 4"))))</f>
        <v>Tramo 2</v>
      </c>
      <c r="J589" s="22" t="s">
        <v>166</v>
      </c>
      <c r="K589" s="22"/>
      <c r="L589" s="22" t="s">
        <v>2665</v>
      </c>
      <c r="M589" s="26" t="s">
        <v>2666</v>
      </c>
      <c r="N589" s="22"/>
      <c r="O589" s="22" t="s">
        <v>90</v>
      </c>
      <c r="P589" s="25" t="str">
        <f aca="false">IF(OR(O589="",O589="Sin información"),"",IFERROR(INDEX(Listas!$B$2:$B$9,MATCH(O589,Listas!$A$2:$A$9,0)),""))</f>
        <v>No</v>
      </c>
      <c r="Q589" s="25" t="str">
        <f aca="false">IF(OR(O589="",O589="Sin información"),"",IFERROR(INDEX(Listas!$C$2:$C$9,MATCH(O589,Listas!$A$2:$A$9,0)),""))</f>
        <v>No</v>
      </c>
      <c r="R589" s="22"/>
      <c r="S589" s="22"/>
      <c r="T589" s="25" t="str">
        <f aca="false">IF(S589="","",IFERROR(INDEX(Empleadores!$B$2:$B$601,MATCH(S589,Empleadores!$A$2:$A$601,0)),"No encontrado"))</f>
        <v/>
      </c>
      <c r="U589" s="25" t="str">
        <f aca="false">IF(C589="","",IF(V589="","No",IF(Config!$C$4-V589&lt;=Config!$C$15,"Sí","No")))</f>
        <v>Sí</v>
      </c>
      <c r="V589" s="23" t="n">
        <v>45967</v>
      </c>
      <c r="W589" s="22"/>
      <c r="X589" s="22"/>
      <c r="Y589" s="22" t="s">
        <v>181</v>
      </c>
      <c r="Z589" s="27" t="s">
        <v>2650</v>
      </c>
      <c r="AA589" s="22" t="s">
        <v>2594</v>
      </c>
      <c r="AB589" s="22" t="s">
        <v>2667</v>
      </c>
    </row>
    <row r="590" customFormat="false" ht="15" hidden="false" customHeight="false" outlineLevel="0" collapsed="false">
      <c r="A590" s="22" t="n">
        <v>589</v>
      </c>
      <c r="B590" s="22" t="s">
        <v>2668</v>
      </c>
      <c r="C590" s="22" t="s">
        <v>2669</v>
      </c>
      <c r="D590" s="22" t="s">
        <v>138</v>
      </c>
      <c r="E590" s="22" t="s">
        <v>139</v>
      </c>
      <c r="F590" s="22" t="s">
        <v>106</v>
      </c>
      <c r="G590" s="23" t="n">
        <v>45657</v>
      </c>
      <c r="H590" s="24" t="n">
        <f aca="false">IF(G590="","",ROUND((Config!$C$4-G590)/365.25,2))</f>
        <v>1.75</v>
      </c>
      <c r="I590" s="25" t="str">
        <f aca="false">IF(H590="","",IF(H590&lt;=1,"Tramo 1",IF(H590&lt;=3,"Tramo 2",IF(H590&lt;=5,"Tramo 3","Tramo 4"))))</f>
        <v>Tramo 2</v>
      </c>
      <c r="J590" s="22" t="s">
        <v>166</v>
      </c>
      <c r="K590" s="22"/>
      <c r="L590" s="22" t="s">
        <v>2670</v>
      </c>
      <c r="M590" s="26" t="s">
        <v>2671</v>
      </c>
      <c r="N590" s="22"/>
      <c r="O590" s="22" t="s">
        <v>63</v>
      </c>
      <c r="P590" s="25" t="str">
        <f aca="false">IF(OR(O590="",O590="Sin información"),"",IFERROR(INDEX(Listas!$B$2:$B$9,MATCH(O590,Listas!$A$2:$A$9,0)),""))</f>
        <v/>
      </c>
      <c r="Q590" s="25" t="str">
        <f aca="false">IF(OR(O590="",O590="Sin información"),"",IFERROR(INDEX(Listas!$C$2:$C$9,MATCH(O590,Listas!$A$2:$A$9,0)),""))</f>
        <v/>
      </c>
      <c r="R590" s="22"/>
      <c r="S590" s="22"/>
      <c r="T590" s="25" t="str">
        <f aca="false">IF(S590="","",IFERROR(INDEX(Empleadores!$B$2:$B$601,MATCH(S590,Empleadores!$A$2:$A$601,0)),"No encontrado"))</f>
        <v/>
      </c>
      <c r="U590" s="25" t="str">
        <f aca="false">IF(C590="","",IF(V590="","No",IF(Config!$C$4-V590&lt;=Config!$C$15,"Sí","No")))</f>
        <v>No</v>
      </c>
      <c r="V590" s="23"/>
      <c r="W590" s="22"/>
      <c r="X590" s="22"/>
      <c r="Y590" s="22"/>
      <c r="Z590" s="27"/>
      <c r="AA590" s="22"/>
      <c r="AB590" s="22"/>
    </row>
    <row r="591" customFormat="false" ht="15" hidden="false" customHeight="false" outlineLevel="0" collapsed="false">
      <c r="A591" s="22" t="n">
        <v>590</v>
      </c>
      <c r="B591" s="22" t="s">
        <v>2672</v>
      </c>
      <c r="C591" s="22" t="s">
        <v>2673</v>
      </c>
      <c r="D591" s="22" t="s">
        <v>149</v>
      </c>
      <c r="E591" s="22" t="s">
        <v>139</v>
      </c>
      <c r="F591" s="22" t="s">
        <v>106</v>
      </c>
      <c r="G591" s="23" t="n">
        <v>45657</v>
      </c>
      <c r="H591" s="24" t="n">
        <f aca="false">IF(G591="","",ROUND((Config!$C$4-G591)/365.25,2))</f>
        <v>1.75</v>
      </c>
      <c r="I591" s="25" t="str">
        <f aca="false">IF(H591="","",IF(H591&lt;=1,"Tramo 1",IF(H591&lt;=3,"Tramo 2",IF(H591&lt;=5,"Tramo 3","Tramo 4"))))</f>
        <v>Tramo 2</v>
      </c>
      <c r="J591" s="22" t="s">
        <v>140</v>
      </c>
      <c r="K591" s="22"/>
      <c r="L591" s="22" t="s">
        <v>2674</v>
      </c>
      <c r="M591" s="26" t="s">
        <v>2675</v>
      </c>
      <c r="N591" s="22"/>
      <c r="O591" s="22" t="s">
        <v>63</v>
      </c>
      <c r="P591" s="25" t="str">
        <f aca="false">IF(OR(O591="",O591="Sin información"),"",IFERROR(INDEX(Listas!$B$2:$B$9,MATCH(O591,Listas!$A$2:$A$9,0)),""))</f>
        <v/>
      </c>
      <c r="Q591" s="25" t="str">
        <f aca="false">IF(OR(O591="",O591="Sin información"),"",IFERROR(INDEX(Listas!$C$2:$C$9,MATCH(O591,Listas!$A$2:$A$9,0)),""))</f>
        <v/>
      </c>
      <c r="R591" s="22"/>
      <c r="S591" s="22"/>
      <c r="T591" s="25" t="str">
        <f aca="false">IF(S591="","",IFERROR(INDEX(Empleadores!$B$2:$B$601,MATCH(S591,Empleadores!$A$2:$A$601,0)),"No encontrado"))</f>
        <v/>
      </c>
      <c r="U591" s="25" t="str">
        <f aca="false">IF(C591="","",IF(V591="","No",IF(Config!$C$4-V591&lt;=Config!$C$15,"Sí","No")))</f>
        <v>No</v>
      </c>
      <c r="V591" s="23"/>
      <c r="W591" s="22"/>
      <c r="X591" s="22"/>
      <c r="Y591" s="22"/>
      <c r="Z591" s="27"/>
      <c r="AA591" s="22"/>
      <c r="AB591" s="22"/>
    </row>
    <row r="592" customFormat="false" ht="15" hidden="false" customHeight="false" outlineLevel="0" collapsed="false">
      <c r="A592" s="22" t="n">
        <v>591</v>
      </c>
      <c r="B592" s="22" t="s">
        <v>2676</v>
      </c>
      <c r="C592" s="22" t="s">
        <v>2677</v>
      </c>
      <c r="D592" s="22" t="s">
        <v>138</v>
      </c>
      <c r="E592" s="22" t="s">
        <v>139</v>
      </c>
      <c r="F592" s="22" t="s">
        <v>106</v>
      </c>
      <c r="G592" s="23" t="n">
        <v>45657</v>
      </c>
      <c r="H592" s="24" t="n">
        <f aca="false">IF(G592="","",ROUND((Config!$C$4-G592)/365.25,2))</f>
        <v>1.75</v>
      </c>
      <c r="I592" s="25" t="str">
        <f aca="false">IF(H592="","",IF(H592&lt;=1,"Tramo 1",IF(H592&lt;=3,"Tramo 2",IF(H592&lt;=5,"Tramo 3","Tramo 4"))))</f>
        <v>Tramo 2</v>
      </c>
      <c r="J592" s="22" t="s">
        <v>166</v>
      </c>
      <c r="K592" s="22"/>
      <c r="L592" s="22" t="s">
        <v>2678</v>
      </c>
      <c r="M592" s="26" t="s">
        <v>2679</v>
      </c>
      <c r="N592" s="22"/>
      <c r="O592" s="22" t="s">
        <v>90</v>
      </c>
      <c r="P592" s="25" t="str">
        <f aca="false">IF(OR(O592="",O592="Sin información"),"",IFERROR(INDEX(Listas!$B$2:$B$9,MATCH(O592,Listas!$A$2:$A$9,0)),""))</f>
        <v>No</v>
      </c>
      <c r="Q592" s="25" t="str">
        <f aca="false">IF(OR(O592="",O592="Sin información"),"",IFERROR(INDEX(Listas!$C$2:$C$9,MATCH(O592,Listas!$A$2:$A$9,0)),""))</f>
        <v>No</v>
      </c>
      <c r="R592" s="22"/>
      <c r="S592" s="22"/>
      <c r="T592" s="25" t="str">
        <f aca="false">IF(S592="","",IFERROR(INDEX(Empleadores!$B$2:$B$601,MATCH(S592,Empleadores!$A$2:$A$601,0)),"No encontrado"))</f>
        <v/>
      </c>
      <c r="U592" s="25" t="str">
        <f aca="false">IF(C592="","",IF(V592="","No",IF(Config!$C$4-V592&lt;=Config!$C$15,"Sí","No")))</f>
        <v>Sí</v>
      </c>
      <c r="V592" s="23" t="n">
        <v>45970</v>
      </c>
      <c r="W592" s="22"/>
      <c r="X592" s="22"/>
      <c r="Y592" s="22" t="s">
        <v>181</v>
      </c>
      <c r="Z592" s="27" t="s">
        <v>2650</v>
      </c>
      <c r="AA592" s="22"/>
      <c r="AB592" s="22" t="s">
        <v>183</v>
      </c>
    </row>
    <row r="593" customFormat="false" ht="15" hidden="false" customHeight="false" outlineLevel="0" collapsed="false">
      <c r="A593" s="22" t="n">
        <v>592</v>
      </c>
      <c r="B593" s="22" t="s">
        <v>2680</v>
      </c>
      <c r="C593" s="22" t="s">
        <v>2681</v>
      </c>
      <c r="D593" s="22" t="s">
        <v>149</v>
      </c>
      <c r="E593" s="22" t="s">
        <v>139</v>
      </c>
      <c r="F593" s="22" t="s">
        <v>106</v>
      </c>
      <c r="G593" s="23" t="n">
        <v>45657</v>
      </c>
      <c r="H593" s="24" t="n">
        <f aca="false">IF(G593="","",ROUND((Config!$C$4-G593)/365.25,2))</f>
        <v>1.75</v>
      </c>
      <c r="I593" s="25" t="str">
        <f aca="false">IF(H593="","",IF(H593&lt;=1,"Tramo 1",IF(H593&lt;=3,"Tramo 2",IF(H593&lt;=5,"Tramo 3","Tramo 4"))))</f>
        <v>Tramo 2</v>
      </c>
      <c r="J593" s="22" t="s">
        <v>166</v>
      </c>
      <c r="K593" s="22"/>
      <c r="L593" s="22" t="s">
        <v>2682</v>
      </c>
      <c r="M593" s="26" t="s">
        <v>2683</v>
      </c>
      <c r="N593" s="22"/>
      <c r="O593" s="22" t="s">
        <v>63</v>
      </c>
      <c r="P593" s="25" t="str">
        <f aca="false">IF(OR(O593="",O593="Sin información"),"",IFERROR(INDEX(Listas!$B$2:$B$9,MATCH(O593,Listas!$A$2:$A$9,0)),""))</f>
        <v/>
      </c>
      <c r="Q593" s="25" t="str">
        <f aca="false">IF(OR(O593="",O593="Sin información"),"",IFERROR(INDEX(Listas!$C$2:$C$9,MATCH(O593,Listas!$A$2:$A$9,0)),""))</f>
        <v/>
      </c>
      <c r="R593" s="22"/>
      <c r="S593" s="22"/>
      <c r="T593" s="25" t="str">
        <f aca="false">IF(S593="","",IFERROR(INDEX(Empleadores!$B$2:$B$601,MATCH(S593,Empleadores!$A$2:$A$601,0)),"No encontrado"))</f>
        <v/>
      </c>
      <c r="U593" s="25" t="str">
        <f aca="false">IF(C593="","",IF(V593="","No",IF(Config!$C$4-V593&lt;=Config!$C$15,"Sí","No")))</f>
        <v>Sí</v>
      </c>
      <c r="V593" s="23" t="n">
        <v>45960</v>
      </c>
      <c r="W593" s="22"/>
      <c r="X593" s="22"/>
      <c r="Y593" s="22" t="s">
        <v>181</v>
      </c>
      <c r="Z593" s="27"/>
      <c r="AA593" s="22"/>
      <c r="AB593" s="22" t="s">
        <v>183</v>
      </c>
    </row>
    <row r="594" customFormat="false" ht="15" hidden="false" customHeight="false" outlineLevel="0" collapsed="false">
      <c r="A594" s="22" t="n">
        <v>593</v>
      </c>
      <c r="B594" s="22" t="s">
        <v>2684</v>
      </c>
      <c r="C594" s="22" t="s">
        <v>2685</v>
      </c>
      <c r="D594" s="22" t="s">
        <v>149</v>
      </c>
      <c r="E594" s="22" t="s">
        <v>139</v>
      </c>
      <c r="F594" s="22" t="s">
        <v>106</v>
      </c>
      <c r="G594" s="23" t="n">
        <v>45657</v>
      </c>
      <c r="H594" s="24" t="n">
        <f aca="false">IF(G594="","",ROUND((Config!$C$4-G594)/365.25,2))</f>
        <v>1.75</v>
      </c>
      <c r="I594" s="25" t="str">
        <f aca="false">IF(H594="","",IF(H594&lt;=1,"Tramo 1",IF(H594&lt;=3,"Tramo 2",IF(H594&lt;=5,"Tramo 3","Tramo 4"))))</f>
        <v>Tramo 2</v>
      </c>
      <c r="J594" s="22" t="s">
        <v>166</v>
      </c>
      <c r="K594" s="22"/>
      <c r="L594" s="22" t="s">
        <v>2686</v>
      </c>
      <c r="M594" s="26" t="s">
        <v>2687</v>
      </c>
      <c r="N594" s="22"/>
      <c r="O594" s="22" t="s">
        <v>63</v>
      </c>
      <c r="P594" s="25" t="str">
        <f aca="false">IF(OR(O594="",O594="Sin información"),"",IFERROR(INDEX(Listas!$B$2:$B$9,MATCH(O594,Listas!$A$2:$A$9,0)),""))</f>
        <v/>
      </c>
      <c r="Q594" s="25" t="str">
        <f aca="false">IF(OR(O594="",O594="Sin información"),"",IFERROR(INDEX(Listas!$C$2:$C$9,MATCH(O594,Listas!$A$2:$A$9,0)),""))</f>
        <v/>
      </c>
      <c r="R594" s="22"/>
      <c r="S594" s="22"/>
      <c r="T594" s="25" t="str">
        <f aca="false">IF(S594="","",IFERROR(INDEX(Empleadores!$B$2:$B$601,MATCH(S594,Empleadores!$A$2:$A$601,0)),"No encontrado"))</f>
        <v/>
      </c>
      <c r="U594" s="25" t="str">
        <f aca="false">IF(C594="","",IF(V594="","No",IF(Config!$C$4-V594&lt;=Config!$C$15,"Sí","No")))</f>
        <v>No</v>
      </c>
      <c r="V594" s="23"/>
      <c r="W594" s="22"/>
      <c r="X594" s="22"/>
      <c r="Y594" s="22"/>
      <c r="Z594" s="27"/>
      <c r="AA594" s="22" t="s">
        <v>2688</v>
      </c>
      <c r="AB594" s="22" t="s">
        <v>1691</v>
      </c>
    </row>
    <row r="595" customFormat="false" ht="15" hidden="false" customHeight="false" outlineLevel="0" collapsed="false">
      <c r="A595" s="22" t="n">
        <v>594</v>
      </c>
      <c r="B595" s="22" t="s">
        <v>2689</v>
      </c>
      <c r="C595" s="22" t="s">
        <v>2690</v>
      </c>
      <c r="D595" s="22" t="s">
        <v>138</v>
      </c>
      <c r="E595" s="22" t="s">
        <v>139</v>
      </c>
      <c r="F595" s="22" t="s">
        <v>106</v>
      </c>
      <c r="G595" s="23" t="n">
        <v>45657</v>
      </c>
      <c r="H595" s="24" t="n">
        <f aca="false">IF(G595="","",ROUND((Config!$C$4-G595)/365.25,2))</f>
        <v>1.75</v>
      </c>
      <c r="I595" s="25" t="str">
        <f aca="false">IF(H595="","",IF(H595&lt;=1,"Tramo 1",IF(H595&lt;=3,"Tramo 2",IF(H595&lt;=5,"Tramo 3","Tramo 4"))))</f>
        <v>Tramo 2</v>
      </c>
      <c r="J595" s="22" t="s">
        <v>166</v>
      </c>
      <c r="K595" s="22"/>
      <c r="L595" s="22" t="s">
        <v>2691</v>
      </c>
      <c r="M595" s="26" t="s">
        <v>2692</v>
      </c>
      <c r="N595" s="22"/>
      <c r="O595" s="22" t="s">
        <v>63</v>
      </c>
      <c r="P595" s="25" t="str">
        <f aca="false">IF(OR(O595="",O595="Sin información"),"",IFERROR(INDEX(Listas!$B$2:$B$9,MATCH(O595,Listas!$A$2:$A$9,0)),""))</f>
        <v/>
      </c>
      <c r="Q595" s="25" t="str">
        <f aca="false">IF(OR(O595="",O595="Sin información"),"",IFERROR(INDEX(Listas!$C$2:$C$9,MATCH(O595,Listas!$A$2:$A$9,0)),""))</f>
        <v/>
      </c>
      <c r="R595" s="22"/>
      <c r="S595" s="22"/>
      <c r="T595" s="25" t="str">
        <f aca="false">IF(S595="","",IFERROR(INDEX(Empleadores!$B$2:$B$601,MATCH(S595,Empleadores!$A$2:$A$601,0)),"No encontrado"))</f>
        <v/>
      </c>
      <c r="U595" s="25" t="str">
        <f aca="false">IF(C595="","",IF(V595="","No",IF(Config!$C$4-V595&lt;=Config!$C$15,"Sí","No")))</f>
        <v>No</v>
      </c>
      <c r="V595" s="23"/>
      <c r="W595" s="22"/>
      <c r="X595" s="22"/>
      <c r="Y595" s="22"/>
      <c r="Z595" s="27"/>
      <c r="AA595" s="22"/>
      <c r="AB595" s="22"/>
    </row>
    <row r="596" customFormat="false" ht="15" hidden="false" customHeight="false" outlineLevel="0" collapsed="false">
      <c r="A596" s="22" t="n">
        <v>595</v>
      </c>
      <c r="B596" s="22" t="s">
        <v>2693</v>
      </c>
      <c r="C596" s="22" t="s">
        <v>2694</v>
      </c>
      <c r="D596" s="22" t="s">
        <v>149</v>
      </c>
      <c r="E596" s="22" t="s">
        <v>139</v>
      </c>
      <c r="F596" s="22" t="s">
        <v>106</v>
      </c>
      <c r="G596" s="23" t="n">
        <v>45657</v>
      </c>
      <c r="H596" s="24" t="n">
        <f aca="false">IF(G596="","",ROUND((Config!$C$4-G596)/365.25,2))</f>
        <v>1.75</v>
      </c>
      <c r="I596" s="25" t="str">
        <f aca="false">IF(H596="","",IF(H596&lt;=1,"Tramo 1",IF(H596&lt;=3,"Tramo 2",IF(H596&lt;=5,"Tramo 3","Tramo 4"))))</f>
        <v>Tramo 2</v>
      </c>
      <c r="J596" s="22" t="s">
        <v>166</v>
      </c>
      <c r="K596" s="22"/>
      <c r="L596" s="22" t="s">
        <v>2695</v>
      </c>
      <c r="M596" s="26" t="s">
        <v>2696</v>
      </c>
      <c r="N596" s="22"/>
      <c r="O596" s="22" t="s">
        <v>63</v>
      </c>
      <c r="P596" s="25" t="str">
        <f aca="false">IF(OR(O596="",O596="Sin información"),"",IFERROR(INDEX(Listas!$B$2:$B$9,MATCH(O596,Listas!$A$2:$A$9,0)),""))</f>
        <v/>
      </c>
      <c r="Q596" s="25" t="str">
        <f aca="false">IF(OR(O596="",O596="Sin información"),"",IFERROR(INDEX(Listas!$C$2:$C$9,MATCH(O596,Listas!$A$2:$A$9,0)),""))</f>
        <v/>
      </c>
      <c r="R596" s="22"/>
      <c r="S596" s="22"/>
      <c r="T596" s="25" t="str">
        <f aca="false">IF(S596="","",IFERROR(INDEX(Empleadores!$B$2:$B$601,MATCH(S596,Empleadores!$A$2:$A$601,0)),"No encontrado"))</f>
        <v/>
      </c>
      <c r="U596" s="25" t="str">
        <f aca="false">IF(C596="","",IF(V596="","No",IF(Config!$C$4-V596&lt;=Config!$C$15,"Sí","No")))</f>
        <v>No</v>
      </c>
      <c r="V596" s="23"/>
      <c r="W596" s="22"/>
      <c r="X596" s="22"/>
      <c r="Y596" s="22"/>
      <c r="Z596" s="27"/>
      <c r="AA596" s="22"/>
      <c r="AB596" s="22"/>
    </row>
    <row r="597" customFormat="false" ht="15" hidden="false" customHeight="false" outlineLevel="0" collapsed="false">
      <c r="A597" s="22" t="n">
        <v>596</v>
      </c>
      <c r="B597" s="22" t="s">
        <v>2697</v>
      </c>
      <c r="C597" s="22" t="s">
        <v>2698</v>
      </c>
      <c r="D597" s="22" t="s">
        <v>138</v>
      </c>
      <c r="E597" s="22" t="s">
        <v>139</v>
      </c>
      <c r="F597" s="22" t="s">
        <v>106</v>
      </c>
      <c r="G597" s="23" t="n">
        <v>45657</v>
      </c>
      <c r="H597" s="24" t="n">
        <f aca="false">IF(G597="","",ROUND((Config!$C$4-G597)/365.25,2))</f>
        <v>1.75</v>
      </c>
      <c r="I597" s="25" t="str">
        <f aca="false">IF(H597="","",IF(H597&lt;=1,"Tramo 1",IF(H597&lt;=3,"Tramo 2",IF(H597&lt;=5,"Tramo 3","Tramo 4"))))</f>
        <v>Tramo 2</v>
      </c>
      <c r="J597" s="22" t="s">
        <v>166</v>
      </c>
      <c r="K597" s="22"/>
      <c r="L597" s="22" t="s">
        <v>2699</v>
      </c>
      <c r="M597" s="26" t="s">
        <v>2700</v>
      </c>
      <c r="N597" s="22"/>
      <c r="O597" s="22" t="s">
        <v>90</v>
      </c>
      <c r="P597" s="25" t="str">
        <f aca="false">IF(OR(O597="",O597="Sin información"),"",IFERROR(INDEX(Listas!$B$2:$B$9,MATCH(O597,Listas!$A$2:$A$9,0)),""))</f>
        <v>No</v>
      </c>
      <c r="Q597" s="25" t="str">
        <f aca="false">IF(OR(O597="",O597="Sin información"),"",IFERROR(INDEX(Listas!$C$2:$C$9,MATCH(O597,Listas!$A$2:$A$9,0)),""))</f>
        <v>No</v>
      </c>
      <c r="R597" s="22"/>
      <c r="S597" s="22"/>
      <c r="T597" s="25" t="str">
        <f aca="false">IF(S597="","",IFERROR(INDEX(Empleadores!$B$2:$B$601,MATCH(S597,Empleadores!$A$2:$A$601,0)),"No encontrado"))</f>
        <v/>
      </c>
      <c r="U597" s="25" t="str">
        <f aca="false">IF(C597="","",IF(V597="","No",IF(Config!$C$4-V597&lt;=Config!$C$15,"Sí","No")))</f>
        <v>Sí</v>
      </c>
      <c r="V597" s="23" t="n">
        <v>45967</v>
      </c>
      <c r="W597" s="22"/>
      <c r="X597" s="22"/>
      <c r="Y597" s="22" t="s">
        <v>181</v>
      </c>
      <c r="Z597" s="27" t="s">
        <v>2650</v>
      </c>
      <c r="AA597" s="22"/>
      <c r="AB597" s="22" t="s">
        <v>183</v>
      </c>
    </row>
    <row r="598" customFormat="false" ht="15" hidden="false" customHeight="false" outlineLevel="0" collapsed="false">
      <c r="A598" s="22" t="n">
        <v>597</v>
      </c>
      <c r="B598" s="22" t="s">
        <v>2701</v>
      </c>
      <c r="C598" s="22" t="s">
        <v>2702</v>
      </c>
      <c r="D598" s="22" t="s">
        <v>138</v>
      </c>
      <c r="E598" s="22" t="s">
        <v>139</v>
      </c>
      <c r="F598" s="22" t="s">
        <v>106</v>
      </c>
      <c r="G598" s="23" t="n">
        <v>45657</v>
      </c>
      <c r="H598" s="24" t="n">
        <f aca="false">IF(G598="","",ROUND((Config!$C$4-G598)/365.25,2))</f>
        <v>1.75</v>
      </c>
      <c r="I598" s="25" t="str">
        <f aca="false">IF(H598="","",IF(H598&lt;=1,"Tramo 1",IF(H598&lt;=3,"Tramo 2",IF(H598&lt;=5,"Tramo 3","Tramo 4"))))</f>
        <v>Tramo 2</v>
      </c>
      <c r="J598" s="22" t="s">
        <v>166</v>
      </c>
      <c r="K598" s="22"/>
      <c r="L598" s="22" t="s">
        <v>2703</v>
      </c>
      <c r="M598" s="26" t="s">
        <v>2704</v>
      </c>
      <c r="N598" s="22"/>
      <c r="O598" s="22" t="s">
        <v>63</v>
      </c>
      <c r="P598" s="25" t="str">
        <f aca="false">IF(OR(O598="",O598="Sin información"),"",IFERROR(INDEX(Listas!$B$2:$B$9,MATCH(O598,Listas!$A$2:$A$9,0)),""))</f>
        <v/>
      </c>
      <c r="Q598" s="25" t="str">
        <f aca="false">IF(OR(O598="",O598="Sin información"),"",IFERROR(INDEX(Listas!$C$2:$C$9,MATCH(O598,Listas!$A$2:$A$9,0)),""))</f>
        <v/>
      </c>
      <c r="R598" s="22"/>
      <c r="S598" s="22"/>
      <c r="T598" s="25" t="str">
        <f aca="false">IF(S598="","",IFERROR(INDEX(Empleadores!$B$2:$B$601,MATCH(S598,Empleadores!$A$2:$A$601,0)),"No encontrado"))</f>
        <v/>
      </c>
      <c r="U598" s="25" t="str">
        <f aca="false">IF(C598="","",IF(V598="","No",IF(Config!$C$4-V598&lt;=Config!$C$15,"Sí","No")))</f>
        <v>No</v>
      </c>
      <c r="V598" s="23"/>
      <c r="W598" s="22"/>
      <c r="X598" s="22"/>
      <c r="Y598" s="22"/>
      <c r="Z598" s="27"/>
      <c r="AA598" s="22"/>
      <c r="AB598" s="22"/>
    </row>
    <row r="599" customFormat="false" ht="15" hidden="false" customHeight="false" outlineLevel="0" collapsed="false">
      <c r="A599" s="22" t="n">
        <v>598</v>
      </c>
      <c r="B599" s="22" t="s">
        <v>2705</v>
      </c>
      <c r="C599" s="22" t="s">
        <v>2706</v>
      </c>
      <c r="D599" s="22" t="s">
        <v>138</v>
      </c>
      <c r="E599" s="22" t="s">
        <v>139</v>
      </c>
      <c r="F599" s="22" t="s">
        <v>106</v>
      </c>
      <c r="G599" s="23" t="n">
        <v>45657</v>
      </c>
      <c r="H599" s="24" t="n">
        <f aca="false">IF(G599="","",ROUND((Config!$C$4-G599)/365.25,2))</f>
        <v>1.75</v>
      </c>
      <c r="I599" s="25" t="str">
        <f aca="false">IF(H599="","",IF(H599&lt;=1,"Tramo 1",IF(H599&lt;=3,"Tramo 2",IF(H599&lt;=5,"Tramo 3","Tramo 4"))))</f>
        <v>Tramo 2</v>
      </c>
      <c r="J599" s="22" t="s">
        <v>166</v>
      </c>
      <c r="K599" s="22"/>
      <c r="L599" s="22" t="s">
        <v>2707</v>
      </c>
      <c r="M599" s="26" t="s">
        <v>2708</v>
      </c>
      <c r="N599" s="22"/>
      <c r="O599" s="22" t="s">
        <v>63</v>
      </c>
      <c r="P599" s="25" t="str">
        <f aca="false">IF(OR(O599="",O599="Sin información"),"",IFERROR(INDEX(Listas!$B$2:$B$9,MATCH(O599,Listas!$A$2:$A$9,0)),""))</f>
        <v/>
      </c>
      <c r="Q599" s="25" t="str">
        <f aca="false">IF(OR(O599="",O599="Sin información"),"",IFERROR(INDEX(Listas!$C$2:$C$9,MATCH(O599,Listas!$A$2:$A$9,0)),""))</f>
        <v/>
      </c>
      <c r="R599" s="22"/>
      <c r="S599" s="22"/>
      <c r="T599" s="25" t="str">
        <f aca="false">IF(S599="","",IFERROR(INDEX(Empleadores!$B$2:$B$601,MATCH(S599,Empleadores!$A$2:$A$601,0)),"No encontrado"))</f>
        <v/>
      </c>
      <c r="U599" s="25" t="str">
        <f aca="false">IF(C599="","",IF(V599="","No",IF(Config!$C$4-V599&lt;=Config!$C$15,"Sí","No")))</f>
        <v>No</v>
      </c>
      <c r="V599" s="23"/>
      <c r="W599" s="22"/>
      <c r="X599" s="22"/>
      <c r="Y599" s="22"/>
      <c r="Z599" s="27"/>
      <c r="AA599" s="22"/>
      <c r="AB599" s="22"/>
    </row>
    <row r="600" customFormat="false" ht="15" hidden="false" customHeight="false" outlineLevel="0" collapsed="false">
      <c r="A600" s="22" t="n">
        <v>599</v>
      </c>
      <c r="B600" s="22" t="s">
        <v>2709</v>
      </c>
      <c r="C600" s="22" t="s">
        <v>2710</v>
      </c>
      <c r="D600" s="22" t="s">
        <v>149</v>
      </c>
      <c r="E600" s="22" t="s">
        <v>139</v>
      </c>
      <c r="F600" s="22" t="s">
        <v>106</v>
      </c>
      <c r="G600" s="23" t="n">
        <v>45657</v>
      </c>
      <c r="H600" s="24" t="n">
        <f aca="false">IF(G600="","",ROUND((Config!$C$4-G600)/365.25,2))</f>
        <v>1.75</v>
      </c>
      <c r="I600" s="25" t="str">
        <f aca="false">IF(H600="","",IF(H600&lt;=1,"Tramo 1",IF(H600&lt;=3,"Tramo 2",IF(H600&lt;=5,"Tramo 3","Tramo 4"))))</f>
        <v>Tramo 2</v>
      </c>
      <c r="J600" s="22" t="s">
        <v>166</v>
      </c>
      <c r="K600" s="22"/>
      <c r="L600" s="22" t="s">
        <v>2711</v>
      </c>
      <c r="M600" s="26" t="s">
        <v>2712</v>
      </c>
      <c r="N600" s="22"/>
      <c r="O600" s="22" t="s">
        <v>63</v>
      </c>
      <c r="P600" s="25" t="str">
        <f aca="false">IF(OR(O600="",O600="Sin información"),"",IFERROR(INDEX(Listas!$B$2:$B$9,MATCH(O600,Listas!$A$2:$A$9,0)),""))</f>
        <v/>
      </c>
      <c r="Q600" s="25" t="str">
        <f aca="false">IF(OR(O600="",O600="Sin información"),"",IFERROR(INDEX(Listas!$C$2:$C$9,MATCH(O600,Listas!$A$2:$A$9,0)),""))</f>
        <v/>
      </c>
      <c r="R600" s="22"/>
      <c r="S600" s="22"/>
      <c r="T600" s="25" t="str">
        <f aca="false">IF(S600="","",IFERROR(INDEX(Empleadores!$B$2:$B$601,MATCH(S600,Empleadores!$A$2:$A$601,0)),"No encontrado"))</f>
        <v/>
      </c>
      <c r="U600" s="25" t="str">
        <f aca="false">IF(C600="","",IF(V600="","No",IF(Config!$C$4-V600&lt;=Config!$C$15,"Sí","No")))</f>
        <v>Sí</v>
      </c>
      <c r="V600" s="23" t="n">
        <v>45960</v>
      </c>
      <c r="W600" s="22"/>
      <c r="X600" s="22"/>
      <c r="Y600" s="22" t="s">
        <v>181</v>
      </c>
      <c r="Z600" s="27"/>
      <c r="AA600" s="22"/>
      <c r="AB600" s="22" t="s">
        <v>183</v>
      </c>
    </row>
    <row r="601" customFormat="false" ht="15" hidden="false" customHeight="false" outlineLevel="0" collapsed="false">
      <c r="A601" s="22" t="n">
        <v>600</v>
      </c>
      <c r="B601" s="22" t="s">
        <v>2713</v>
      </c>
      <c r="C601" s="22" t="s">
        <v>2714</v>
      </c>
      <c r="D601" s="22" t="s">
        <v>138</v>
      </c>
      <c r="E601" s="22" t="s">
        <v>139</v>
      </c>
      <c r="F601" s="22" t="s">
        <v>106</v>
      </c>
      <c r="G601" s="23" t="n">
        <v>45657</v>
      </c>
      <c r="H601" s="24" t="n">
        <f aca="false">IF(G601="","",ROUND((Config!$C$4-G601)/365.25,2))</f>
        <v>1.75</v>
      </c>
      <c r="I601" s="25" t="str">
        <f aca="false">IF(H601="","",IF(H601&lt;=1,"Tramo 1",IF(H601&lt;=3,"Tramo 2",IF(H601&lt;=5,"Tramo 3","Tramo 4"))))</f>
        <v>Tramo 2</v>
      </c>
      <c r="J601" s="22" t="s">
        <v>140</v>
      </c>
      <c r="K601" s="22"/>
      <c r="L601" s="22" t="s">
        <v>2715</v>
      </c>
      <c r="M601" s="26" t="s">
        <v>2716</v>
      </c>
      <c r="N601" s="22"/>
      <c r="O601" s="22" t="s">
        <v>90</v>
      </c>
      <c r="P601" s="25" t="str">
        <f aca="false">IF(OR(O601="",O601="Sin información"),"",IFERROR(INDEX(Listas!$B$2:$B$9,MATCH(O601,Listas!$A$2:$A$9,0)),""))</f>
        <v>No</v>
      </c>
      <c r="Q601" s="25" t="str">
        <f aca="false">IF(OR(O601="",O601="Sin información"),"",IFERROR(INDEX(Listas!$C$2:$C$9,MATCH(O601,Listas!$A$2:$A$9,0)),""))</f>
        <v>No</v>
      </c>
      <c r="R601" s="22"/>
      <c r="S601" s="22"/>
      <c r="T601" s="25" t="str">
        <f aca="false">IF(S601="","",IFERROR(INDEX(Empleadores!$B$2:$B$601,MATCH(S601,Empleadores!$A$2:$A$601,0)),"No encontrado"))</f>
        <v/>
      </c>
      <c r="U601" s="25" t="str">
        <f aca="false">IF(C601="","",IF(V601="","No",IF(Config!$C$4-V601&lt;=Config!$C$15,"Sí","No")))</f>
        <v>Sí</v>
      </c>
      <c r="V601" s="23" t="n">
        <v>45946</v>
      </c>
      <c r="W601" s="22"/>
      <c r="X601" s="22"/>
      <c r="Y601" s="22"/>
      <c r="Z601" s="27" t="s">
        <v>2250</v>
      </c>
      <c r="AA601" s="22" t="s">
        <v>2594</v>
      </c>
      <c r="AB601" s="22" t="s">
        <v>2265</v>
      </c>
    </row>
    <row r="602" customFormat="false" ht="15" hidden="false" customHeight="false" outlineLevel="0" collapsed="false">
      <c r="A602" s="22" t="n">
        <v>601</v>
      </c>
      <c r="B602" s="22" t="s">
        <v>2717</v>
      </c>
      <c r="C602" s="22" t="s">
        <v>2718</v>
      </c>
      <c r="D602" s="22" t="s">
        <v>149</v>
      </c>
      <c r="E602" s="22" t="s">
        <v>139</v>
      </c>
      <c r="F602" s="22" t="s">
        <v>106</v>
      </c>
      <c r="G602" s="23" t="n">
        <v>45657</v>
      </c>
      <c r="H602" s="24" t="n">
        <f aca="false">IF(G602="","",ROUND((Config!$C$4-G602)/365.25,2))</f>
        <v>1.75</v>
      </c>
      <c r="I602" s="25" t="str">
        <f aca="false">IF(H602="","",IF(H602&lt;=1,"Tramo 1",IF(H602&lt;=3,"Tramo 2",IF(H602&lt;=5,"Tramo 3","Tramo 4"))))</f>
        <v>Tramo 2</v>
      </c>
      <c r="J602" s="22" t="s">
        <v>166</v>
      </c>
      <c r="K602" s="22"/>
      <c r="L602" s="22" t="s">
        <v>2719</v>
      </c>
      <c r="M602" s="26" t="s">
        <v>2720</v>
      </c>
      <c r="N602" s="22"/>
      <c r="O602" s="22" t="s">
        <v>63</v>
      </c>
      <c r="P602" s="25" t="str">
        <f aca="false">IF(OR(O602="",O602="Sin información"),"",IFERROR(INDEX(Listas!$B$2:$B$9,MATCH(O602,Listas!$A$2:$A$9,0)),""))</f>
        <v/>
      </c>
      <c r="Q602" s="25" t="str">
        <f aca="false">IF(OR(O602="",O602="Sin información"),"",IFERROR(INDEX(Listas!$C$2:$C$9,MATCH(O602,Listas!$A$2:$A$9,0)),""))</f>
        <v/>
      </c>
      <c r="R602" s="22"/>
      <c r="S602" s="22"/>
      <c r="T602" s="25" t="str">
        <f aca="false">IF(S602="","",IFERROR(INDEX(Empleadores!$B$2:$B$601,MATCH(S602,Empleadores!$A$2:$A$601,0)),"No encontrado"))</f>
        <v/>
      </c>
      <c r="U602" s="25" t="str">
        <f aca="false">IF(C602="","",IF(V602="","No",IF(Config!$C$4-V602&lt;=Config!$C$15,"Sí","No")))</f>
        <v>No</v>
      </c>
      <c r="V602" s="23"/>
      <c r="W602" s="22"/>
      <c r="X602" s="22"/>
      <c r="Y602" s="22"/>
      <c r="Z602" s="27"/>
      <c r="AA602" s="22"/>
      <c r="AB602" s="22"/>
    </row>
    <row r="603" customFormat="false" ht="15" hidden="false" customHeight="false" outlineLevel="0" collapsed="false">
      <c r="A603" s="22" t="n">
        <v>602</v>
      </c>
      <c r="B603" s="22" t="s">
        <v>2721</v>
      </c>
      <c r="C603" s="22" t="s">
        <v>2722</v>
      </c>
      <c r="D603" s="22" t="s">
        <v>138</v>
      </c>
      <c r="E603" s="22" t="s">
        <v>139</v>
      </c>
      <c r="F603" s="22" t="s">
        <v>106</v>
      </c>
      <c r="G603" s="23" t="n">
        <v>45657</v>
      </c>
      <c r="H603" s="24" t="n">
        <f aca="false">IF(G603="","",ROUND((Config!$C$4-G603)/365.25,2))</f>
        <v>1.75</v>
      </c>
      <c r="I603" s="25" t="str">
        <f aca="false">IF(H603="","",IF(H603&lt;=1,"Tramo 1",IF(H603&lt;=3,"Tramo 2",IF(H603&lt;=5,"Tramo 3","Tramo 4"))))</f>
        <v>Tramo 2</v>
      </c>
      <c r="J603" s="22" t="s">
        <v>166</v>
      </c>
      <c r="K603" s="22"/>
      <c r="L603" s="22" t="s">
        <v>2723</v>
      </c>
      <c r="M603" s="26" t="s">
        <v>2724</v>
      </c>
      <c r="N603" s="22"/>
      <c r="O603" s="22" t="s">
        <v>63</v>
      </c>
      <c r="P603" s="25" t="str">
        <f aca="false">IF(OR(O603="",O603="Sin información"),"",IFERROR(INDEX(Listas!$B$2:$B$9,MATCH(O603,Listas!$A$2:$A$9,0)),""))</f>
        <v/>
      </c>
      <c r="Q603" s="25" t="str">
        <f aca="false">IF(OR(O603="",O603="Sin información"),"",IFERROR(INDEX(Listas!$C$2:$C$9,MATCH(O603,Listas!$A$2:$A$9,0)),""))</f>
        <v/>
      </c>
      <c r="R603" s="22"/>
      <c r="S603" s="22"/>
      <c r="T603" s="25" t="str">
        <f aca="false">IF(S603="","",IFERROR(INDEX(Empleadores!$B$2:$B$601,MATCH(S603,Empleadores!$A$2:$A$601,0)),"No encontrado"))</f>
        <v/>
      </c>
      <c r="U603" s="25" t="str">
        <f aca="false">IF(C603="","",IF(V603="","No",IF(Config!$C$4-V603&lt;=Config!$C$15,"Sí","No")))</f>
        <v>Sí</v>
      </c>
      <c r="V603" s="23" t="n">
        <v>45963</v>
      </c>
      <c r="W603" s="22"/>
      <c r="X603" s="22"/>
      <c r="Y603" s="22" t="s">
        <v>181</v>
      </c>
      <c r="Z603" s="27"/>
      <c r="AA603" s="22"/>
      <c r="AB603" s="22" t="s">
        <v>183</v>
      </c>
    </row>
    <row r="604" customFormat="false" ht="15" hidden="false" customHeight="false" outlineLevel="0" collapsed="false">
      <c r="A604" s="22" t="n">
        <v>603</v>
      </c>
      <c r="B604" s="22" t="s">
        <v>2725</v>
      </c>
      <c r="C604" s="22" t="s">
        <v>2726</v>
      </c>
      <c r="D604" s="22" t="s">
        <v>138</v>
      </c>
      <c r="E604" s="22" t="s">
        <v>139</v>
      </c>
      <c r="F604" s="22" t="s">
        <v>106</v>
      </c>
      <c r="G604" s="23" t="n">
        <v>45657</v>
      </c>
      <c r="H604" s="24" t="n">
        <f aca="false">IF(G604="","",ROUND((Config!$C$4-G604)/365.25,2))</f>
        <v>1.75</v>
      </c>
      <c r="I604" s="25" t="str">
        <f aca="false">IF(H604="","",IF(H604&lt;=1,"Tramo 1",IF(H604&lt;=3,"Tramo 2",IF(H604&lt;=5,"Tramo 3","Tramo 4"))))</f>
        <v>Tramo 2</v>
      </c>
      <c r="J604" s="22" t="s">
        <v>140</v>
      </c>
      <c r="K604" s="22"/>
      <c r="L604" s="22" t="s">
        <v>2727</v>
      </c>
      <c r="M604" s="26" t="s">
        <v>2728</v>
      </c>
      <c r="N604" s="22"/>
      <c r="O604" s="22" t="s">
        <v>81</v>
      </c>
      <c r="P604" s="25" t="str">
        <f aca="false">IF(OR(O604="",O604="Sin información"),"",IFERROR(INDEX(Listas!$B$2:$B$9,MATCH(O604,Listas!$A$2:$A$9,0)),""))</f>
        <v>Sí</v>
      </c>
      <c r="Q604" s="25" t="str">
        <f aca="false">IF(OR(O604="",O604="Sin información"),"",IFERROR(INDEX(Listas!$C$2:$C$9,MATCH(O604,Listas!$A$2:$A$9,0)),""))</f>
        <v>Sí</v>
      </c>
      <c r="R604" s="22" t="s">
        <v>2345</v>
      </c>
      <c r="S604" s="22" t="s">
        <v>2729</v>
      </c>
      <c r="T604" s="25" t="str">
        <f aca="false">IF(S604="","",IFERROR(INDEX(Empleadores!$B$2:$B$601,MATCH(S604,Empleadores!$A$2:$A$601,0)),"No encontrado"))</f>
        <v>P.S. Carybamba – Aymaraes</v>
      </c>
      <c r="U604" s="25" t="str">
        <f aca="false">IF(C604="","",IF(V604="","No",IF(Config!$C$4-V604&lt;=Config!$C$15,"Sí","No")))</f>
        <v>Sí</v>
      </c>
      <c r="V604" s="23" t="n">
        <v>45972</v>
      </c>
      <c r="W604" s="22"/>
      <c r="X604" s="22"/>
      <c r="Y604" s="22" t="s">
        <v>181</v>
      </c>
      <c r="Z604" s="27"/>
      <c r="AA604" s="22" t="s">
        <v>2730</v>
      </c>
      <c r="AB604" s="22" t="s">
        <v>183</v>
      </c>
    </row>
    <row r="605" customFormat="false" ht="15" hidden="false" customHeight="false" outlineLevel="0" collapsed="false">
      <c r="A605" s="22" t="n">
        <v>604</v>
      </c>
      <c r="B605" s="22" t="s">
        <v>2731</v>
      </c>
      <c r="C605" s="22" t="s">
        <v>2732</v>
      </c>
      <c r="D605" s="22" t="s">
        <v>149</v>
      </c>
      <c r="E605" s="22" t="s">
        <v>139</v>
      </c>
      <c r="F605" s="22" t="s">
        <v>106</v>
      </c>
      <c r="G605" s="23" t="n">
        <v>45657</v>
      </c>
      <c r="H605" s="24" t="n">
        <f aca="false">IF(G605="","",ROUND((Config!$C$4-G605)/365.25,2))</f>
        <v>1.75</v>
      </c>
      <c r="I605" s="25" t="str">
        <f aca="false">IF(H605="","",IF(H605&lt;=1,"Tramo 1",IF(H605&lt;=3,"Tramo 2",IF(H605&lt;=5,"Tramo 3","Tramo 4"))))</f>
        <v>Tramo 2</v>
      </c>
      <c r="J605" s="22" t="s">
        <v>166</v>
      </c>
      <c r="K605" s="22"/>
      <c r="L605" s="22" t="s">
        <v>2733</v>
      </c>
      <c r="M605" s="26" t="s">
        <v>2734</v>
      </c>
      <c r="N605" s="22"/>
      <c r="O605" s="22" t="s">
        <v>63</v>
      </c>
      <c r="P605" s="25" t="str">
        <f aca="false">IF(OR(O605="",O605="Sin información"),"",IFERROR(INDEX(Listas!$B$2:$B$9,MATCH(O605,Listas!$A$2:$A$9,0)),""))</f>
        <v/>
      </c>
      <c r="Q605" s="25" t="str">
        <f aca="false">IF(OR(O605="",O605="Sin información"),"",IFERROR(INDEX(Listas!$C$2:$C$9,MATCH(O605,Listas!$A$2:$A$9,0)),""))</f>
        <v/>
      </c>
      <c r="R605" s="22"/>
      <c r="S605" s="22"/>
      <c r="T605" s="25" t="str">
        <f aca="false">IF(S605="","",IFERROR(INDEX(Empleadores!$B$2:$B$601,MATCH(S605,Empleadores!$A$2:$A$601,0)),"No encontrado"))</f>
        <v/>
      </c>
      <c r="U605" s="25" t="str">
        <f aca="false">IF(C605="","",IF(V605="","No",IF(Config!$C$4-V605&lt;=Config!$C$15,"Sí","No")))</f>
        <v>No</v>
      </c>
      <c r="V605" s="23"/>
      <c r="W605" s="22"/>
      <c r="X605" s="22"/>
      <c r="Y605" s="22"/>
      <c r="Z605" s="27"/>
      <c r="AA605" s="22" t="s">
        <v>2735</v>
      </c>
      <c r="AB605" s="22" t="s">
        <v>1691</v>
      </c>
    </row>
    <row r="606" customFormat="false" ht="15" hidden="false" customHeight="false" outlineLevel="0" collapsed="false">
      <c r="A606" s="22" t="n">
        <v>605</v>
      </c>
      <c r="B606" s="22" t="s">
        <v>2736</v>
      </c>
      <c r="C606" s="22" t="s">
        <v>2737</v>
      </c>
      <c r="D606" s="22" t="s">
        <v>149</v>
      </c>
      <c r="E606" s="22" t="s">
        <v>139</v>
      </c>
      <c r="F606" s="22" t="s">
        <v>106</v>
      </c>
      <c r="G606" s="23" t="n">
        <v>45657</v>
      </c>
      <c r="H606" s="24" t="n">
        <f aca="false">IF(G606="","",ROUND((Config!$C$4-G606)/365.25,2))</f>
        <v>1.75</v>
      </c>
      <c r="I606" s="25" t="str">
        <f aca="false">IF(H606="","",IF(H606&lt;=1,"Tramo 1",IF(H606&lt;=3,"Tramo 2",IF(H606&lt;=5,"Tramo 3","Tramo 4"))))</f>
        <v>Tramo 2</v>
      </c>
      <c r="J606" s="22" t="s">
        <v>140</v>
      </c>
      <c r="K606" s="22"/>
      <c r="L606" s="22" t="s">
        <v>2738</v>
      </c>
      <c r="M606" s="26" t="s">
        <v>2739</v>
      </c>
      <c r="N606" s="22"/>
      <c r="O606" s="22" t="s">
        <v>63</v>
      </c>
      <c r="P606" s="25" t="str">
        <f aca="false">IF(OR(O606="",O606="Sin información"),"",IFERROR(INDEX(Listas!$B$2:$B$9,MATCH(O606,Listas!$A$2:$A$9,0)),""))</f>
        <v/>
      </c>
      <c r="Q606" s="25" t="str">
        <f aca="false">IF(OR(O606="",O606="Sin información"),"",IFERROR(INDEX(Listas!$C$2:$C$9,MATCH(O606,Listas!$A$2:$A$9,0)),""))</f>
        <v/>
      </c>
      <c r="R606" s="22"/>
      <c r="S606" s="22"/>
      <c r="T606" s="25" t="str">
        <f aca="false">IF(S606="","",IFERROR(INDEX(Empleadores!$B$2:$B$601,MATCH(S606,Empleadores!$A$2:$A$601,0)),"No encontrado"))</f>
        <v/>
      </c>
      <c r="U606" s="25" t="str">
        <f aca="false">IF(C606="","",IF(V606="","No",IF(Config!$C$4-V606&lt;=Config!$C$15,"Sí","No")))</f>
        <v>No</v>
      </c>
      <c r="V606" s="23"/>
      <c r="W606" s="22"/>
      <c r="X606" s="22"/>
      <c r="Y606" s="22"/>
      <c r="Z606" s="27"/>
      <c r="AA606" s="22"/>
      <c r="AB606" s="22"/>
    </row>
    <row r="607" customFormat="false" ht="15" hidden="false" customHeight="false" outlineLevel="0" collapsed="false">
      <c r="A607" s="22" t="n">
        <v>606</v>
      </c>
      <c r="B607" s="22" t="s">
        <v>2740</v>
      </c>
      <c r="C607" s="22" t="s">
        <v>2741</v>
      </c>
      <c r="D607" s="22" t="s">
        <v>149</v>
      </c>
      <c r="E607" s="22" t="s">
        <v>139</v>
      </c>
      <c r="F607" s="22" t="s">
        <v>106</v>
      </c>
      <c r="G607" s="23" t="n">
        <v>45657</v>
      </c>
      <c r="H607" s="24" t="n">
        <f aca="false">IF(G607="","",ROUND((Config!$C$4-G607)/365.25,2))</f>
        <v>1.75</v>
      </c>
      <c r="I607" s="25" t="str">
        <f aca="false">IF(H607="","",IF(H607&lt;=1,"Tramo 1",IF(H607&lt;=3,"Tramo 2",IF(H607&lt;=5,"Tramo 3","Tramo 4"))))</f>
        <v>Tramo 2</v>
      </c>
      <c r="J607" s="22" t="s">
        <v>166</v>
      </c>
      <c r="K607" s="22"/>
      <c r="L607" s="22" t="s">
        <v>2742</v>
      </c>
      <c r="M607" s="26" t="s">
        <v>2743</v>
      </c>
      <c r="N607" s="22"/>
      <c r="O607" s="22" t="s">
        <v>63</v>
      </c>
      <c r="P607" s="25" t="str">
        <f aca="false">IF(OR(O607="",O607="Sin información"),"",IFERROR(INDEX(Listas!$B$2:$B$9,MATCH(O607,Listas!$A$2:$A$9,0)),""))</f>
        <v/>
      </c>
      <c r="Q607" s="25" t="str">
        <f aca="false">IF(OR(O607="",O607="Sin información"),"",IFERROR(INDEX(Listas!$C$2:$C$9,MATCH(O607,Listas!$A$2:$A$9,0)),""))</f>
        <v/>
      </c>
      <c r="R607" s="22"/>
      <c r="S607" s="22"/>
      <c r="T607" s="25" t="str">
        <f aca="false">IF(S607="","",IFERROR(INDEX(Empleadores!$B$2:$B$601,MATCH(S607,Empleadores!$A$2:$A$601,0)),"No encontrado"))</f>
        <v/>
      </c>
      <c r="U607" s="25" t="str">
        <f aca="false">IF(C607="","",IF(V607="","No",IF(Config!$C$4-V607&lt;=Config!$C$15,"Sí","No")))</f>
        <v>No</v>
      </c>
      <c r="V607" s="23"/>
      <c r="W607" s="22"/>
      <c r="X607" s="22"/>
      <c r="Y607" s="22"/>
      <c r="Z607" s="27"/>
      <c r="AA607" s="22"/>
      <c r="AB607" s="22"/>
    </row>
    <row r="608" customFormat="false" ht="15" hidden="false" customHeight="false" outlineLevel="0" collapsed="false">
      <c r="A608" s="22" t="n">
        <v>607</v>
      </c>
      <c r="B608" s="22" t="s">
        <v>2744</v>
      </c>
      <c r="C608" s="22" t="s">
        <v>2745</v>
      </c>
      <c r="D608" s="22" t="s">
        <v>138</v>
      </c>
      <c r="E608" s="22" t="s">
        <v>139</v>
      </c>
      <c r="F608" s="22" t="s">
        <v>106</v>
      </c>
      <c r="G608" s="23" t="n">
        <v>45657</v>
      </c>
      <c r="H608" s="24" t="n">
        <f aca="false">IF(G608="","",ROUND((Config!$C$4-G608)/365.25,2))</f>
        <v>1.75</v>
      </c>
      <c r="I608" s="25" t="str">
        <f aca="false">IF(H608="","",IF(H608&lt;=1,"Tramo 1",IF(H608&lt;=3,"Tramo 2",IF(H608&lt;=5,"Tramo 3","Tramo 4"))))</f>
        <v>Tramo 2</v>
      </c>
      <c r="J608" s="22" t="s">
        <v>166</v>
      </c>
      <c r="K608" s="22"/>
      <c r="L608" s="22" t="s">
        <v>2746</v>
      </c>
      <c r="M608" s="26" t="s">
        <v>2747</v>
      </c>
      <c r="N608" s="22"/>
      <c r="O608" s="22" t="s">
        <v>63</v>
      </c>
      <c r="P608" s="25" t="str">
        <f aca="false">IF(OR(O608="",O608="Sin información"),"",IFERROR(INDEX(Listas!$B$2:$B$9,MATCH(O608,Listas!$A$2:$A$9,0)),""))</f>
        <v/>
      </c>
      <c r="Q608" s="25" t="str">
        <f aca="false">IF(OR(O608="",O608="Sin información"),"",IFERROR(INDEX(Listas!$C$2:$C$9,MATCH(O608,Listas!$A$2:$A$9,0)),""))</f>
        <v/>
      </c>
      <c r="R608" s="22"/>
      <c r="S608" s="22"/>
      <c r="T608" s="25" t="str">
        <f aca="false">IF(S608="","",IFERROR(INDEX(Empleadores!$B$2:$B$601,MATCH(S608,Empleadores!$A$2:$A$601,0)),"No encontrado"))</f>
        <v/>
      </c>
      <c r="U608" s="25" t="str">
        <f aca="false">IF(C608="","",IF(V608="","No",IF(Config!$C$4-V608&lt;=Config!$C$15,"Sí","No")))</f>
        <v>No</v>
      </c>
      <c r="V608" s="23"/>
      <c r="W608" s="22"/>
      <c r="X608" s="22"/>
      <c r="Y608" s="22"/>
      <c r="Z608" s="27"/>
      <c r="AA608" s="22"/>
      <c r="AB608" s="22"/>
    </row>
    <row r="609" customFormat="false" ht="15" hidden="false" customHeight="false" outlineLevel="0" collapsed="false">
      <c r="A609" s="22" t="n">
        <v>608</v>
      </c>
      <c r="B609" s="22" t="s">
        <v>2748</v>
      </c>
      <c r="C609" s="22" t="s">
        <v>2749</v>
      </c>
      <c r="D609" s="22" t="s">
        <v>138</v>
      </c>
      <c r="E609" s="22" t="s">
        <v>139</v>
      </c>
      <c r="F609" s="22" t="s">
        <v>106</v>
      </c>
      <c r="G609" s="23" t="n">
        <v>45657</v>
      </c>
      <c r="H609" s="24" t="n">
        <f aca="false">IF(G609="","",ROUND((Config!$C$4-G609)/365.25,2))</f>
        <v>1.75</v>
      </c>
      <c r="I609" s="25" t="str">
        <f aca="false">IF(H609="","",IF(H609&lt;=1,"Tramo 1",IF(H609&lt;=3,"Tramo 2",IF(H609&lt;=5,"Tramo 3","Tramo 4"))))</f>
        <v>Tramo 2</v>
      </c>
      <c r="J609" s="22" t="s">
        <v>166</v>
      </c>
      <c r="K609" s="22"/>
      <c r="L609" s="22" t="s">
        <v>2750</v>
      </c>
      <c r="M609" s="26" t="s">
        <v>2751</v>
      </c>
      <c r="N609" s="22"/>
      <c r="O609" s="22" t="s">
        <v>63</v>
      </c>
      <c r="P609" s="25" t="str">
        <f aca="false">IF(OR(O609="",O609="Sin información"),"",IFERROR(INDEX(Listas!$B$2:$B$9,MATCH(O609,Listas!$A$2:$A$9,0)),""))</f>
        <v/>
      </c>
      <c r="Q609" s="25" t="str">
        <f aca="false">IF(OR(O609="",O609="Sin información"),"",IFERROR(INDEX(Listas!$C$2:$C$9,MATCH(O609,Listas!$A$2:$A$9,0)),""))</f>
        <v/>
      </c>
      <c r="R609" s="22"/>
      <c r="S609" s="22"/>
      <c r="T609" s="25" t="str">
        <f aca="false">IF(S609="","",IFERROR(INDEX(Empleadores!$B$2:$B$601,MATCH(S609,Empleadores!$A$2:$A$601,0)),"No encontrado"))</f>
        <v/>
      </c>
      <c r="U609" s="25" t="str">
        <f aca="false">IF(C609="","",IF(V609="","No",IF(Config!$C$4-V609&lt;=Config!$C$15,"Sí","No")))</f>
        <v>No</v>
      </c>
      <c r="V609" s="23"/>
      <c r="W609" s="22"/>
      <c r="X609" s="22"/>
      <c r="Y609" s="22"/>
      <c r="Z609" s="27"/>
      <c r="AA609" s="22"/>
      <c r="AB609" s="22"/>
    </row>
    <row r="610" customFormat="false" ht="15" hidden="false" customHeight="false" outlineLevel="0" collapsed="false">
      <c r="A610" s="22" t="n">
        <v>609</v>
      </c>
      <c r="B610" s="22" t="s">
        <v>2752</v>
      </c>
      <c r="C610" s="22" t="s">
        <v>2753</v>
      </c>
      <c r="D610" s="22" t="s">
        <v>149</v>
      </c>
      <c r="E610" s="22" t="s">
        <v>139</v>
      </c>
      <c r="F610" s="22" t="s">
        <v>106</v>
      </c>
      <c r="G610" s="23" t="n">
        <v>45657</v>
      </c>
      <c r="H610" s="24" t="n">
        <f aca="false">IF(G610="","",ROUND((Config!$C$4-G610)/365.25,2))</f>
        <v>1.75</v>
      </c>
      <c r="I610" s="25" t="str">
        <f aca="false">IF(H610="","",IF(H610&lt;=1,"Tramo 1",IF(H610&lt;=3,"Tramo 2",IF(H610&lt;=5,"Tramo 3","Tramo 4"))))</f>
        <v>Tramo 2</v>
      </c>
      <c r="J610" s="22" t="s">
        <v>166</v>
      </c>
      <c r="K610" s="22"/>
      <c r="L610" s="22" t="s">
        <v>2754</v>
      </c>
      <c r="M610" s="26" t="s">
        <v>2755</v>
      </c>
      <c r="N610" s="22"/>
      <c r="O610" s="22" t="s">
        <v>63</v>
      </c>
      <c r="P610" s="25" t="str">
        <f aca="false">IF(OR(O610="",O610="Sin información"),"",IFERROR(INDEX(Listas!$B$2:$B$9,MATCH(O610,Listas!$A$2:$A$9,0)),""))</f>
        <v/>
      </c>
      <c r="Q610" s="25" t="str">
        <f aca="false">IF(OR(O610="",O610="Sin información"),"",IFERROR(INDEX(Listas!$C$2:$C$9,MATCH(O610,Listas!$A$2:$A$9,0)),""))</f>
        <v/>
      </c>
      <c r="R610" s="22"/>
      <c r="S610" s="22"/>
      <c r="T610" s="25" t="str">
        <f aca="false">IF(S610="","",IFERROR(INDEX(Empleadores!$B$2:$B$601,MATCH(S610,Empleadores!$A$2:$A$601,0)),"No encontrado"))</f>
        <v/>
      </c>
      <c r="U610" s="25" t="str">
        <f aca="false">IF(C610="","",IF(V610="","No",IF(Config!$C$4-V610&lt;=Config!$C$15,"Sí","No")))</f>
        <v>No</v>
      </c>
      <c r="V610" s="23"/>
      <c r="W610" s="22"/>
      <c r="X610" s="22"/>
      <c r="Y610" s="22"/>
      <c r="Z610" s="27"/>
      <c r="AA610" s="22" t="s">
        <v>2756</v>
      </c>
      <c r="AB610" s="22" t="s">
        <v>1691</v>
      </c>
    </row>
    <row r="611" customFormat="false" ht="15" hidden="false" customHeight="false" outlineLevel="0" collapsed="false">
      <c r="A611" s="22" t="n">
        <v>610</v>
      </c>
      <c r="B611" s="22" t="s">
        <v>2757</v>
      </c>
      <c r="C611" s="22" t="s">
        <v>2758</v>
      </c>
      <c r="D611" s="22" t="s">
        <v>138</v>
      </c>
      <c r="E611" s="22" t="s">
        <v>139</v>
      </c>
      <c r="F611" s="22" t="s">
        <v>106</v>
      </c>
      <c r="G611" s="23" t="n">
        <v>45657</v>
      </c>
      <c r="H611" s="24" t="n">
        <f aca="false">IF(G611="","",ROUND((Config!$C$4-G611)/365.25,2))</f>
        <v>1.75</v>
      </c>
      <c r="I611" s="25" t="str">
        <f aca="false">IF(H611="","",IF(H611&lt;=1,"Tramo 1",IF(H611&lt;=3,"Tramo 2",IF(H611&lt;=5,"Tramo 3","Tramo 4"))))</f>
        <v>Tramo 2</v>
      </c>
      <c r="J611" s="22" t="s">
        <v>166</v>
      </c>
      <c r="K611" s="22"/>
      <c r="L611" s="22" t="s">
        <v>2759</v>
      </c>
      <c r="M611" s="26" t="s">
        <v>2760</v>
      </c>
      <c r="N611" s="22"/>
      <c r="O611" s="22" t="s">
        <v>63</v>
      </c>
      <c r="P611" s="25" t="str">
        <f aca="false">IF(OR(O611="",O611="Sin información"),"",IFERROR(INDEX(Listas!$B$2:$B$9,MATCH(O611,Listas!$A$2:$A$9,0)),""))</f>
        <v/>
      </c>
      <c r="Q611" s="25" t="str">
        <f aca="false">IF(OR(O611="",O611="Sin información"),"",IFERROR(INDEX(Listas!$C$2:$C$9,MATCH(O611,Listas!$A$2:$A$9,0)),""))</f>
        <v/>
      </c>
      <c r="R611" s="22"/>
      <c r="S611" s="22"/>
      <c r="T611" s="25" t="str">
        <f aca="false">IF(S611="","",IFERROR(INDEX(Empleadores!$B$2:$B$601,MATCH(S611,Empleadores!$A$2:$A$601,0)),"No encontrado"))</f>
        <v/>
      </c>
      <c r="U611" s="25" t="str">
        <f aca="false">IF(C611="","",IF(V611="","No",IF(Config!$C$4-V611&lt;=Config!$C$15,"Sí","No")))</f>
        <v>No</v>
      </c>
      <c r="V611" s="23"/>
      <c r="W611" s="22"/>
      <c r="X611" s="22"/>
      <c r="Y611" s="22"/>
      <c r="Z611" s="27"/>
      <c r="AA611" s="22"/>
      <c r="AB611" s="22"/>
    </row>
    <row r="612" customFormat="false" ht="15" hidden="false" customHeight="false" outlineLevel="0" collapsed="false">
      <c r="A612" s="22" t="n">
        <v>611</v>
      </c>
      <c r="B612" s="22" t="s">
        <v>2761</v>
      </c>
      <c r="C612" s="22" t="s">
        <v>2762</v>
      </c>
      <c r="D612" s="22" t="s">
        <v>138</v>
      </c>
      <c r="E612" s="22" t="s">
        <v>139</v>
      </c>
      <c r="F612" s="22" t="s">
        <v>106</v>
      </c>
      <c r="G612" s="23" t="n">
        <v>45657</v>
      </c>
      <c r="H612" s="24" t="n">
        <f aca="false">IF(G612="","",ROUND((Config!$C$4-G612)/365.25,2))</f>
        <v>1.75</v>
      </c>
      <c r="I612" s="25" t="str">
        <f aca="false">IF(H612="","",IF(H612&lt;=1,"Tramo 1",IF(H612&lt;=3,"Tramo 2",IF(H612&lt;=5,"Tramo 3","Tramo 4"))))</f>
        <v>Tramo 2</v>
      </c>
      <c r="J612" s="22" t="s">
        <v>166</v>
      </c>
      <c r="K612" s="22"/>
      <c r="L612" s="22" t="s">
        <v>2763</v>
      </c>
      <c r="M612" s="26" t="s">
        <v>2764</v>
      </c>
      <c r="N612" s="22"/>
      <c r="O612" s="22" t="s">
        <v>63</v>
      </c>
      <c r="P612" s="25" t="str">
        <f aca="false">IF(OR(O612="",O612="Sin información"),"",IFERROR(INDEX(Listas!$B$2:$B$9,MATCH(O612,Listas!$A$2:$A$9,0)),""))</f>
        <v/>
      </c>
      <c r="Q612" s="25" t="str">
        <f aca="false">IF(OR(O612="",O612="Sin información"),"",IFERROR(INDEX(Listas!$C$2:$C$9,MATCH(O612,Listas!$A$2:$A$9,0)),""))</f>
        <v/>
      </c>
      <c r="R612" s="22"/>
      <c r="S612" s="22"/>
      <c r="T612" s="25" t="str">
        <f aca="false">IF(S612="","",IFERROR(INDEX(Empleadores!$B$2:$B$601,MATCH(S612,Empleadores!$A$2:$A$601,0)),"No encontrado"))</f>
        <v/>
      </c>
      <c r="U612" s="25" t="str">
        <f aca="false">IF(C612="","",IF(V612="","No",IF(Config!$C$4-V612&lt;=Config!$C$15,"Sí","No")))</f>
        <v>No</v>
      </c>
      <c r="V612" s="23"/>
      <c r="W612" s="22"/>
      <c r="X612" s="22"/>
      <c r="Y612" s="22"/>
      <c r="Z612" s="27"/>
      <c r="AA612" s="22"/>
      <c r="AB612" s="22"/>
    </row>
    <row r="613" customFormat="false" ht="15" hidden="false" customHeight="false" outlineLevel="0" collapsed="false">
      <c r="A613" s="22" t="n">
        <v>612</v>
      </c>
      <c r="B613" s="22" t="s">
        <v>2765</v>
      </c>
      <c r="C613" s="22" t="s">
        <v>2766</v>
      </c>
      <c r="D613" s="22" t="s">
        <v>138</v>
      </c>
      <c r="E613" s="22" t="s">
        <v>139</v>
      </c>
      <c r="F613" s="22" t="s">
        <v>106</v>
      </c>
      <c r="G613" s="23" t="n">
        <v>45657</v>
      </c>
      <c r="H613" s="24" t="n">
        <f aca="false">IF(G613="","",ROUND((Config!$C$4-G613)/365.25,2))</f>
        <v>1.75</v>
      </c>
      <c r="I613" s="25" t="str">
        <f aca="false">IF(H613="","",IF(H613&lt;=1,"Tramo 1",IF(H613&lt;=3,"Tramo 2",IF(H613&lt;=5,"Tramo 3","Tramo 4"))))</f>
        <v>Tramo 2</v>
      </c>
      <c r="J613" s="22" t="s">
        <v>166</v>
      </c>
      <c r="K613" s="22"/>
      <c r="L613" s="22" t="s">
        <v>2767</v>
      </c>
      <c r="M613" s="26"/>
      <c r="N613" s="22"/>
      <c r="O613" s="22" t="s">
        <v>63</v>
      </c>
      <c r="P613" s="25" t="str">
        <f aca="false">IF(OR(O613="",O613="Sin información"),"",IFERROR(INDEX(Listas!$B$2:$B$9,MATCH(O613,Listas!$A$2:$A$9,0)),""))</f>
        <v/>
      </c>
      <c r="Q613" s="25" t="str">
        <f aca="false">IF(OR(O613="",O613="Sin información"),"",IFERROR(INDEX(Listas!$C$2:$C$9,MATCH(O613,Listas!$A$2:$A$9,0)),""))</f>
        <v/>
      </c>
      <c r="R613" s="22"/>
      <c r="S613" s="22"/>
      <c r="T613" s="25" t="str">
        <f aca="false">IF(S613="","",IFERROR(INDEX(Empleadores!$B$2:$B$601,MATCH(S613,Empleadores!$A$2:$A$601,0)),"No encontrado"))</f>
        <v/>
      </c>
      <c r="U613" s="25" t="str">
        <f aca="false">IF(C613="","",IF(V613="","No",IF(Config!$C$4-V613&lt;=Config!$C$15,"Sí","No")))</f>
        <v>No</v>
      </c>
      <c r="V613" s="23"/>
      <c r="W613" s="22"/>
      <c r="X613" s="22"/>
      <c r="Y613" s="22"/>
      <c r="Z613" s="27"/>
      <c r="AA613" s="22" t="s">
        <v>2768</v>
      </c>
      <c r="AB613" s="22" t="s">
        <v>1691</v>
      </c>
    </row>
    <row r="614" customFormat="false" ht="15" hidden="false" customHeight="false" outlineLevel="0" collapsed="false">
      <c r="A614" s="22" t="n">
        <v>613</v>
      </c>
      <c r="B614" s="22" t="s">
        <v>2769</v>
      </c>
      <c r="C614" s="22" t="s">
        <v>2770</v>
      </c>
      <c r="D614" s="22" t="s">
        <v>149</v>
      </c>
      <c r="E614" s="22" t="s">
        <v>139</v>
      </c>
      <c r="F614" s="22" t="s">
        <v>106</v>
      </c>
      <c r="G614" s="23" t="n">
        <v>45657</v>
      </c>
      <c r="H614" s="24" t="n">
        <f aca="false">IF(G614="","",ROUND((Config!$C$4-G614)/365.25,2))</f>
        <v>1.75</v>
      </c>
      <c r="I614" s="25" t="str">
        <f aca="false">IF(H614="","",IF(H614&lt;=1,"Tramo 1",IF(H614&lt;=3,"Tramo 2",IF(H614&lt;=5,"Tramo 3","Tramo 4"))))</f>
        <v>Tramo 2</v>
      </c>
      <c r="J614" s="22" t="s">
        <v>166</v>
      </c>
      <c r="K614" s="22"/>
      <c r="L614" s="22" t="s">
        <v>2771</v>
      </c>
      <c r="M614" s="26" t="s">
        <v>2772</v>
      </c>
      <c r="N614" s="22"/>
      <c r="O614" s="22" t="s">
        <v>63</v>
      </c>
      <c r="P614" s="25" t="str">
        <f aca="false">IF(OR(O614="",O614="Sin información"),"",IFERROR(INDEX(Listas!$B$2:$B$9,MATCH(O614,Listas!$A$2:$A$9,0)),""))</f>
        <v/>
      </c>
      <c r="Q614" s="25" t="str">
        <f aca="false">IF(OR(O614="",O614="Sin información"),"",IFERROR(INDEX(Listas!$C$2:$C$9,MATCH(O614,Listas!$A$2:$A$9,0)),""))</f>
        <v/>
      </c>
      <c r="R614" s="22"/>
      <c r="S614" s="22"/>
      <c r="T614" s="25" t="str">
        <f aca="false">IF(S614="","",IFERROR(INDEX(Empleadores!$B$2:$B$601,MATCH(S614,Empleadores!$A$2:$A$601,0)),"No encontrado"))</f>
        <v/>
      </c>
      <c r="U614" s="25" t="str">
        <f aca="false">IF(C614="","",IF(V614="","No",IF(Config!$C$4-V614&lt;=Config!$C$15,"Sí","No")))</f>
        <v>No</v>
      </c>
      <c r="V614" s="23"/>
      <c r="W614" s="22"/>
      <c r="X614" s="22"/>
      <c r="Y614" s="22"/>
      <c r="Z614" s="27"/>
      <c r="AA614" s="22" t="s">
        <v>2773</v>
      </c>
      <c r="AB614" s="22" t="s">
        <v>1691</v>
      </c>
    </row>
    <row r="615" customFormat="false" ht="15" hidden="false" customHeight="false" outlineLevel="0" collapsed="false">
      <c r="A615" s="22" t="n">
        <v>614</v>
      </c>
      <c r="B615" s="22" t="s">
        <v>2774</v>
      </c>
      <c r="C615" s="22" t="s">
        <v>2775</v>
      </c>
      <c r="D615" s="22" t="s">
        <v>138</v>
      </c>
      <c r="E615" s="22" t="s">
        <v>139</v>
      </c>
      <c r="F615" s="22" t="s">
        <v>106</v>
      </c>
      <c r="G615" s="23" t="n">
        <v>45657</v>
      </c>
      <c r="H615" s="24" t="n">
        <f aca="false">IF(G615="","",ROUND((Config!$C$4-G615)/365.25,2))</f>
        <v>1.75</v>
      </c>
      <c r="I615" s="25" t="str">
        <f aca="false">IF(H615="","",IF(H615&lt;=1,"Tramo 1",IF(H615&lt;=3,"Tramo 2",IF(H615&lt;=5,"Tramo 3","Tramo 4"))))</f>
        <v>Tramo 2</v>
      </c>
      <c r="J615" s="22" t="s">
        <v>166</v>
      </c>
      <c r="K615" s="22"/>
      <c r="L615" s="22" t="s">
        <v>2776</v>
      </c>
      <c r="M615" s="26" t="s">
        <v>2777</v>
      </c>
      <c r="N615" s="22"/>
      <c r="O615" s="22" t="s">
        <v>63</v>
      </c>
      <c r="P615" s="25" t="str">
        <f aca="false">IF(OR(O615="",O615="Sin información"),"",IFERROR(INDEX(Listas!$B$2:$B$9,MATCH(O615,Listas!$A$2:$A$9,0)),""))</f>
        <v/>
      </c>
      <c r="Q615" s="25" t="str">
        <f aca="false">IF(OR(O615="",O615="Sin información"),"",IFERROR(INDEX(Listas!$C$2:$C$9,MATCH(O615,Listas!$A$2:$A$9,0)),""))</f>
        <v/>
      </c>
      <c r="R615" s="22"/>
      <c r="S615" s="22"/>
      <c r="T615" s="25" t="str">
        <f aca="false">IF(S615="","",IFERROR(INDEX(Empleadores!$B$2:$B$601,MATCH(S615,Empleadores!$A$2:$A$601,0)),"No encontrado"))</f>
        <v/>
      </c>
      <c r="U615" s="25" t="str">
        <f aca="false">IF(C615="","",IF(V615="","No",IF(Config!$C$4-V615&lt;=Config!$C$15,"Sí","No")))</f>
        <v>No</v>
      </c>
      <c r="V615" s="23"/>
      <c r="W615" s="22"/>
      <c r="X615" s="22"/>
      <c r="Y615" s="22"/>
      <c r="Z615" s="27"/>
      <c r="AA615" s="22"/>
      <c r="AB615" s="22"/>
    </row>
    <row r="616" customFormat="false" ht="15" hidden="false" customHeight="false" outlineLevel="0" collapsed="false">
      <c r="A616" s="22" t="n">
        <v>615</v>
      </c>
      <c r="B616" s="22" t="s">
        <v>2778</v>
      </c>
      <c r="C616" s="22" t="s">
        <v>2779</v>
      </c>
      <c r="D616" s="22" t="s">
        <v>149</v>
      </c>
      <c r="E616" s="22" t="s">
        <v>139</v>
      </c>
      <c r="F616" s="22" t="s">
        <v>106</v>
      </c>
      <c r="G616" s="23" t="n">
        <v>45657</v>
      </c>
      <c r="H616" s="24" t="n">
        <f aca="false">IF(G616="","",ROUND((Config!$C$4-G616)/365.25,2))</f>
        <v>1.75</v>
      </c>
      <c r="I616" s="25" t="str">
        <f aca="false">IF(H616="","",IF(H616&lt;=1,"Tramo 1",IF(H616&lt;=3,"Tramo 2",IF(H616&lt;=5,"Tramo 3","Tramo 4"))))</f>
        <v>Tramo 2</v>
      </c>
      <c r="J616" s="22" t="s">
        <v>140</v>
      </c>
      <c r="K616" s="22"/>
      <c r="L616" s="22" t="s">
        <v>2780</v>
      </c>
      <c r="M616" s="26" t="s">
        <v>2781</v>
      </c>
      <c r="N616" s="22"/>
      <c r="O616" s="22" t="s">
        <v>63</v>
      </c>
      <c r="P616" s="25" t="str">
        <f aca="false">IF(OR(O616="",O616="Sin información"),"",IFERROR(INDEX(Listas!$B$2:$B$9,MATCH(O616,Listas!$A$2:$A$9,0)),""))</f>
        <v/>
      </c>
      <c r="Q616" s="25" t="str">
        <f aca="false">IF(OR(O616="",O616="Sin información"),"",IFERROR(INDEX(Listas!$C$2:$C$9,MATCH(O616,Listas!$A$2:$A$9,0)),""))</f>
        <v/>
      </c>
      <c r="R616" s="22"/>
      <c r="S616" s="22"/>
      <c r="T616" s="25" t="str">
        <f aca="false">IF(S616="","",IFERROR(INDEX(Empleadores!$B$2:$B$601,MATCH(S616,Empleadores!$A$2:$A$601,0)),"No encontrado"))</f>
        <v/>
      </c>
      <c r="U616" s="25" t="str">
        <f aca="false">IF(C616="","",IF(V616="","No",IF(Config!$C$4-V616&lt;=Config!$C$15,"Sí","No")))</f>
        <v>No</v>
      </c>
      <c r="V616" s="23"/>
      <c r="W616" s="22"/>
      <c r="X616" s="22"/>
      <c r="Y616" s="22"/>
      <c r="Z616" s="27"/>
      <c r="AA616" s="22"/>
      <c r="AB616" s="22"/>
    </row>
    <row r="617" customFormat="false" ht="15" hidden="false" customHeight="false" outlineLevel="0" collapsed="false">
      <c r="A617" s="22" t="n">
        <v>616</v>
      </c>
      <c r="B617" s="22" t="s">
        <v>2782</v>
      </c>
      <c r="C617" s="22" t="s">
        <v>2783</v>
      </c>
      <c r="D617" s="22" t="s">
        <v>149</v>
      </c>
      <c r="E617" s="22" t="s">
        <v>139</v>
      </c>
      <c r="F617" s="22" t="s">
        <v>106</v>
      </c>
      <c r="G617" s="23" t="n">
        <v>45657</v>
      </c>
      <c r="H617" s="24" t="n">
        <f aca="false">IF(G617="","",ROUND((Config!$C$4-G617)/365.25,2))</f>
        <v>1.75</v>
      </c>
      <c r="I617" s="25" t="str">
        <f aca="false">IF(H617="","",IF(H617&lt;=1,"Tramo 1",IF(H617&lt;=3,"Tramo 2",IF(H617&lt;=5,"Tramo 3","Tramo 4"))))</f>
        <v>Tramo 2</v>
      </c>
      <c r="J617" s="22" t="s">
        <v>166</v>
      </c>
      <c r="K617" s="22"/>
      <c r="L617" s="22" t="s">
        <v>2784</v>
      </c>
      <c r="M617" s="26" t="s">
        <v>2785</v>
      </c>
      <c r="N617" s="22"/>
      <c r="O617" s="22" t="s">
        <v>63</v>
      </c>
      <c r="P617" s="25" t="str">
        <f aca="false">IF(OR(O617="",O617="Sin información"),"",IFERROR(INDEX(Listas!$B$2:$B$9,MATCH(O617,Listas!$A$2:$A$9,0)),""))</f>
        <v/>
      </c>
      <c r="Q617" s="25" t="str">
        <f aca="false">IF(OR(O617="",O617="Sin información"),"",IFERROR(INDEX(Listas!$C$2:$C$9,MATCH(O617,Listas!$A$2:$A$9,0)),""))</f>
        <v/>
      </c>
      <c r="R617" s="22"/>
      <c r="S617" s="22"/>
      <c r="T617" s="25" t="str">
        <f aca="false">IF(S617="","",IFERROR(INDEX(Empleadores!$B$2:$B$601,MATCH(S617,Empleadores!$A$2:$A$601,0)),"No encontrado"))</f>
        <v/>
      </c>
      <c r="U617" s="25" t="str">
        <f aca="false">IF(C617="","",IF(V617="","No",IF(Config!$C$4-V617&lt;=Config!$C$15,"Sí","No")))</f>
        <v>No</v>
      </c>
      <c r="V617" s="23"/>
      <c r="W617" s="22"/>
      <c r="X617" s="22"/>
      <c r="Y617" s="22"/>
      <c r="Z617" s="27"/>
      <c r="AA617" s="22" t="s">
        <v>2786</v>
      </c>
      <c r="AB617" s="22" t="s">
        <v>1691</v>
      </c>
    </row>
    <row r="618" customFormat="false" ht="15" hidden="false" customHeight="false" outlineLevel="0" collapsed="false">
      <c r="A618" s="22" t="n">
        <v>617</v>
      </c>
      <c r="B618" s="22" t="s">
        <v>2787</v>
      </c>
      <c r="C618" s="22" t="s">
        <v>2788</v>
      </c>
      <c r="D618" s="22" t="s">
        <v>149</v>
      </c>
      <c r="E618" s="22" t="s">
        <v>139</v>
      </c>
      <c r="F618" s="22" t="s">
        <v>106</v>
      </c>
      <c r="G618" s="23" t="n">
        <v>45657</v>
      </c>
      <c r="H618" s="24" t="n">
        <f aca="false">IF(G618="","",ROUND((Config!$C$4-G618)/365.25,2))</f>
        <v>1.75</v>
      </c>
      <c r="I618" s="25" t="str">
        <f aca="false">IF(H618="","",IF(H618&lt;=1,"Tramo 1",IF(H618&lt;=3,"Tramo 2",IF(H618&lt;=5,"Tramo 3","Tramo 4"))))</f>
        <v>Tramo 2</v>
      </c>
      <c r="J618" s="22" t="s">
        <v>166</v>
      </c>
      <c r="K618" s="22"/>
      <c r="L618" s="22" t="s">
        <v>2789</v>
      </c>
      <c r="M618" s="26" t="s">
        <v>2790</v>
      </c>
      <c r="N618" s="22"/>
      <c r="O618" s="22" t="s">
        <v>63</v>
      </c>
      <c r="P618" s="25" t="str">
        <f aca="false">IF(OR(O618="",O618="Sin información"),"",IFERROR(INDEX(Listas!$B$2:$B$9,MATCH(O618,Listas!$A$2:$A$9,0)),""))</f>
        <v/>
      </c>
      <c r="Q618" s="25" t="str">
        <f aca="false">IF(OR(O618="",O618="Sin información"),"",IFERROR(INDEX(Listas!$C$2:$C$9,MATCH(O618,Listas!$A$2:$A$9,0)),""))</f>
        <v/>
      </c>
      <c r="R618" s="22"/>
      <c r="S618" s="22"/>
      <c r="T618" s="25" t="str">
        <f aca="false">IF(S618="","",IFERROR(INDEX(Empleadores!$B$2:$B$601,MATCH(S618,Empleadores!$A$2:$A$601,0)),"No encontrado"))</f>
        <v/>
      </c>
      <c r="U618" s="25" t="str">
        <f aca="false">IF(C618="","",IF(V618="","No",IF(Config!$C$4-V618&lt;=Config!$C$15,"Sí","No")))</f>
        <v>No</v>
      </c>
      <c r="V618" s="23"/>
      <c r="W618" s="22"/>
      <c r="X618" s="22"/>
      <c r="Y618" s="22"/>
      <c r="Z618" s="27"/>
      <c r="AA618" s="22"/>
      <c r="AB618" s="22"/>
    </row>
    <row r="619" customFormat="false" ht="15" hidden="false" customHeight="false" outlineLevel="0" collapsed="false">
      <c r="A619" s="22" t="n">
        <v>618</v>
      </c>
      <c r="B619" s="22" t="s">
        <v>2791</v>
      </c>
      <c r="C619" s="22" t="s">
        <v>2792</v>
      </c>
      <c r="D619" s="22" t="s">
        <v>138</v>
      </c>
      <c r="E619" s="22" t="s">
        <v>139</v>
      </c>
      <c r="F619" s="22" t="s">
        <v>106</v>
      </c>
      <c r="G619" s="23" t="n">
        <v>45657</v>
      </c>
      <c r="H619" s="24" t="n">
        <f aca="false">IF(G619="","",ROUND((Config!$C$4-G619)/365.25,2))</f>
        <v>1.75</v>
      </c>
      <c r="I619" s="25" t="str">
        <f aca="false">IF(H619="","",IF(H619&lt;=1,"Tramo 1",IF(H619&lt;=3,"Tramo 2",IF(H619&lt;=5,"Tramo 3","Tramo 4"))))</f>
        <v>Tramo 2</v>
      </c>
      <c r="J619" s="22" t="s">
        <v>166</v>
      </c>
      <c r="K619" s="22"/>
      <c r="L619" s="22" t="s">
        <v>2793</v>
      </c>
      <c r="M619" s="26" t="s">
        <v>2794</v>
      </c>
      <c r="N619" s="22"/>
      <c r="O619" s="22" t="s">
        <v>63</v>
      </c>
      <c r="P619" s="25" t="str">
        <f aca="false">IF(OR(O619="",O619="Sin información"),"",IFERROR(INDEX(Listas!$B$2:$B$9,MATCH(O619,Listas!$A$2:$A$9,0)),""))</f>
        <v/>
      </c>
      <c r="Q619" s="25" t="str">
        <f aca="false">IF(OR(O619="",O619="Sin información"),"",IFERROR(INDEX(Listas!$C$2:$C$9,MATCH(O619,Listas!$A$2:$A$9,0)),""))</f>
        <v/>
      </c>
      <c r="R619" s="22"/>
      <c r="S619" s="22"/>
      <c r="T619" s="25" t="str">
        <f aca="false">IF(S619="","",IFERROR(INDEX(Empleadores!$B$2:$B$601,MATCH(S619,Empleadores!$A$2:$A$601,0)),"No encontrado"))</f>
        <v/>
      </c>
      <c r="U619" s="25" t="str">
        <f aca="false">IF(C619="","",IF(V619="","No",IF(Config!$C$4-V619&lt;=Config!$C$15,"Sí","No")))</f>
        <v>No</v>
      </c>
      <c r="V619" s="23"/>
      <c r="W619" s="22"/>
      <c r="X619" s="22"/>
      <c r="Y619" s="22"/>
      <c r="Z619" s="27"/>
      <c r="AA619" s="22" t="s">
        <v>2795</v>
      </c>
      <c r="AB619" s="22" t="s">
        <v>1691</v>
      </c>
    </row>
    <row r="620" customFormat="false" ht="15" hidden="false" customHeight="false" outlineLevel="0" collapsed="false">
      <c r="A620" s="22" t="n">
        <v>619</v>
      </c>
      <c r="B620" s="22" t="s">
        <v>2796</v>
      </c>
      <c r="C620" s="22" t="s">
        <v>2797</v>
      </c>
      <c r="D620" s="22" t="s">
        <v>138</v>
      </c>
      <c r="E620" s="22" t="s">
        <v>139</v>
      </c>
      <c r="F620" s="22" t="s">
        <v>106</v>
      </c>
      <c r="G620" s="23" t="n">
        <v>45657</v>
      </c>
      <c r="H620" s="24" t="n">
        <f aca="false">IF(G620="","",ROUND((Config!$C$4-G620)/365.25,2))</f>
        <v>1.75</v>
      </c>
      <c r="I620" s="25" t="str">
        <f aca="false">IF(H620="","",IF(H620&lt;=1,"Tramo 1",IF(H620&lt;=3,"Tramo 2",IF(H620&lt;=5,"Tramo 3","Tramo 4"))))</f>
        <v>Tramo 2</v>
      </c>
      <c r="J620" s="22" t="s">
        <v>166</v>
      </c>
      <c r="K620" s="22"/>
      <c r="L620" s="22" t="s">
        <v>2798</v>
      </c>
      <c r="M620" s="26" t="s">
        <v>2799</v>
      </c>
      <c r="N620" s="22"/>
      <c r="O620" s="22" t="s">
        <v>63</v>
      </c>
      <c r="P620" s="25" t="str">
        <f aca="false">IF(OR(O620="",O620="Sin información"),"",IFERROR(INDEX(Listas!$B$2:$B$9,MATCH(O620,Listas!$A$2:$A$9,0)),""))</f>
        <v/>
      </c>
      <c r="Q620" s="25" t="str">
        <f aca="false">IF(OR(O620="",O620="Sin información"),"",IFERROR(INDEX(Listas!$C$2:$C$9,MATCH(O620,Listas!$A$2:$A$9,0)),""))</f>
        <v/>
      </c>
      <c r="R620" s="22"/>
      <c r="S620" s="22"/>
      <c r="T620" s="25" t="str">
        <f aca="false">IF(S620="","",IFERROR(INDEX(Empleadores!$B$2:$B$601,MATCH(S620,Empleadores!$A$2:$A$601,0)),"No encontrado"))</f>
        <v/>
      </c>
      <c r="U620" s="25" t="str">
        <f aca="false">IF(C620="","",IF(V620="","No",IF(Config!$C$4-V620&lt;=Config!$C$15,"Sí","No")))</f>
        <v>No</v>
      </c>
      <c r="V620" s="23"/>
      <c r="W620" s="22"/>
      <c r="X620" s="22"/>
      <c r="Y620" s="22"/>
      <c r="Z620" s="27"/>
      <c r="AA620" s="22"/>
      <c r="AB620" s="22"/>
    </row>
    <row r="621" customFormat="false" ht="15" hidden="false" customHeight="false" outlineLevel="0" collapsed="false">
      <c r="A621" s="22" t="n">
        <v>620</v>
      </c>
      <c r="B621" s="22" t="s">
        <v>2800</v>
      </c>
      <c r="C621" s="22" t="s">
        <v>2801</v>
      </c>
      <c r="D621" s="22" t="s">
        <v>149</v>
      </c>
      <c r="E621" s="22" t="s">
        <v>139</v>
      </c>
      <c r="F621" s="22" t="s">
        <v>106</v>
      </c>
      <c r="G621" s="23" t="n">
        <v>45657</v>
      </c>
      <c r="H621" s="24" t="n">
        <f aca="false">IF(G621="","",ROUND((Config!$C$4-G621)/365.25,2))</f>
        <v>1.75</v>
      </c>
      <c r="I621" s="25" t="str">
        <f aca="false">IF(H621="","",IF(H621&lt;=1,"Tramo 1",IF(H621&lt;=3,"Tramo 2",IF(H621&lt;=5,"Tramo 3","Tramo 4"))))</f>
        <v>Tramo 2</v>
      </c>
      <c r="J621" s="22" t="s">
        <v>166</v>
      </c>
      <c r="K621" s="22"/>
      <c r="L621" s="22" t="s">
        <v>2802</v>
      </c>
      <c r="M621" s="26" t="s">
        <v>2803</v>
      </c>
      <c r="N621" s="22"/>
      <c r="O621" s="22" t="s">
        <v>63</v>
      </c>
      <c r="P621" s="25" t="str">
        <f aca="false">IF(OR(O621="",O621="Sin información"),"",IFERROR(INDEX(Listas!$B$2:$B$9,MATCH(O621,Listas!$A$2:$A$9,0)),""))</f>
        <v/>
      </c>
      <c r="Q621" s="25" t="str">
        <f aca="false">IF(OR(O621="",O621="Sin información"),"",IFERROR(INDEX(Listas!$C$2:$C$9,MATCH(O621,Listas!$A$2:$A$9,0)),""))</f>
        <v/>
      </c>
      <c r="R621" s="22"/>
      <c r="S621" s="22"/>
      <c r="T621" s="25" t="str">
        <f aca="false">IF(S621="","",IFERROR(INDEX(Empleadores!$B$2:$B$601,MATCH(S621,Empleadores!$A$2:$A$601,0)),"No encontrado"))</f>
        <v/>
      </c>
      <c r="U621" s="25" t="str">
        <f aca="false">IF(C621="","",IF(V621="","No",IF(Config!$C$4-V621&lt;=Config!$C$15,"Sí","No")))</f>
        <v>No</v>
      </c>
      <c r="V621" s="23"/>
      <c r="W621" s="22"/>
      <c r="X621" s="22"/>
      <c r="Y621" s="22"/>
      <c r="Z621" s="27"/>
      <c r="AA621" s="22" t="s">
        <v>2804</v>
      </c>
      <c r="AB621" s="22" t="s">
        <v>1691</v>
      </c>
    </row>
    <row r="622" customFormat="false" ht="15" hidden="false" customHeight="false" outlineLevel="0" collapsed="false">
      <c r="A622" s="22" t="n">
        <v>621</v>
      </c>
      <c r="B622" s="22" t="s">
        <v>2805</v>
      </c>
      <c r="C622" s="22" t="s">
        <v>2806</v>
      </c>
      <c r="D622" s="22" t="s">
        <v>149</v>
      </c>
      <c r="E622" s="22" t="s">
        <v>139</v>
      </c>
      <c r="F622" s="22" t="s">
        <v>106</v>
      </c>
      <c r="G622" s="23" t="n">
        <v>45657</v>
      </c>
      <c r="H622" s="24" t="n">
        <f aca="false">IF(G622="","",ROUND((Config!$C$4-G622)/365.25,2))</f>
        <v>1.75</v>
      </c>
      <c r="I622" s="25" t="str">
        <f aca="false">IF(H622="","",IF(H622&lt;=1,"Tramo 1",IF(H622&lt;=3,"Tramo 2",IF(H622&lt;=5,"Tramo 3","Tramo 4"))))</f>
        <v>Tramo 2</v>
      </c>
      <c r="J622" s="22" t="s">
        <v>166</v>
      </c>
      <c r="K622" s="22"/>
      <c r="L622" s="22" t="s">
        <v>2807</v>
      </c>
      <c r="M622" s="26" t="s">
        <v>2808</v>
      </c>
      <c r="N622" s="22"/>
      <c r="O622" s="22" t="s">
        <v>63</v>
      </c>
      <c r="P622" s="25" t="str">
        <f aca="false">IF(OR(O622="",O622="Sin información"),"",IFERROR(INDEX(Listas!$B$2:$B$9,MATCH(O622,Listas!$A$2:$A$9,0)),""))</f>
        <v/>
      </c>
      <c r="Q622" s="25" t="str">
        <f aca="false">IF(OR(O622="",O622="Sin información"),"",IFERROR(INDEX(Listas!$C$2:$C$9,MATCH(O622,Listas!$A$2:$A$9,0)),""))</f>
        <v/>
      </c>
      <c r="R622" s="22"/>
      <c r="S622" s="22"/>
      <c r="T622" s="25" t="str">
        <f aca="false">IF(S622="","",IFERROR(INDEX(Empleadores!$B$2:$B$601,MATCH(S622,Empleadores!$A$2:$A$601,0)),"No encontrado"))</f>
        <v/>
      </c>
      <c r="U622" s="25" t="str">
        <f aca="false">IF(C622="","",IF(V622="","No",IF(Config!$C$4-V622&lt;=Config!$C$15,"Sí","No")))</f>
        <v>No</v>
      </c>
      <c r="V622" s="23"/>
      <c r="W622" s="22"/>
      <c r="X622" s="22"/>
      <c r="Y622" s="22"/>
      <c r="Z622" s="27"/>
      <c r="AA622" s="22" t="s">
        <v>2809</v>
      </c>
      <c r="AB622" s="22" t="s">
        <v>1691</v>
      </c>
    </row>
    <row r="623" customFormat="false" ht="15" hidden="false" customHeight="false" outlineLevel="0" collapsed="false">
      <c r="A623" s="22" t="n">
        <v>622</v>
      </c>
      <c r="B623" s="22" t="s">
        <v>2810</v>
      </c>
      <c r="C623" s="22" t="s">
        <v>2811</v>
      </c>
      <c r="D623" s="22" t="s">
        <v>138</v>
      </c>
      <c r="E623" s="22" t="s">
        <v>139</v>
      </c>
      <c r="F623" s="22" t="s">
        <v>106</v>
      </c>
      <c r="G623" s="23" t="n">
        <v>45657</v>
      </c>
      <c r="H623" s="24" t="n">
        <f aca="false">IF(G623="","",ROUND((Config!$C$4-G623)/365.25,2))</f>
        <v>1.75</v>
      </c>
      <c r="I623" s="25" t="str">
        <f aca="false">IF(H623="","",IF(H623&lt;=1,"Tramo 1",IF(H623&lt;=3,"Tramo 2",IF(H623&lt;=5,"Tramo 3","Tramo 4"))))</f>
        <v>Tramo 2</v>
      </c>
      <c r="J623" s="22" t="s">
        <v>140</v>
      </c>
      <c r="K623" s="22"/>
      <c r="L623" s="22" t="s">
        <v>2812</v>
      </c>
      <c r="M623" s="26" t="s">
        <v>2813</v>
      </c>
      <c r="N623" s="22"/>
      <c r="O623" s="22" t="s">
        <v>63</v>
      </c>
      <c r="P623" s="25" t="str">
        <f aca="false">IF(OR(O623="",O623="Sin información"),"",IFERROR(INDEX(Listas!$B$2:$B$9,MATCH(O623,Listas!$A$2:$A$9,0)),""))</f>
        <v/>
      </c>
      <c r="Q623" s="25" t="str">
        <f aca="false">IF(OR(O623="",O623="Sin información"),"",IFERROR(INDEX(Listas!$C$2:$C$9,MATCH(O623,Listas!$A$2:$A$9,0)),""))</f>
        <v/>
      </c>
      <c r="R623" s="22"/>
      <c r="S623" s="22"/>
      <c r="T623" s="25" t="str">
        <f aca="false">IF(S623="","",IFERROR(INDEX(Empleadores!$B$2:$B$601,MATCH(S623,Empleadores!$A$2:$A$601,0)),"No encontrado"))</f>
        <v/>
      </c>
      <c r="U623" s="25" t="str">
        <f aca="false">IF(C623="","",IF(V623="","No",IF(Config!$C$4-V623&lt;=Config!$C$15,"Sí","No")))</f>
        <v>No</v>
      </c>
      <c r="V623" s="23"/>
      <c r="W623" s="22"/>
      <c r="X623" s="22"/>
      <c r="Y623" s="22"/>
      <c r="Z623" s="27"/>
      <c r="AA623" s="22"/>
      <c r="AB623" s="22"/>
    </row>
    <row r="624" customFormat="false" ht="15" hidden="false" customHeight="false" outlineLevel="0" collapsed="false">
      <c r="A624" s="22" t="n">
        <v>623</v>
      </c>
      <c r="B624" s="22" t="s">
        <v>2814</v>
      </c>
      <c r="C624" s="22" t="s">
        <v>2815</v>
      </c>
      <c r="D624" s="22" t="s">
        <v>149</v>
      </c>
      <c r="E624" s="22" t="s">
        <v>139</v>
      </c>
      <c r="F624" s="22" t="s">
        <v>106</v>
      </c>
      <c r="G624" s="23" t="n">
        <v>45657</v>
      </c>
      <c r="H624" s="24" t="n">
        <f aca="false">IF(G624="","",ROUND((Config!$C$4-G624)/365.25,2))</f>
        <v>1.75</v>
      </c>
      <c r="I624" s="25" t="str">
        <f aca="false">IF(H624="","",IF(H624&lt;=1,"Tramo 1",IF(H624&lt;=3,"Tramo 2",IF(H624&lt;=5,"Tramo 3","Tramo 4"))))</f>
        <v>Tramo 2</v>
      </c>
      <c r="J624" s="22" t="s">
        <v>166</v>
      </c>
      <c r="K624" s="22"/>
      <c r="L624" s="22" t="s">
        <v>2816</v>
      </c>
      <c r="M624" s="26" t="s">
        <v>2817</v>
      </c>
      <c r="N624" s="22"/>
      <c r="O624" s="22" t="s">
        <v>90</v>
      </c>
      <c r="P624" s="25" t="str">
        <f aca="false">IF(OR(O624="",O624="Sin información"),"",IFERROR(INDEX(Listas!$B$2:$B$9,MATCH(O624,Listas!$A$2:$A$9,0)),""))</f>
        <v>No</v>
      </c>
      <c r="Q624" s="25" t="str">
        <f aca="false">IF(OR(O624="",O624="Sin información"),"",IFERROR(INDEX(Listas!$C$2:$C$9,MATCH(O624,Listas!$A$2:$A$9,0)),""))</f>
        <v>No</v>
      </c>
      <c r="R624" s="22"/>
      <c r="S624" s="22"/>
      <c r="T624" s="25" t="str">
        <f aca="false">IF(S624="","",IFERROR(INDEX(Empleadores!$B$2:$B$601,MATCH(S624,Empleadores!$A$2:$A$601,0)),"No encontrado"))</f>
        <v/>
      </c>
      <c r="U624" s="25" t="str">
        <f aca="false">IF(C624="","",IF(V624="","No",IF(Config!$C$4-V624&lt;=Config!$C$15,"Sí","No")))</f>
        <v>Sí</v>
      </c>
      <c r="V624" s="23" t="n">
        <v>45967</v>
      </c>
      <c r="W624" s="22"/>
      <c r="X624" s="22"/>
      <c r="Y624" s="22" t="s">
        <v>181</v>
      </c>
      <c r="Z624" s="27" t="s">
        <v>2650</v>
      </c>
      <c r="AA624" s="22"/>
      <c r="AB624" s="22" t="s">
        <v>183</v>
      </c>
    </row>
    <row r="625" customFormat="false" ht="15" hidden="false" customHeight="false" outlineLevel="0" collapsed="false">
      <c r="A625" s="22" t="n">
        <v>624</v>
      </c>
      <c r="B625" s="22" t="s">
        <v>2818</v>
      </c>
      <c r="C625" s="22" t="s">
        <v>2819</v>
      </c>
      <c r="D625" s="22" t="s">
        <v>149</v>
      </c>
      <c r="E625" s="22" t="s">
        <v>139</v>
      </c>
      <c r="F625" s="22" t="s">
        <v>106</v>
      </c>
      <c r="G625" s="23" t="n">
        <v>45657</v>
      </c>
      <c r="H625" s="24" t="n">
        <f aca="false">IF(G625="","",ROUND((Config!$C$4-G625)/365.25,2))</f>
        <v>1.75</v>
      </c>
      <c r="I625" s="25" t="str">
        <f aca="false">IF(H625="","",IF(H625&lt;=1,"Tramo 1",IF(H625&lt;=3,"Tramo 2",IF(H625&lt;=5,"Tramo 3","Tramo 4"))))</f>
        <v>Tramo 2</v>
      </c>
      <c r="J625" s="22" t="s">
        <v>140</v>
      </c>
      <c r="K625" s="22"/>
      <c r="L625" s="22" t="s">
        <v>2820</v>
      </c>
      <c r="M625" s="26" t="s">
        <v>2821</v>
      </c>
      <c r="N625" s="22"/>
      <c r="O625" s="22" t="s">
        <v>63</v>
      </c>
      <c r="P625" s="25" t="str">
        <f aca="false">IF(OR(O625="",O625="Sin información"),"",IFERROR(INDEX(Listas!$B$2:$B$9,MATCH(O625,Listas!$A$2:$A$9,0)),""))</f>
        <v/>
      </c>
      <c r="Q625" s="25" t="str">
        <f aca="false">IF(OR(O625="",O625="Sin información"),"",IFERROR(INDEX(Listas!$C$2:$C$9,MATCH(O625,Listas!$A$2:$A$9,0)),""))</f>
        <v/>
      </c>
      <c r="R625" s="22"/>
      <c r="S625" s="22"/>
      <c r="T625" s="25" t="str">
        <f aca="false">IF(S625="","",IFERROR(INDEX(Empleadores!$B$2:$B$601,MATCH(S625,Empleadores!$A$2:$A$601,0)),"No encontrado"))</f>
        <v/>
      </c>
      <c r="U625" s="25" t="str">
        <f aca="false">IF(C625="","",IF(V625="","No",IF(Config!$C$4-V625&lt;=Config!$C$15,"Sí","No")))</f>
        <v>Sí</v>
      </c>
      <c r="V625" s="23" t="n">
        <v>45960</v>
      </c>
      <c r="W625" s="22"/>
      <c r="X625" s="22"/>
      <c r="Y625" s="22" t="s">
        <v>181</v>
      </c>
      <c r="Z625" s="27"/>
      <c r="AA625" s="22"/>
      <c r="AB625" s="22" t="s">
        <v>183</v>
      </c>
    </row>
    <row r="626" customFormat="false" ht="15" hidden="false" customHeight="false" outlineLevel="0" collapsed="false">
      <c r="A626" s="22" t="n">
        <v>625</v>
      </c>
      <c r="B626" s="22" t="s">
        <v>2822</v>
      </c>
      <c r="C626" s="22" t="s">
        <v>2823</v>
      </c>
      <c r="D626" s="22" t="s">
        <v>149</v>
      </c>
      <c r="E626" s="22" t="s">
        <v>139</v>
      </c>
      <c r="F626" s="22" t="s">
        <v>106</v>
      </c>
      <c r="G626" s="23" t="n">
        <v>45657</v>
      </c>
      <c r="H626" s="24" t="n">
        <f aca="false">IF(G626="","",ROUND((Config!$C$4-G626)/365.25,2))</f>
        <v>1.75</v>
      </c>
      <c r="I626" s="25" t="str">
        <f aca="false">IF(H626="","",IF(H626&lt;=1,"Tramo 1",IF(H626&lt;=3,"Tramo 2",IF(H626&lt;=5,"Tramo 3","Tramo 4"))))</f>
        <v>Tramo 2</v>
      </c>
      <c r="J626" s="22" t="s">
        <v>166</v>
      </c>
      <c r="K626" s="22"/>
      <c r="L626" s="22" t="s">
        <v>2824</v>
      </c>
      <c r="M626" s="26" t="s">
        <v>2825</v>
      </c>
      <c r="N626" s="22"/>
      <c r="O626" s="22" t="s">
        <v>63</v>
      </c>
      <c r="P626" s="25" t="str">
        <f aca="false">IF(OR(O626="",O626="Sin información"),"",IFERROR(INDEX(Listas!$B$2:$B$9,MATCH(O626,Listas!$A$2:$A$9,0)),""))</f>
        <v/>
      </c>
      <c r="Q626" s="25" t="str">
        <f aca="false">IF(OR(O626="",O626="Sin información"),"",IFERROR(INDEX(Listas!$C$2:$C$9,MATCH(O626,Listas!$A$2:$A$9,0)),""))</f>
        <v/>
      </c>
      <c r="R626" s="22"/>
      <c r="S626" s="22"/>
      <c r="T626" s="25" t="str">
        <f aca="false">IF(S626="","",IFERROR(INDEX(Empleadores!$B$2:$B$601,MATCH(S626,Empleadores!$A$2:$A$601,0)),"No encontrado"))</f>
        <v/>
      </c>
      <c r="U626" s="25" t="str">
        <f aca="false">IF(C626="","",IF(V626="","No",IF(Config!$C$4-V626&lt;=Config!$C$15,"Sí","No")))</f>
        <v>No</v>
      </c>
      <c r="V626" s="23"/>
      <c r="W626" s="22"/>
      <c r="X626" s="22"/>
      <c r="Y626" s="22"/>
      <c r="Z626" s="27"/>
      <c r="AA626" s="22"/>
      <c r="AB626" s="22"/>
    </row>
    <row r="627" customFormat="false" ht="15" hidden="false" customHeight="false" outlineLevel="0" collapsed="false">
      <c r="A627" s="22" t="n">
        <v>626</v>
      </c>
      <c r="B627" s="22" t="s">
        <v>2826</v>
      </c>
      <c r="C627" s="22" t="s">
        <v>2827</v>
      </c>
      <c r="D627" s="22" t="s">
        <v>149</v>
      </c>
      <c r="E627" s="22" t="s">
        <v>139</v>
      </c>
      <c r="F627" s="22" t="s">
        <v>106</v>
      </c>
      <c r="G627" s="23" t="n">
        <v>45657</v>
      </c>
      <c r="H627" s="24" t="n">
        <f aca="false">IF(G627="","",ROUND((Config!$C$4-G627)/365.25,2))</f>
        <v>1.75</v>
      </c>
      <c r="I627" s="25" t="str">
        <f aca="false">IF(H627="","",IF(H627&lt;=1,"Tramo 1",IF(H627&lt;=3,"Tramo 2",IF(H627&lt;=5,"Tramo 3","Tramo 4"))))</f>
        <v>Tramo 2</v>
      </c>
      <c r="J627" s="22" t="s">
        <v>166</v>
      </c>
      <c r="K627" s="22"/>
      <c r="L627" s="22" t="s">
        <v>2828</v>
      </c>
      <c r="M627" s="26" t="s">
        <v>2829</v>
      </c>
      <c r="N627" s="22"/>
      <c r="O627" s="22" t="s">
        <v>63</v>
      </c>
      <c r="P627" s="25" t="str">
        <f aca="false">IF(OR(O627="",O627="Sin información"),"",IFERROR(INDEX(Listas!$B$2:$B$9,MATCH(O627,Listas!$A$2:$A$9,0)),""))</f>
        <v/>
      </c>
      <c r="Q627" s="25" t="str">
        <f aca="false">IF(OR(O627="",O627="Sin información"),"",IFERROR(INDEX(Listas!$C$2:$C$9,MATCH(O627,Listas!$A$2:$A$9,0)),""))</f>
        <v/>
      </c>
      <c r="R627" s="22"/>
      <c r="S627" s="22"/>
      <c r="T627" s="25" t="str">
        <f aca="false">IF(S627="","",IFERROR(INDEX(Empleadores!$B$2:$B$601,MATCH(S627,Empleadores!$A$2:$A$601,0)),"No encontrado"))</f>
        <v/>
      </c>
      <c r="U627" s="25" t="str">
        <f aca="false">IF(C627="","",IF(V627="","No",IF(Config!$C$4-V627&lt;=Config!$C$15,"Sí","No")))</f>
        <v>No</v>
      </c>
      <c r="V627" s="23"/>
      <c r="W627" s="22"/>
      <c r="X627" s="22"/>
      <c r="Y627" s="22"/>
      <c r="Z627" s="27"/>
      <c r="AA627" s="22" t="s">
        <v>2830</v>
      </c>
      <c r="AB627" s="22" t="s">
        <v>1691</v>
      </c>
    </row>
    <row r="628" customFormat="false" ht="15" hidden="false" customHeight="false" outlineLevel="0" collapsed="false">
      <c r="A628" s="22" t="n">
        <v>627</v>
      </c>
      <c r="B628" s="22" t="s">
        <v>2831</v>
      </c>
      <c r="C628" s="22" t="s">
        <v>2832</v>
      </c>
      <c r="D628" s="22" t="s">
        <v>138</v>
      </c>
      <c r="E628" s="22" t="s">
        <v>139</v>
      </c>
      <c r="F628" s="22" t="s">
        <v>106</v>
      </c>
      <c r="G628" s="23" t="n">
        <v>45657</v>
      </c>
      <c r="H628" s="24" t="n">
        <f aca="false">IF(G628="","",ROUND((Config!$C$4-G628)/365.25,2))</f>
        <v>1.75</v>
      </c>
      <c r="I628" s="25" t="str">
        <f aca="false">IF(H628="","",IF(H628&lt;=1,"Tramo 1",IF(H628&lt;=3,"Tramo 2",IF(H628&lt;=5,"Tramo 3","Tramo 4"))))</f>
        <v>Tramo 2</v>
      </c>
      <c r="J628" s="22" t="s">
        <v>140</v>
      </c>
      <c r="K628" s="22"/>
      <c r="L628" s="22" t="s">
        <v>2833</v>
      </c>
      <c r="M628" s="26" t="s">
        <v>2834</v>
      </c>
      <c r="N628" s="22"/>
      <c r="O628" s="22" t="s">
        <v>63</v>
      </c>
      <c r="P628" s="25" t="str">
        <f aca="false">IF(OR(O628="",O628="Sin información"),"",IFERROR(INDEX(Listas!$B$2:$B$9,MATCH(O628,Listas!$A$2:$A$9,0)),""))</f>
        <v/>
      </c>
      <c r="Q628" s="25" t="str">
        <f aca="false">IF(OR(O628="",O628="Sin información"),"",IFERROR(INDEX(Listas!$C$2:$C$9,MATCH(O628,Listas!$A$2:$A$9,0)),""))</f>
        <v/>
      </c>
      <c r="R628" s="22"/>
      <c r="S628" s="22"/>
      <c r="T628" s="25" t="str">
        <f aca="false">IF(S628="","",IFERROR(INDEX(Empleadores!$B$2:$B$601,MATCH(S628,Empleadores!$A$2:$A$601,0)),"No encontrado"))</f>
        <v/>
      </c>
      <c r="U628" s="25" t="str">
        <f aca="false">IF(C628="","",IF(V628="","No",IF(Config!$C$4-V628&lt;=Config!$C$15,"Sí","No")))</f>
        <v>No</v>
      </c>
      <c r="V628" s="23"/>
      <c r="W628" s="22"/>
      <c r="X628" s="22"/>
      <c r="Y628" s="22"/>
      <c r="Z628" s="27"/>
      <c r="AA628" s="22" t="s">
        <v>2835</v>
      </c>
      <c r="AB628" s="22" t="s">
        <v>1691</v>
      </c>
    </row>
    <row r="629" customFormat="false" ht="15" hidden="false" customHeight="false" outlineLevel="0" collapsed="false">
      <c r="A629" s="22" t="n">
        <v>628</v>
      </c>
      <c r="B629" s="22" t="s">
        <v>2836</v>
      </c>
      <c r="C629" s="22" t="s">
        <v>2837</v>
      </c>
      <c r="D629" s="22" t="s">
        <v>149</v>
      </c>
      <c r="E629" s="22" t="s">
        <v>139</v>
      </c>
      <c r="F629" s="22" t="s">
        <v>106</v>
      </c>
      <c r="G629" s="23" t="n">
        <v>45657</v>
      </c>
      <c r="H629" s="24" t="n">
        <f aca="false">IF(G629="","",ROUND((Config!$C$4-G629)/365.25,2))</f>
        <v>1.75</v>
      </c>
      <c r="I629" s="25" t="str">
        <f aca="false">IF(H629="","",IF(H629&lt;=1,"Tramo 1",IF(H629&lt;=3,"Tramo 2",IF(H629&lt;=5,"Tramo 3","Tramo 4"))))</f>
        <v>Tramo 2</v>
      </c>
      <c r="J629" s="22" t="s">
        <v>166</v>
      </c>
      <c r="K629" s="22"/>
      <c r="L629" s="22" t="s">
        <v>2838</v>
      </c>
      <c r="M629" s="26" t="s">
        <v>2839</v>
      </c>
      <c r="N629" s="22"/>
      <c r="O629" s="22" t="s">
        <v>63</v>
      </c>
      <c r="P629" s="25" t="str">
        <f aca="false">IF(OR(O629="",O629="Sin información"),"",IFERROR(INDEX(Listas!$B$2:$B$9,MATCH(O629,Listas!$A$2:$A$9,0)),""))</f>
        <v/>
      </c>
      <c r="Q629" s="25" t="str">
        <f aca="false">IF(OR(O629="",O629="Sin información"),"",IFERROR(INDEX(Listas!$C$2:$C$9,MATCH(O629,Listas!$A$2:$A$9,0)),""))</f>
        <v/>
      </c>
      <c r="R629" s="22"/>
      <c r="S629" s="22"/>
      <c r="T629" s="25" t="str">
        <f aca="false">IF(S629="","",IFERROR(INDEX(Empleadores!$B$2:$B$601,MATCH(S629,Empleadores!$A$2:$A$601,0)),"No encontrado"))</f>
        <v/>
      </c>
      <c r="U629" s="25" t="str">
        <f aca="false">IF(C629="","",IF(V629="","No",IF(Config!$C$4-V629&lt;=Config!$C$15,"Sí","No")))</f>
        <v>No</v>
      </c>
      <c r="V629" s="23"/>
      <c r="W629" s="22"/>
      <c r="X629" s="22"/>
      <c r="Y629" s="22"/>
      <c r="Z629" s="27"/>
      <c r="AA629" s="22" t="s">
        <v>2840</v>
      </c>
      <c r="AB629" s="22" t="s">
        <v>1691</v>
      </c>
    </row>
    <row r="630" customFormat="false" ht="15" hidden="false" customHeight="false" outlineLevel="0" collapsed="false">
      <c r="A630" s="22" t="n">
        <v>629</v>
      </c>
      <c r="B630" s="22" t="s">
        <v>2841</v>
      </c>
      <c r="C630" s="22" t="s">
        <v>2842</v>
      </c>
      <c r="D630" s="22" t="s">
        <v>138</v>
      </c>
      <c r="E630" s="22" t="s">
        <v>139</v>
      </c>
      <c r="F630" s="22" t="s">
        <v>106</v>
      </c>
      <c r="G630" s="23" t="n">
        <v>45657</v>
      </c>
      <c r="H630" s="24" t="n">
        <f aca="false">IF(G630="","",ROUND((Config!$C$4-G630)/365.25,2))</f>
        <v>1.75</v>
      </c>
      <c r="I630" s="25" t="str">
        <f aca="false">IF(H630="","",IF(H630&lt;=1,"Tramo 1",IF(H630&lt;=3,"Tramo 2",IF(H630&lt;=5,"Tramo 3","Tramo 4"))))</f>
        <v>Tramo 2</v>
      </c>
      <c r="J630" s="22" t="s">
        <v>166</v>
      </c>
      <c r="K630" s="22"/>
      <c r="L630" s="22" t="s">
        <v>2843</v>
      </c>
      <c r="M630" s="26" t="s">
        <v>2844</v>
      </c>
      <c r="N630" s="22"/>
      <c r="O630" s="22" t="s">
        <v>63</v>
      </c>
      <c r="P630" s="25" t="str">
        <f aca="false">IF(OR(O630="",O630="Sin información"),"",IFERROR(INDEX(Listas!$B$2:$B$9,MATCH(O630,Listas!$A$2:$A$9,0)),""))</f>
        <v/>
      </c>
      <c r="Q630" s="25" t="str">
        <f aca="false">IF(OR(O630="",O630="Sin información"),"",IFERROR(INDEX(Listas!$C$2:$C$9,MATCH(O630,Listas!$A$2:$A$9,0)),""))</f>
        <v/>
      </c>
      <c r="R630" s="22"/>
      <c r="S630" s="22"/>
      <c r="T630" s="25" t="str">
        <f aca="false">IF(S630="","",IFERROR(INDEX(Empleadores!$B$2:$B$601,MATCH(S630,Empleadores!$A$2:$A$601,0)),"No encontrado"))</f>
        <v/>
      </c>
      <c r="U630" s="25" t="str">
        <f aca="false">IF(C630="","",IF(V630="","No",IF(Config!$C$4-V630&lt;=Config!$C$15,"Sí","No")))</f>
        <v>No</v>
      </c>
      <c r="V630" s="23"/>
      <c r="W630" s="22"/>
      <c r="X630" s="22"/>
      <c r="Y630" s="22"/>
      <c r="Z630" s="27"/>
      <c r="AA630" s="22"/>
      <c r="AB630" s="22"/>
    </row>
    <row r="631" customFormat="false" ht="15" hidden="false" customHeight="false" outlineLevel="0" collapsed="false">
      <c r="A631" s="22" t="n">
        <v>630</v>
      </c>
      <c r="B631" s="22" t="s">
        <v>2845</v>
      </c>
      <c r="C631" s="22" t="s">
        <v>2846</v>
      </c>
      <c r="D631" s="22" t="s">
        <v>138</v>
      </c>
      <c r="E631" s="22" t="s">
        <v>139</v>
      </c>
      <c r="F631" s="22" t="s">
        <v>106</v>
      </c>
      <c r="G631" s="23" t="n">
        <v>45657</v>
      </c>
      <c r="H631" s="24" t="n">
        <f aca="false">IF(G631="","",ROUND((Config!$C$4-G631)/365.25,2))</f>
        <v>1.75</v>
      </c>
      <c r="I631" s="25" t="str">
        <f aca="false">IF(H631="","",IF(H631&lt;=1,"Tramo 1",IF(H631&lt;=3,"Tramo 2",IF(H631&lt;=5,"Tramo 3","Tramo 4"))))</f>
        <v>Tramo 2</v>
      </c>
      <c r="J631" s="22" t="s">
        <v>140</v>
      </c>
      <c r="K631" s="22"/>
      <c r="L631" s="22" t="s">
        <v>2847</v>
      </c>
      <c r="M631" s="26" t="s">
        <v>2848</v>
      </c>
      <c r="N631" s="22"/>
      <c r="O631" s="22" t="s">
        <v>63</v>
      </c>
      <c r="P631" s="25" t="str">
        <f aca="false">IF(OR(O631="",O631="Sin información"),"",IFERROR(INDEX(Listas!$B$2:$B$9,MATCH(O631,Listas!$A$2:$A$9,0)),""))</f>
        <v/>
      </c>
      <c r="Q631" s="25" t="str">
        <f aca="false">IF(OR(O631="",O631="Sin información"),"",IFERROR(INDEX(Listas!$C$2:$C$9,MATCH(O631,Listas!$A$2:$A$9,0)),""))</f>
        <v/>
      </c>
      <c r="R631" s="22"/>
      <c r="S631" s="22"/>
      <c r="T631" s="25" t="str">
        <f aca="false">IF(S631="","",IFERROR(INDEX(Empleadores!$B$2:$B$601,MATCH(S631,Empleadores!$A$2:$A$601,0)),"No encontrado"))</f>
        <v/>
      </c>
      <c r="U631" s="25" t="str">
        <f aca="false">IF(C631="","",IF(V631="","No",IF(Config!$C$4-V631&lt;=Config!$C$15,"Sí","No")))</f>
        <v>No</v>
      </c>
      <c r="V631" s="23"/>
      <c r="W631" s="22"/>
      <c r="X631" s="22"/>
      <c r="Y631" s="22"/>
      <c r="Z631" s="27"/>
      <c r="AA631" s="22" t="s">
        <v>2849</v>
      </c>
      <c r="AB631" s="22" t="s">
        <v>1691</v>
      </c>
    </row>
    <row r="632" customFormat="false" ht="15" hidden="false" customHeight="false" outlineLevel="0" collapsed="false">
      <c r="A632" s="22" t="n">
        <v>631</v>
      </c>
      <c r="B632" s="22" t="s">
        <v>2850</v>
      </c>
      <c r="C632" s="22" t="s">
        <v>2851</v>
      </c>
      <c r="D632" s="22" t="s">
        <v>138</v>
      </c>
      <c r="E632" s="22" t="s">
        <v>139</v>
      </c>
      <c r="F632" s="22" t="s">
        <v>106</v>
      </c>
      <c r="G632" s="23" t="n">
        <v>45657</v>
      </c>
      <c r="H632" s="24" t="n">
        <f aca="false">IF(G632="","",ROUND((Config!$C$4-G632)/365.25,2))</f>
        <v>1.75</v>
      </c>
      <c r="I632" s="25" t="str">
        <f aca="false">IF(H632="","",IF(H632&lt;=1,"Tramo 1",IF(H632&lt;=3,"Tramo 2",IF(H632&lt;=5,"Tramo 3","Tramo 4"))))</f>
        <v>Tramo 2</v>
      </c>
      <c r="J632" s="22" t="s">
        <v>166</v>
      </c>
      <c r="K632" s="22"/>
      <c r="L632" s="22" t="s">
        <v>2852</v>
      </c>
      <c r="M632" s="26" t="s">
        <v>2853</v>
      </c>
      <c r="N632" s="22"/>
      <c r="O632" s="22" t="s">
        <v>63</v>
      </c>
      <c r="P632" s="25" t="str">
        <f aca="false">IF(OR(O632="",O632="Sin información"),"",IFERROR(INDEX(Listas!$B$2:$B$9,MATCH(O632,Listas!$A$2:$A$9,0)),""))</f>
        <v/>
      </c>
      <c r="Q632" s="25" t="str">
        <f aca="false">IF(OR(O632="",O632="Sin información"),"",IFERROR(INDEX(Listas!$C$2:$C$9,MATCH(O632,Listas!$A$2:$A$9,0)),""))</f>
        <v/>
      </c>
      <c r="R632" s="22"/>
      <c r="S632" s="22"/>
      <c r="T632" s="25" t="str">
        <f aca="false">IF(S632="","",IFERROR(INDEX(Empleadores!$B$2:$B$601,MATCH(S632,Empleadores!$A$2:$A$601,0)),"No encontrado"))</f>
        <v/>
      </c>
      <c r="U632" s="25" t="str">
        <f aca="false">IF(C632="","",IF(V632="","No",IF(Config!$C$4-V632&lt;=Config!$C$15,"Sí","No")))</f>
        <v>No</v>
      </c>
      <c r="V632" s="23"/>
      <c r="W632" s="22"/>
      <c r="X632" s="22"/>
      <c r="Y632" s="22"/>
      <c r="Z632" s="27"/>
      <c r="AA632" s="22" t="s">
        <v>2854</v>
      </c>
      <c r="AB632" s="22" t="s">
        <v>1691</v>
      </c>
    </row>
    <row r="633" customFormat="false" ht="15" hidden="false" customHeight="false" outlineLevel="0" collapsed="false">
      <c r="A633" s="22" t="n">
        <v>632</v>
      </c>
      <c r="B633" s="22" t="s">
        <v>2855</v>
      </c>
      <c r="C633" s="22" t="s">
        <v>2856</v>
      </c>
      <c r="D633" s="22" t="s">
        <v>149</v>
      </c>
      <c r="E633" s="22" t="s">
        <v>139</v>
      </c>
      <c r="F633" s="22" t="s">
        <v>106</v>
      </c>
      <c r="G633" s="23" t="n">
        <v>45657</v>
      </c>
      <c r="H633" s="24" t="n">
        <f aca="false">IF(G633="","",ROUND((Config!$C$4-G633)/365.25,2))</f>
        <v>1.75</v>
      </c>
      <c r="I633" s="25" t="str">
        <f aca="false">IF(H633="","",IF(H633&lt;=1,"Tramo 1",IF(H633&lt;=3,"Tramo 2",IF(H633&lt;=5,"Tramo 3","Tramo 4"))))</f>
        <v>Tramo 2</v>
      </c>
      <c r="J633" s="22" t="s">
        <v>166</v>
      </c>
      <c r="K633" s="22"/>
      <c r="L633" s="22" t="s">
        <v>2857</v>
      </c>
      <c r="M633" s="26" t="s">
        <v>2858</v>
      </c>
      <c r="N633" s="22"/>
      <c r="O633" s="22" t="s">
        <v>90</v>
      </c>
      <c r="P633" s="25" t="str">
        <f aca="false">IF(OR(O633="",O633="Sin información"),"",IFERROR(INDEX(Listas!$B$2:$B$9,MATCH(O633,Listas!$A$2:$A$9,0)),""))</f>
        <v>No</v>
      </c>
      <c r="Q633" s="25" t="str">
        <f aca="false">IF(OR(O633="",O633="Sin información"),"",IFERROR(INDEX(Listas!$C$2:$C$9,MATCH(O633,Listas!$A$2:$A$9,0)),""))</f>
        <v>No</v>
      </c>
      <c r="R633" s="22"/>
      <c r="S633" s="22"/>
      <c r="T633" s="25" t="str">
        <f aca="false">IF(S633="","",IFERROR(INDEX(Empleadores!$B$2:$B$601,MATCH(S633,Empleadores!$A$2:$A$601,0)),"No encontrado"))</f>
        <v/>
      </c>
      <c r="U633" s="25" t="str">
        <f aca="false">IF(C633="","",IF(V633="","No",IF(Config!$C$4-V633&lt;=Config!$C$15,"Sí","No")))</f>
        <v>Sí</v>
      </c>
      <c r="V633" s="23" t="n">
        <v>45972</v>
      </c>
      <c r="W633" s="22"/>
      <c r="X633" s="22"/>
      <c r="Y633" s="22" t="s">
        <v>181</v>
      </c>
      <c r="Z633" s="27" t="s">
        <v>2650</v>
      </c>
      <c r="AA633" s="22" t="s">
        <v>2859</v>
      </c>
      <c r="AB633" s="22" t="s">
        <v>2860</v>
      </c>
    </row>
    <row r="634" customFormat="false" ht="15" hidden="false" customHeight="false" outlineLevel="0" collapsed="false">
      <c r="A634" s="22" t="n">
        <v>633</v>
      </c>
      <c r="B634" s="22" t="s">
        <v>2861</v>
      </c>
      <c r="C634" s="22" t="s">
        <v>2862</v>
      </c>
      <c r="D634" s="22" t="s">
        <v>149</v>
      </c>
      <c r="E634" s="22" t="s">
        <v>139</v>
      </c>
      <c r="F634" s="22" t="s">
        <v>106</v>
      </c>
      <c r="G634" s="23" t="n">
        <v>45657</v>
      </c>
      <c r="H634" s="24" t="n">
        <f aca="false">IF(G634="","",ROUND((Config!$C$4-G634)/365.25,2))</f>
        <v>1.75</v>
      </c>
      <c r="I634" s="25" t="str">
        <f aca="false">IF(H634="","",IF(H634&lt;=1,"Tramo 1",IF(H634&lt;=3,"Tramo 2",IF(H634&lt;=5,"Tramo 3","Tramo 4"))))</f>
        <v>Tramo 2</v>
      </c>
      <c r="J634" s="22" t="s">
        <v>166</v>
      </c>
      <c r="K634" s="22"/>
      <c r="L634" s="22" t="s">
        <v>2863</v>
      </c>
      <c r="M634" s="26" t="s">
        <v>2864</v>
      </c>
      <c r="N634" s="22"/>
      <c r="O634" s="22" t="s">
        <v>63</v>
      </c>
      <c r="P634" s="25" t="str">
        <f aca="false">IF(OR(O634="",O634="Sin información"),"",IFERROR(INDEX(Listas!$B$2:$B$9,MATCH(O634,Listas!$A$2:$A$9,0)),""))</f>
        <v/>
      </c>
      <c r="Q634" s="25" t="str">
        <f aca="false">IF(OR(O634="",O634="Sin información"),"",IFERROR(INDEX(Listas!$C$2:$C$9,MATCH(O634,Listas!$A$2:$A$9,0)),""))</f>
        <v/>
      </c>
      <c r="R634" s="22"/>
      <c r="S634" s="22"/>
      <c r="T634" s="25" t="str">
        <f aca="false">IF(S634="","",IFERROR(INDEX(Empleadores!$B$2:$B$601,MATCH(S634,Empleadores!$A$2:$A$601,0)),"No encontrado"))</f>
        <v/>
      </c>
      <c r="U634" s="25" t="str">
        <f aca="false">IF(C634="","",IF(V634="","No",IF(Config!$C$4-V634&lt;=Config!$C$15,"Sí","No")))</f>
        <v>No</v>
      </c>
      <c r="V634" s="23"/>
      <c r="W634" s="22"/>
      <c r="X634" s="22"/>
      <c r="Y634" s="22"/>
      <c r="Z634" s="27"/>
      <c r="AA634" s="22"/>
      <c r="AB634" s="22"/>
    </row>
    <row r="635" customFormat="false" ht="15" hidden="false" customHeight="false" outlineLevel="0" collapsed="false">
      <c r="A635" s="22" t="n">
        <v>634</v>
      </c>
      <c r="B635" s="22" t="s">
        <v>2865</v>
      </c>
      <c r="C635" s="22" t="s">
        <v>2866</v>
      </c>
      <c r="D635" s="22" t="s">
        <v>149</v>
      </c>
      <c r="E635" s="22" t="s">
        <v>139</v>
      </c>
      <c r="F635" s="22" t="s">
        <v>106</v>
      </c>
      <c r="G635" s="23" t="n">
        <v>45657</v>
      </c>
      <c r="H635" s="24" t="n">
        <f aca="false">IF(G635="","",ROUND((Config!$C$4-G635)/365.25,2))</f>
        <v>1.75</v>
      </c>
      <c r="I635" s="25" t="str">
        <f aca="false">IF(H635="","",IF(H635&lt;=1,"Tramo 1",IF(H635&lt;=3,"Tramo 2",IF(H635&lt;=5,"Tramo 3","Tramo 4"))))</f>
        <v>Tramo 2</v>
      </c>
      <c r="J635" s="22" t="s">
        <v>166</v>
      </c>
      <c r="K635" s="22"/>
      <c r="L635" s="22" t="s">
        <v>2867</v>
      </c>
      <c r="M635" s="26" t="s">
        <v>2868</v>
      </c>
      <c r="N635" s="22"/>
      <c r="O635" s="22" t="s">
        <v>90</v>
      </c>
      <c r="P635" s="25" t="str">
        <f aca="false">IF(OR(O635="",O635="Sin información"),"",IFERROR(INDEX(Listas!$B$2:$B$9,MATCH(O635,Listas!$A$2:$A$9,0)),""))</f>
        <v>No</v>
      </c>
      <c r="Q635" s="25" t="str">
        <f aca="false">IF(OR(O635="",O635="Sin información"),"",IFERROR(INDEX(Listas!$C$2:$C$9,MATCH(O635,Listas!$A$2:$A$9,0)),""))</f>
        <v>No</v>
      </c>
      <c r="R635" s="22"/>
      <c r="S635" s="22"/>
      <c r="T635" s="25" t="str">
        <f aca="false">IF(S635="","",IFERROR(INDEX(Empleadores!$B$2:$B$601,MATCH(S635,Empleadores!$A$2:$A$601,0)),"No encontrado"))</f>
        <v/>
      </c>
      <c r="U635" s="25" t="str">
        <f aca="false">IF(C635="","",IF(V635="","No",IF(Config!$C$4-V635&lt;=Config!$C$15,"Sí","No")))</f>
        <v>Sí</v>
      </c>
      <c r="V635" s="23" t="n">
        <v>45967</v>
      </c>
      <c r="W635" s="22"/>
      <c r="X635" s="22"/>
      <c r="Y635" s="22" t="s">
        <v>181</v>
      </c>
      <c r="Z635" s="27" t="s">
        <v>2650</v>
      </c>
      <c r="AA635" s="22"/>
      <c r="AB635" s="22" t="s">
        <v>183</v>
      </c>
    </row>
    <row r="636" customFormat="false" ht="15" hidden="false" customHeight="false" outlineLevel="0" collapsed="false">
      <c r="A636" s="22" t="n">
        <v>635</v>
      </c>
      <c r="B636" s="22" t="s">
        <v>2869</v>
      </c>
      <c r="C636" s="22" t="s">
        <v>2870</v>
      </c>
      <c r="D636" s="22" t="s">
        <v>138</v>
      </c>
      <c r="E636" s="22" t="s">
        <v>139</v>
      </c>
      <c r="F636" s="22" t="s">
        <v>106</v>
      </c>
      <c r="G636" s="23" t="n">
        <v>45657</v>
      </c>
      <c r="H636" s="24" t="n">
        <f aca="false">IF(G636="","",ROUND((Config!$C$4-G636)/365.25,2))</f>
        <v>1.75</v>
      </c>
      <c r="I636" s="25" t="str">
        <f aca="false">IF(H636="","",IF(H636&lt;=1,"Tramo 1",IF(H636&lt;=3,"Tramo 2",IF(H636&lt;=5,"Tramo 3","Tramo 4"))))</f>
        <v>Tramo 2</v>
      </c>
      <c r="J636" s="22" t="s">
        <v>166</v>
      </c>
      <c r="K636" s="22"/>
      <c r="L636" s="22" t="s">
        <v>2871</v>
      </c>
      <c r="M636" s="26" t="s">
        <v>2872</v>
      </c>
      <c r="N636" s="22"/>
      <c r="O636" s="22" t="s">
        <v>63</v>
      </c>
      <c r="P636" s="25" t="str">
        <f aca="false">IF(OR(O636="",O636="Sin información"),"",IFERROR(INDEX(Listas!$B$2:$B$9,MATCH(O636,Listas!$A$2:$A$9,0)),""))</f>
        <v/>
      </c>
      <c r="Q636" s="25" t="str">
        <f aca="false">IF(OR(O636="",O636="Sin información"),"",IFERROR(INDEX(Listas!$C$2:$C$9,MATCH(O636,Listas!$A$2:$A$9,0)),""))</f>
        <v/>
      </c>
      <c r="R636" s="22"/>
      <c r="S636" s="22"/>
      <c r="T636" s="25" t="str">
        <f aca="false">IF(S636="","",IFERROR(INDEX(Empleadores!$B$2:$B$601,MATCH(S636,Empleadores!$A$2:$A$601,0)),"No encontrado"))</f>
        <v/>
      </c>
      <c r="U636" s="25" t="str">
        <f aca="false">IF(C636="","",IF(V636="","No",IF(Config!$C$4-V636&lt;=Config!$C$15,"Sí","No")))</f>
        <v>No</v>
      </c>
      <c r="V636" s="23"/>
      <c r="W636" s="22"/>
      <c r="X636" s="22"/>
      <c r="Y636" s="22"/>
      <c r="Z636" s="27"/>
      <c r="AA636" s="22"/>
      <c r="AB636" s="22"/>
    </row>
    <row r="637" customFormat="false" ht="15" hidden="false" customHeight="false" outlineLevel="0" collapsed="false">
      <c r="A637" s="22" t="n">
        <v>636</v>
      </c>
      <c r="B637" s="22" t="s">
        <v>2873</v>
      </c>
      <c r="C637" s="22" t="s">
        <v>2874</v>
      </c>
      <c r="D637" s="22" t="s">
        <v>138</v>
      </c>
      <c r="E637" s="22" t="s">
        <v>139</v>
      </c>
      <c r="F637" s="22" t="s">
        <v>106</v>
      </c>
      <c r="G637" s="23" t="n">
        <v>45657</v>
      </c>
      <c r="H637" s="24" t="n">
        <f aca="false">IF(G637="","",ROUND((Config!$C$4-G637)/365.25,2))</f>
        <v>1.75</v>
      </c>
      <c r="I637" s="25" t="str">
        <f aca="false">IF(H637="","",IF(H637&lt;=1,"Tramo 1",IF(H637&lt;=3,"Tramo 2",IF(H637&lt;=5,"Tramo 3","Tramo 4"))))</f>
        <v>Tramo 2</v>
      </c>
      <c r="J637" s="22" t="s">
        <v>166</v>
      </c>
      <c r="K637" s="22"/>
      <c r="L637" s="22" t="s">
        <v>2875</v>
      </c>
      <c r="M637" s="26" t="s">
        <v>2876</v>
      </c>
      <c r="N637" s="22"/>
      <c r="O637" s="22" t="s">
        <v>63</v>
      </c>
      <c r="P637" s="25" t="str">
        <f aca="false">IF(OR(O637="",O637="Sin información"),"",IFERROR(INDEX(Listas!$B$2:$B$9,MATCH(O637,Listas!$A$2:$A$9,0)),""))</f>
        <v/>
      </c>
      <c r="Q637" s="25" t="str">
        <f aca="false">IF(OR(O637="",O637="Sin información"),"",IFERROR(INDEX(Listas!$C$2:$C$9,MATCH(O637,Listas!$A$2:$A$9,0)),""))</f>
        <v/>
      </c>
      <c r="R637" s="22"/>
      <c r="S637" s="22"/>
      <c r="T637" s="25" t="str">
        <f aca="false">IF(S637="","",IFERROR(INDEX(Empleadores!$B$2:$B$601,MATCH(S637,Empleadores!$A$2:$A$601,0)),"No encontrado"))</f>
        <v/>
      </c>
      <c r="U637" s="25" t="str">
        <f aca="false">IF(C637="","",IF(V637="","No",IF(Config!$C$4-V637&lt;=Config!$C$15,"Sí","No")))</f>
        <v>No</v>
      </c>
      <c r="V637" s="23"/>
      <c r="W637" s="22"/>
      <c r="X637" s="22"/>
      <c r="Y637" s="22"/>
      <c r="Z637" s="27"/>
      <c r="AA637" s="22"/>
      <c r="AB637" s="22"/>
    </row>
    <row r="638" customFormat="false" ht="15" hidden="false" customHeight="false" outlineLevel="0" collapsed="false">
      <c r="A638" s="22" t="n">
        <v>637</v>
      </c>
      <c r="B638" s="22" t="s">
        <v>2877</v>
      </c>
      <c r="C638" s="22" t="s">
        <v>2878</v>
      </c>
      <c r="D638" s="22" t="s">
        <v>149</v>
      </c>
      <c r="E638" s="22" t="s">
        <v>139</v>
      </c>
      <c r="F638" s="22" t="s">
        <v>106</v>
      </c>
      <c r="G638" s="23" t="n">
        <v>45657</v>
      </c>
      <c r="H638" s="24" t="n">
        <f aca="false">IF(G638="","",ROUND((Config!$C$4-G638)/365.25,2))</f>
        <v>1.75</v>
      </c>
      <c r="I638" s="25" t="str">
        <f aca="false">IF(H638="","",IF(H638&lt;=1,"Tramo 1",IF(H638&lt;=3,"Tramo 2",IF(H638&lt;=5,"Tramo 3","Tramo 4"))))</f>
        <v>Tramo 2</v>
      </c>
      <c r="J638" s="22" t="s">
        <v>166</v>
      </c>
      <c r="K638" s="22"/>
      <c r="L638" s="22" t="s">
        <v>2879</v>
      </c>
      <c r="M638" s="26" t="s">
        <v>2880</v>
      </c>
      <c r="N638" s="22"/>
      <c r="O638" s="22" t="s">
        <v>63</v>
      </c>
      <c r="P638" s="25" t="str">
        <f aca="false">IF(OR(O638="",O638="Sin información"),"",IFERROR(INDEX(Listas!$B$2:$B$9,MATCH(O638,Listas!$A$2:$A$9,0)),""))</f>
        <v/>
      </c>
      <c r="Q638" s="25" t="str">
        <f aca="false">IF(OR(O638="",O638="Sin información"),"",IFERROR(INDEX(Listas!$C$2:$C$9,MATCH(O638,Listas!$A$2:$A$9,0)),""))</f>
        <v/>
      </c>
      <c r="R638" s="22"/>
      <c r="S638" s="22"/>
      <c r="T638" s="25" t="str">
        <f aca="false">IF(S638="","",IFERROR(INDEX(Empleadores!$B$2:$B$601,MATCH(S638,Empleadores!$A$2:$A$601,0)),"No encontrado"))</f>
        <v/>
      </c>
      <c r="U638" s="25" t="str">
        <f aca="false">IF(C638="","",IF(V638="","No",IF(Config!$C$4-V638&lt;=Config!$C$15,"Sí","No")))</f>
        <v>No</v>
      </c>
      <c r="V638" s="23"/>
      <c r="W638" s="22"/>
      <c r="X638" s="22"/>
      <c r="Y638" s="22"/>
      <c r="Z638" s="27"/>
      <c r="AA638" s="22"/>
      <c r="AB638" s="22"/>
    </row>
    <row r="639" customFormat="false" ht="15" hidden="false" customHeight="false" outlineLevel="0" collapsed="false">
      <c r="A639" s="22" t="n">
        <v>638</v>
      </c>
      <c r="B639" s="22" t="s">
        <v>2881</v>
      </c>
      <c r="C639" s="22" t="s">
        <v>2882</v>
      </c>
      <c r="D639" s="22" t="s">
        <v>138</v>
      </c>
      <c r="E639" s="22" t="s">
        <v>139</v>
      </c>
      <c r="F639" s="22" t="s">
        <v>106</v>
      </c>
      <c r="G639" s="23" t="n">
        <v>45657</v>
      </c>
      <c r="H639" s="24" t="n">
        <f aca="false">IF(G639="","",ROUND((Config!$C$4-G639)/365.25,2))</f>
        <v>1.75</v>
      </c>
      <c r="I639" s="25" t="str">
        <f aca="false">IF(H639="","",IF(H639&lt;=1,"Tramo 1",IF(H639&lt;=3,"Tramo 2",IF(H639&lt;=5,"Tramo 3","Tramo 4"))))</f>
        <v>Tramo 2</v>
      </c>
      <c r="J639" s="22" t="s">
        <v>166</v>
      </c>
      <c r="K639" s="22"/>
      <c r="L639" s="22" t="s">
        <v>2883</v>
      </c>
      <c r="M639" s="26" t="s">
        <v>2884</v>
      </c>
      <c r="N639" s="22"/>
      <c r="O639" s="22" t="s">
        <v>63</v>
      </c>
      <c r="P639" s="25" t="str">
        <f aca="false">IF(OR(O639="",O639="Sin información"),"",IFERROR(INDEX(Listas!$B$2:$B$9,MATCH(O639,Listas!$A$2:$A$9,0)),""))</f>
        <v/>
      </c>
      <c r="Q639" s="25" t="str">
        <f aca="false">IF(OR(O639="",O639="Sin información"),"",IFERROR(INDEX(Listas!$C$2:$C$9,MATCH(O639,Listas!$A$2:$A$9,0)),""))</f>
        <v/>
      </c>
      <c r="R639" s="22"/>
      <c r="S639" s="22"/>
      <c r="T639" s="25" t="str">
        <f aca="false">IF(S639="","",IFERROR(INDEX(Empleadores!$B$2:$B$601,MATCH(S639,Empleadores!$A$2:$A$601,0)),"No encontrado"))</f>
        <v/>
      </c>
      <c r="U639" s="25" t="str">
        <f aca="false">IF(C639="","",IF(V639="","No",IF(Config!$C$4-V639&lt;=Config!$C$15,"Sí","No")))</f>
        <v>No</v>
      </c>
      <c r="V639" s="23"/>
      <c r="W639" s="22"/>
      <c r="X639" s="22"/>
      <c r="Y639" s="22"/>
      <c r="Z639" s="27"/>
      <c r="AA639" s="22"/>
      <c r="AB639" s="22"/>
    </row>
    <row r="640" customFormat="false" ht="15" hidden="false" customHeight="false" outlineLevel="0" collapsed="false">
      <c r="A640" s="22" t="n">
        <v>639</v>
      </c>
      <c r="B640" s="22" t="s">
        <v>2885</v>
      </c>
      <c r="C640" s="22" t="s">
        <v>2886</v>
      </c>
      <c r="D640" s="22" t="s">
        <v>138</v>
      </c>
      <c r="E640" s="22" t="s">
        <v>139</v>
      </c>
      <c r="F640" s="22" t="s">
        <v>106</v>
      </c>
      <c r="G640" s="23" t="n">
        <v>45657</v>
      </c>
      <c r="H640" s="24" t="n">
        <f aca="false">IF(G640="","",ROUND((Config!$C$4-G640)/365.25,2))</f>
        <v>1.75</v>
      </c>
      <c r="I640" s="25" t="str">
        <f aca="false">IF(H640="","",IF(H640&lt;=1,"Tramo 1",IF(H640&lt;=3,"Tramo 2",IF(H640&lt;=5,"Tramo 3","Tramo 4"))))</f>
        <v>Tramo 2</v>
      </c>
      <c r="J640" s="22" t="s">
        <v>166</v>
      </c>
      <c r="K640" s="22"/>
      <c r="L640" s="22" t="s">
        <v>2887</v>
      </c>
      <c r="M640" s="26" t="s">
        <v>2888</v>
      </c>
      <c r="N640" s="22" t="s">
        <v>139</v>
      </c>
      <c r="O640" s="22" t="s">
        <v>90</v>
      </c>
      <c r="P640" s="25" t="str">
        <f aca="false">IF(OR(O640="",O640="Sin información"),"",IFERROR(INDEX(Listas!$B$2:$B$9,MATCH(O640,Listas!$A$2:$A$9,0)),""))</f>
        <v>No</v>
      </c>
      <c r="Q640" s="25" t="str">
        <f aca="false">IF(OR(O640="",O640="Sin información"),"",IFERROR(INDEX(Listas!$C$2:$C$9,MATCH(O640,Listas!$A$2:$A$9,0)),""))</f>
        <v>No</v>
      </c>
      <c r="R640" s="22"/>
      <c r="S640" s="22"/>
      <c r="T640" s="25" t="str">
        <f aca="false">IF(S640="","",IFERROR(INDEX(Empleadores!$B$2:$B$601,MATCH(S640,Empleadores!$A$2:$A$601,0)),"No encontrado"))</f>
        <v/>
      </c>
      <c r="U640" s="25" t="str">
        <f aca="false">IF(C640="","",IF(V640="","No",IF(Config!$C$4-V640&lt;=Config!$C$15,"Sí","No")))</f>
        <v>Sí</v>
      </c>
      <c r="V640" s="23" t="n">
        <v>45947</v>
      </c>
      <c r="W640" s="22"/>
      <c r="X640" s="22"/>
      <c r="Y640" s="22"/>
      <c r="Z640" s="27" t="s">
        <v>2250</v>
      </c>
      <c r="AA640" s="22" t="s">
        <v>2889</v>
      </c>
      <c r="AB640" s="22" t="s">
        <v>2252</v>
      </c>
    </row>
    <row r="641" customFormat="false" ht="15" hidden="false" customHeight="false" outlineLevel="0" collapsed="false">
      <c r="A641" s="22" t="n">
        <v>640</v>
      </c>
      <c r="B641" s="22" t="s">
        <v>2890</v>
      </c>
      <c r="C641" s="22" t="s">
        <v>2891</v>
      </c>
      <c r="D641" s="22" t="s">
        <v>149</v>
      </c>
      <c r="E641" s="22" t="s">
        <v>139</v>
      </c>
      <c r="F641" s="22" t="s">
        <v>106</v>
      </c>
      <c r="G641" s="23" t="n">
        <v>45657</v>
      </c>
      <c r="H641" s="24" t="n">
        <f aca="false">IF(G641="","",ROUND((Config!$C$4-G641)/365.25,2))</f>
        <v>1.75</v>
      </c>
      <c r="I641" s="25" t="str">
        <f aca="false">IF(H641="","",IF(H641&lt;=1,"Tramo 1",IF(H641&lt;=3,"Tramo 2",IF(H641&lt;=5,"Tramo 3","Tramo 4"))))</f>
        <v>Tramo 2</v>
      </c>
      <c r="J641" s="22" t="s">
        <v>140</v>
      </c>
      <c r="K641" s="22"/>
      <c r="L641" s="22" t="s">
        <v>2892</v>
      </c>
      <c r="M641" s="26" t="s">
        <v>2893</v>
      </c>
      <c r="N641" s="22"/>
      <c r="O641" s="22" t="s">
        <v>63</v>
      </c>
      <c r="P641" s="25" t="str">
        <f aca="false">IF(OR(O641="",O641="Sin información"),"",IFERROR(INDEX(Listas!$B$2:$B$9,MATCH(O641,Listas!$A$2:$A$9,0)),""))</f>
        <v/>
      </c>
      <c r="Q641" s="25" t="str">
        <f aca="false">IF(OR(O641="",O641="Sin información"),"",IFERROR(INDEX(Listas!$C$2:$C$9,MATCH(O641,Listas!$A$2:$A$9,0)),""))</f>
        <v/>
      </c>
      <c r="R641" s="22"/>
      <c r="S641" s="22"/>
      <c r="T641" s="25" t="str">
        <f aca="false">IF(S641="","",IFERROR(INDEX(Empleadores!$B$2:$B$601,MATCH(S641,Empleadores!$A$2:$A$601,0)),"No encontrado"))</f>
        <v/>
      </c>
      <c r="U641" s="25" t="str">
        <f aca="false">IF(C641="","",IF(V641="","No",IF(Config!$C$4-V641&lt;=Config!$C$15,"Sí","No")))</f>
        <v>No</v>
      </c>
      <c r="V641" s="23"/>
      <c r="W641" s="22"/>
      <c r="X641" s="22"/>
      <c r="Y641" s="22"/>
      <c r="Z641" s="27"/>
      <c r="AA641" s="22"/>
      <c r="AB641" s="22"/>
    </row>
    <row r="642" customFormat="false" ht="15" hidden="false" customHeight="false" outlineLevel="0" collapsed="false">
      <c r="A642" s="22" t="n">
        <v>641</v>
      </c>
      <c r="B642" s="22" t="s">
        <v>2894</v>
      </c>
      <c r="C642" s="22" t="s">
        <v>2895</v>
      </c>
      <c r="D642" s="22" t="s">
        <v>138</v>
      </c>
      <c r="E642" s="22" t="s">
        <v>139</v>
      </c>
      <c r="F642" s="22" t="s">
        <v>106</v>
      </c>
      <c r="G642" s="23" t="n">
        <v>45657</v>
      </c>
      <c r="H642" s="24" t="n">
        <f aca="false">IF(G642="","",ROUND((Config!$C$4-G642)/365.25,2))</f>
        <v>1.75</v>
      </c>
      <c r="I642" s="25" t="str">
        <f aca="false">IF(H642="","",IF(H642&lt;=1,"Tramo 1",IF(H642&lt;=3,"Tramo 2",IF(H642&lt;=5,"Tramo 3","Tramo 4"))))</f>
        <v>Tramo 2</v>
      </c>
      <c r="J642" s="22" t="s">
        <v>166</v>
      </c>
      <c r="K642" s="22"/>
      <c r="L642" s="22" t="s">
        <v>2896</v>
      </c>
      <c r="M642" s="26" t="s">
        <v>2897</v>
      </c>
      <c r="N642" s="22"/>
      <c r="O642" s="22" t="s">
        <v>63</v>
      </c>
      <c r="P642" s="25" t="str">
        <f aca="false">IF(OR(O642="",O642="Sin información"),"",IFERROR(INDEX(Listas!$B$2:$B$9,MATCH(O642,Listas!$A$2:$A$9,0)),""))</f>
        <v/>
      </c>
      <c r="Q642" s="25" t="str">
        <f aca="false">IF(OR(O642="",O642="Sin información"),"",IFERROR(INDEX(Listas!$C$2:$C$9,MATCH(O642,Listas!$A$2:$A$9,0)),""))</f>
        <v/>
      </c>
      <c r="R642" s="22"/>
      <c r="S642" s="22"/>
      <c r="T642" s="25" t="str">
        <f aca="false">IF(S642="","",IFERROR(INDEX(Empleadores!$B$2:$B$601,MATCH(S642,Empleadores!$A$2:$A$601,0)),"No encontrado"))</f>
        <v/>
      </c>
      <c r="U642" s="25" t="str">
        <f aca="false">IF(C642="","",IF(V642="","No",IF(Config!$C$4-V642&lt;=Config!$C$15,"Sí","No")))</f>
        <v>No</v>
      </c>
      <c r="V642" s="23"/>
      <c r="W642" s="22"/>
      <c r="X642" s="22"/>
      <c r="Y642" s="22"/>
      <c r="Z642" s="27"/>
      <c r="AA642" s="22"/>
      <c r="AB642" s="22"/>
    </row>
    <row r="643" customFormat="false" ht="15" hidden="false" customHeight="false" outlineLevel="0" collapsed="false">
      <c r="A643" s="22" t="n">
        <v>642</v>
      </c>
      <c r="B643" s="22" t="s">
        <v>2898</v>
      </c>
      <c r="C643" s="22" t="s">
        <v>2899</v>
      </c>
      <c r="D643" s="22" t="s">
        <v>149</v>
      </c>
      <c r="E643" s="22" t="s">
        <v>139</v>
      </c>
      <c r="F643" s="22" t="s">
        <v>106</v>
      </c>
      <c r="G643" s="23" t="n">
        <v>45657</v>
      </c>
      <c r="H643" s="24" t="n">
        <f aca="false">IF(G643="","",ROUND((Config!$C$4-G643)/365.25,2))</f>
        <v>1.75</v>
      </c>
      <c r="I643" s="25" t="str">
        <f aca="false">IF(H643="","",IF(H643&lt;=1,"Tramo 1",IF(H643&lt;=3,"Tramo 2",IF(H643&lt;=5,"Tramo 3","Tramo 4"))))</f>
        <v>Tramo 2</v>
      </c>
      <c r="J643" s="22" t="s">
        <v>140</v>
      </c>
      <c r="K643" s="22"/>
      <c r="L643" s="22" t="s">
        <v>2900</v>
      </c>
      <c r="M643" s="26" t="s">
        <v>2901</v>
      </c>
      <c r="N643" s="22"/>
      <c r="O643" s="22" t="s">
        <v>63</v>
      </c>
      <c r="P643" s="25" t="str">
        <f aca="false">IF(OR(O643="",O643="Sin información"),"",IFERROR(INDEX(Listas!$B$2:$B$9,MATCH(O643,Listas!$A$2:$A$9,0)),""))</f>
        <v/>
      </c>
      <c r="Q643" s="25" t="str">
        <f aca="false">IF(OR(O643="",O643="Sin información"),"",IFERROR(INDEX(Listas!$C$2:$C$9,MATCH(O643,Listas!$A$2:$A$9,0)),""))</f>
        <v/>
      </c>
      <c r="R643" s="22"/>
      <c r="S643" s="22"/>
      <c r="T643" s="25" t="str">
        <f aca="false">IF(S643="","",IFERROR(INDEX(Empleadores!$B$2:$B$601,MATCH(S643,Empleadores!$A$2:$A$601,0)),"No encontrado"))</f>
        <v/>
      </c>
      <c r="U643" s="25" t="str">
        <f aca="false">IF(C643="","",IF(V643="","No",IF(Config!$C$4-V643&lt;=Config!$C$15,"Sí","No")))</f>
        <v>No</v>
      </c>
      <c r="V643" s="23"/>
      <c r="W643" s="22"/>
      <c r="X643" s="22"/>
      <c r="Y643" s="22"/>
      <c r="Z643" s="27"/>
      <c r="AA643" s="22"/>
      <c r="AB643" s="22"/>
    </row>
    <row r="644" customFormat="false" ht="15" hidden="false" customHeight="false" outlineLevel="0" collapsed="false">
      <c r="A644" s="22" t="n">
        <v>643</v>
      </c>
      <c r="B644" s="22" t="s">
        <v>2902</v>
      </c>
      <c r="C644" s="22" t="s">
        <v>2903</v>
      </c>
      <c r="D644" s="22" t="s">
        <v>138</v>
      </c>
      <c r="E644" s="22" t="s">
        <v>139</v>
      </c>
      <c r="F644" s="22" t="s">
        <v>106</v>
      </c>
      <c r="G644" s="23" t="n">
        <v>45657</v>
      </c>
      <c r="H644" s="24" t="n">
        <f aca="false">IF(G644="","",ROUND((Config!$C$4-G644)/365.25,2))</f>
        <v>1.75</v>
      </c>
      <c r="I644" s="25" t="str">
        <f aca="false">IF(H644="","",IF(H644&lt;=1,"Tramo 1",IF(H644&lt;=3,"Tramo 2",IF(H644&lt;=5,"Tramo 3","Tramo 4"))))</f>
        <v>Tramo 2</v>
      </c>
      <c r="J644" s="22" t="s">
        <v>166</v>
      </c>
      <c r="K644" s="22"/>
      <c r="L644" s="22" t="s">
        <v>2904</v>
      </c>
      <c r="M644" s="26" t="s">
        <v>2905</v>
      </c>
      <c r="N644" s="22"/>
      <c r="O644" s="22" t="s">
        <v>63</v>
      </c>
      <c r="P644" s="25" t="str">
        <f aca="false">IF(OR(O644="",O644="Sin información"),"",IFERROR(INDEX(Listas!$B$2:$B$9,MATCH(O644,Listas!$A$2:$A$9,0)),""))</f>
        <v/>
      </c>
      <c r="Q644" s="25" t="str">
        <f aca="false">IF(OR(O644="",O644="Sin información"),"",IFERROR(INDEX(Listas!$C$2:$C$9,MATCH(O644,Listas!$A$2:$A$9,0)),""))</f>
        <v/>
      </c>
      <c r="R644" s="22"/>
      <c r="S644" s="22"/>
      <c r="T644" s="25" t="str">
        <f aca="false">IF(S644="","",IFERROR(INDEX(Empleadores!$B$2:$B$601,MATCH(S644,Empleadores!$A$2:$A$601,0)),"No encontrado"))</f>
        <v/>
      </c>
      <c r="U644" s="25" t="str">
        <f aca="false">IF(C644="","",IF(V644="","No",IF(Config!$C$4-V644&lt;=Config!$C$15,"Sí","No")))</f>
        <v>No</v>
      </c>
      <c r="V644" s="23"/>
      <c r="W644" s="22"/>
      <c r="X644" s="22"/>
      <c r="Y644" s="22"/>
      <c r="Z644" s="27"/>
      <c r="AA644" s="22"/>
      <c r="AB644" s="22"/>
    </row>
    <row r="645" customFormat="false" ht="15" hidden="false" customHeight="false" outlineLevel="0" collapsed="false">
      <c r="A645" s="22" t="n">
        <v>644</v>
      </c>
      <c r="B645" s="22" t="s">
        <v>2906</v>
      </c>
      <c r="C645" s="22" t="s">
        <v>2907</v>
      </c>
      <c r="D645" s="22" t="s">
        <v>149</v>
      </c>
      <c r="E645" s="22" t="s">
        <v>139</v>
      </c>
      <c r="F645" s="22" t="s">
        <v>106</v>
      </c>
      <c r="G645" s="23" t="n">
        <v>45657</v>
      </c>
      <c r="H645" s="24" t="n">
        <f aca="false">IF(G645="","",ROUND((Config!$C$4-G645)/365.25,2))</f>
        <v>1.75</v>
      </c>
      <c r="I645" s="25" t="str">
        <f aca="false">IF(H645="","",IF(H645&lt;=1,"Tramo 1",IF(H645&lt;=3,"Tramo 2",IF(H645&lt;=5,"Tramo 3","Tramo 4"))))</f>
        <v>Tramo 2</v>
      </c>
      <c r="J645" s="22" t="s">
        <v>166</v>
      </c>
      <c r="K645" s="22"/>
      <c r="L645" s="22" t="s">
        <v>2908</v>
      </c>
      <c r="M645" s="26" t="s">
        <v>2909</v>
      </c>
      <c r="N645" s="22"/>
      <c r="O645" s="22" t="s">
        <v>63</v>
      </c>
      <c r="P645" s="25" t="str">
        <f aca="false">IF(OR(O645="",O645="Sin información"),"",IFERROR(INDEX(Listas!$B$2:$B$9,MATCH(O645,Listas!$A$2:$A$9,0)),""))</f>
        <v/>
      </c>
      <c r="Q645" s="25" t="str">
        <f aca="false">IF(OR(O645="",O645="Sin información"),"",IFERROR(INDEX(Listas!$C$2:$C$9,MATCH(O645,Listas!$A$2:$A$9,0)),""))</f>
        <v/>
      </c>
      <c r="R645" s="22"/>
      <c r="S645" s="22"/>
      <c r="T645" s="25" t="str">
        <f aca="false">IF(S645="","",IFERROR(INDEX(Empleadores!$B$2:$B$601,MATCH(S645,Empleadores!$A$2:$A$601,0)),"No encontrado"))</f>
        <v/>
      </c>
      <c r="U645" s="25" t="str">
        <f aca="false">IF(C645="","",IF(V645="","No",IF(Config!$C$4-V645&lt;=Config!$C$15,"Sí","No")))</f>
        <v>No</v>
      </c>
      <c r="V645" s="23"/>
      <c r="W645" s="22"/>
      <c r="X645" s="22"/>
      <c r="Y645" s="22"/>
      <c r="Z645" s="27"/>
      <c r="AA645" s="22" t="s">
        <v>2910</v>
      </c>
      <c r="AB645" s="22" t="s">
        <v>1691</v>
      </c>
    </row>
    <row r="646" customFormat="false" ht="15" hidden="false" customHeight="false" outlineLevel="0" collapsed="false">
      <c r="A646" s="22" t="n">
        <v>645</v>
      </c>
      <c r="B646" s="22" t="s">
        <v>2911</v>
      </c>
      <c r="C646" s="22" t="s">
        <v>2912</v>
      </c>
      <c r="D646" s="22" t="s">
        <v>138</v>
      </c>
      <c r="E646" s="22" t="s">
        <v>139</v>
      </c>
      <c r="F646" s="22" t="s">
        <v>106</v>
      </c>
      <c r="G646" s="23" t="n">
        <v>45657</v>
      </c>
      <c r="H646" s="24" t="n">
        <f aca="false">IF(G646="","",ROUND((Config!$C$4-G646)/365.25,2))</f>
        <v>1.75</v>
      </c>
      <c r="I646" s="25" t="str">
        <f aca="false">IF(H646="","",IF(H646&lt;=1,"Tramo 1",IF(H646&lt;=3,"Tramo 2",IF(H646&lt;=5,"Tramo 3","Tramo 4"))))</f>
        <v>Tramo 2</v>
      </c>
      <c r="J646" s="22" t="s">
        <v>166</v>
      </c>
      <c r="K646" s="22"/>
      <c r="L646" s="22" t="s">
        <v>2913</v>
      </c>
      <c r="M646" s="26" t="s">
        <v>2914</v>
      </c>
      <c r="N646" s="22"/>
      <c r="O646" s="22" t="s">
        <v>81</v>
      </c>
      <c r="P646" s="25" t="str">
        <f aca="false">IF(OR(O646="",O646="Sin información"),"",IFERROR(INDEX(Listas!$B$2:$B$9,MATCH(O646,Listas!$A$2:$A$9,0)),""))</f>
        <v>Sí</v>
      </c>
      <c r="Q646" s="25" t="str">
        <f aca="false">IF(OR(O646="",O646="Sin información"),"",IFERROR(INDEX(Listas!$C$2:$C$9,MATCH(O646,Listas!$A$2:$A$9,0)),""))</f>
        <v>Sí</v>
      </c>
      <c r="R646" s="22" t="s">
        <v>2345</v>
      </c>
      <c r="S646" s="22" t="s">
        <v>2915</v>
      </c>
      <c r="T646" s="25" t="str">
        <f aca="false">IF(S646="","",IFERROR(INDEX(Empleadores!$B$2:$B$601,MATCH(S646,Empleadores!$A$2:$A$601,0)),"No encontrado"))</f>
        <v>P.S. Aymas</v>
      </c>
      <c r="U646" s="25" t="str">
        <f aca="false">IF(C646="","",IF(V646="","No",IF(Config!$C$4-V646&lt;=Config!$C$15,"Sí","No")))</f>
        <v>Sí</v>
      </c>
      <c r="V646" s="23" t="n">
        <v>45967</v>
      </c>
      <c r="W646" s="22"/>
      <c r="X646" s="22"/>
      <c r="Y646" s="22" t="s">
        <v>181</v>
      </c>
      <c r="Z646" s="27"/>
      <c r="AA646" s="22" t="s">
        <v>2916</v>
      </c>
      <c r="AB646" s="22" t="s">
        <v>183</v>
      </c>
    </row>
    <row r="647" customFormat="false" ht="15" hidden="false" customHeight="false" outlineLevel="0" collapsed="false">
      <c r="A647" s="22" t="n">
        <v>646</v>
      </c>
      <c r="B647" s="22" t="s">
        <v>2917</v>
      </c>
      <c r="C647" s="22" t="s">
        <v>2918</v>
      </c>
      <c r="D647" s="22" t="s">
        <v>149</v>
      </c>
      <c r="E647" s="22" t="s">
        <v>139</v>
      </c>
      <c r="F647" s="22" t="s">
        <v>106</v>
      </c>
      <c r="G647" s="23" t="n">
        <v>45657</v>
      </c>
      <c r="H647" s="24" t="n">
        <f aca="false">IF(G647="","",ROUND((Config!$C$4-G647)/365.25,2))</f>
        <v>1.75</v>
      </c>
      <c r="I647" s="25" t="str">
        <f aca="false">IF(H647="","",IF(H647&lt;=1,"Tramo 1",IF(H647&lt;=3,"Tramo 2",IF(H647&lt;=5,"Tramo 3","Tramo 4"))))</f>
        <v>Tramo 2</v>
      </c>
      <c r="J647" s="22" t="s">
        <v>166</v>
      </c>
      <c r="K647" s="22"/>
      <c r="L647" s="22" t="s">
        <v>2919</v>
      </c>
      <c r="M647" s="26" t="s">
        <v>2920</v>
      </c>
      <c r="N647" s="22"/>
      <c r="O647" s="22" t="s">
        <v>63</v>
      </c>
      <c r="P647" s="25" t="str">
        <f aca="false">IF(OR(O647="",O647="Sin información"),"",IFERROR(INDEX(Listas!$B$2:$B$9,MATCH(O647,Listas!$A$2:$A$9,0)),""))</f>
        <v/>
      </c>
      <c r="Q647" s="25" t="str">
        <f aca="false">IF(OR(O647="",O647="Sin información"),"",IFERROR(INDEX(Listas!$C$2:$C$9,MATCH(O647,Listas!$A$2:$A$9,0)),""))</f>
        <v/>
      </c>
      <c r="R647" s="22"/>
      <c r="S647" s="22"/>
      <c r="T647" s="25" t="str">
        <f aca="false">IF(S647="","",IFERROR(INDEX(Empleadores!$B$2:$B$601,MATCH(S647,Empleadores!$A$2:$A$601,0)),"No encontrado"))</f>
        <v/>
      </c>
      <c r="U647" s="25" t="str">
        <f aca="false">IF(C647="","",IF(V647="","No",IF(Config!$C$4-V647&lt;=Config!$C$15,"Sí","No")))</f>
        <v>No</v>
      </c>
      <c r="V647" s="23"/>
      <c r="W647" s="22"/>
      <c r="X647" s="22"/>
      <c r="Y647" s="22"/>
      <c r="Z647" s="27"/>
      <c r="AA647" s="22"/>
      <c r="AB647" s="22"/>
    </row>
    <row r="648" customFormat="false" ht="15" hidden="false" customHeight="false" outlineLevel="0" collapsed="false">
      <c r="A648" s="22" t="n">
        <v>647</v>
      </c>
      <c r="B648" s="22" t="s">
        <v>2921</v>
      </c>
      <c r="C648" s="22" t="s">
        <v>2922</v>
      </c>
      <c r="D648" s="22" t="s">
        <v>138</v>
      </c>
      <c r="E648" s="22" t="s">
        <v>139</v>
      </c>
      <c r="F648" s="22" t="s">
        <v>106</v>
      </c>
      <c r="G648" s="23" t="n">
        <v>45657</v>
      </c>
      <c r="H648" s="24" t="n">
        <f aca="false">IF(G648="","",ROUND((Config!$C$4-G648)/365.25,2))</f>
        <v>1.75</v>
      </c>
      <c r="I648" s="25" t="str">
        <f aca="false">IF(H648="","",IF(H648&lt;=1,"Tramo 1",IF(H648&lt;=3,"Tramo 2",IF(H648&lt;=5,"Tramo 3","Tramo 4"))))</f>
        <v>Tramo 2</v>
      </c>
      <c r="J648" s="22" t="s">
        <v>166</v>
      </c>
      <c r="K648" s="22"/>
      <c r="L648" s="22" t="s">
        <v>2923</v>
      </c>
      <c r="M648" s="26" t="s">
        <v>2924</v>
      </c>
      <c r="N648" s="22"/>
      <c r="O648" s="22" t="s">
        <v>63</v>
      </c>
      <c r="P648" s="25" t="str">
        <f aca="false">IF(OR(O648="",O648="Sin información"),"",IFERROR(INDEX(Listas!$B$2:$B$9,MATCH(O648,Listas!$A$2:$A$9,0)),""))</f>
        <v/>
      </c>
      <c r="Q648" s="25" t="str">
        <f aca="false">IF(OR(O648="",O648="Sin información"),"",IFERROR(INDEX(Listas!$C$2:$C$9,MATCH(O648,Listas!$A$2:$A$9,0)),""))</f>
        <v/>
      </c>
      <c r="R648" s="22"/>
      <c r="S648" s="22"/>
      <c r="T648" s="25" t="str">
        <f aca="false">IF(S648="","",IFERROR(INDEX(Empleadores!$B$2:$B$601,MATCH(S648,Empleadores!$A$2:$A$601,0)),"No encontrado"))</f>
        <v/>
      </c>
      <c r="U648" s="25" t="str">
        <f aca="false">IF(C648="","",IF(V648="","No",IF(Config!$C$4-V648&lt;=Config!$C$15,"Sí","No")))</f>
        <v>No</v>
      </c>
      <c r="V648" s="23"/>
      <c r="W648" s="22"/>
      <c r="X648" s="22"/>
      <c r="Y648" s="22"/>
      <c r="Z648" s="27"/>
      <c r="AA648" s="22"/>
      <c r="AB648" s="22"/>
    </row>
    <row r="649" customFormat="false" ht="15" hidden="false" customHeight="false" outlineLevel="0" collapsed="false">
      <c r="A649" s="22" t="n">
        <v>648</v>
      </c>
      <c r="B649" s="22" t="s">
        <v>2925</v>
      </c>
      <c r="C649" s="22" t="s">
        <v>2926</v>
      </c>
      <c r="D649" s="22" t="s">
        <v>138</v>
      </c>
      <c r="E649" s="22" t="s">
        <v>139</v>
      </c>
      <c r="F649" s="22" t="s">
        <v>106</v>
      </c>
      <c r="G649" s="23" t="n">
        <v>45657</v>
      </c>
      <c r="H649" s="24" t="n">
        <f aca="false">IF(G649="","",ROUND((Config!$C$4-G649)/365.25,2))</f>
        <v>1.75</v>
      </c>
      <c r="I649" s="25" t="str">
        <f aca="false">IF(H649="","",IF(H649&lt;=1,"Tramo 1",IF(H649&lt;=3,"Tramo 2",IF(H649&lt;=5,"Tramo 3","Tramo 4"))))</f>
        <v>Tramo 2</v>
      </c>
      <c r="J649" s="22" t="s">
        <v>166</v>
      </c>
      <c r="K649" s="22"/>
      <c r="L649" s="22" t="s">
        <v>2927</v>
      </c>
      <c r="M649" s="26" t="s">
        <v>2928</v>
      </c>
      <c r="N649" s="22"/>
      <c r="O649" s="22" t="s">
        <v>63</v>
      </c>
      <c r="P649" s="25" t="str">
        <f aca="false">IF(OR(O649="",O649="Sin información"),"",IFERROR(INDEX(Listas!$B$2:$B$9,MATCH(O649,Listas!$A$2:$A$9,0)),""))</f>
        <v/>
      </c>
      <c r="Q649" s="25" t="str">
        <f aca="false">IF(OR(O649="",O649="Sin información"),"",IFERROR(INDEX(Listas!$C$2:$C$9,MATCH(O649,Listas!$A$2:$A$9,0)),""))</f>
        <v/>
      </c>
      <c r="R649" s="22"/>
      <c r="S649" s="22"/>
      <c r="T649" s="25" t="str">
        <f aca="false">IF(S649="","",IFERROR(INDEX(Empleadores!$B$2:$B$601,MATCH(S649,Empleadores!$A$2:$A$601,0)),"No encontrado"))</f>
        <v/>
      </c>
      <c r="U649" s="25" t="str">
        <f aca="false">IF(C649="","",IF(V649="","No",IF(Config!$C$4-V649&lt;=Config!$C$15,"Sí","No")))</f>
        <v>No</v>
      </c>
      <c r="V649" s="23"/>
      <c r="W649" s="22"/>
      <c r="X649" s="22"/>
      <c r="Y649" s="22"/>
      <c r="Z649" s="27"/>
      <c r="AA649" s="22"/>
      <c r="AB649" s="22"/>
    </row>
    <row r="650" customFormat="false" ht="15" hidden="false" customHeight="false" outlineLevel="0" collapsed="false">
      <c r="A650" s="22" t="n">
        <v>649</v>
      </c>
      <c r="B650" s="22" t="s">
        <v>2929</v>
      </c>
      <c r="C650" s="22" t="s">
        <v>2930</v>
      </c>
      <c r="D650" s="22" t="s">
        <v>149</v>
      </c>
      <c r="E650" s="22" t="s">
        <v>139</v>
      </c>
      <c r="F650" s="22" t="s">
        <v>106</v>
      </c>
      <c r="G650" s="23" t="n">
        <v>45657</v>
      </c>
      <c r="H650" s="24" t="n">
        <f aca="false">IF(G650="","",ROUND((Config!$C$4-G650)/365.25,2))</f>
        <v>1.75</v>
      </c>
      <c r="I650" s="25" t="str">
        <f aca="false">IF(H650="","",IF(H650&lt;=1,"Tramo 1",IF(H650&lt;=3,"Tramo 2",IF(H650&lt;=5,"Tramo 3","Tramo 4"))))</f>
        <v>Tramo 2</v>
      </c>
      <c r="J650" s="22" t="s">
        <v>166</v>
      </c>
      <c r="K650" s="22"/>
      <c r="L650" s="22" t="s">
        <v>2931</v>
      </c>
      <c r="M650" s="26" t="s">
        <v>2932</v>
      </c>
      <c r="N650" s="22"/>
      <c r="O650" s="22" t="s">
        <v>63</v>
      </c>
      <c r="P650" s="25" t="str">
        <f aca="false">IF(OR(O650="",O650="Sin información"),"",IFERROR(INDEX(Listas!$B$2:$B$9,MATCH(O650,Listas!$A$2:$A$9,0)),""))</f>
        <v/>
      </c>
      <c r="Q650" s="25" t="str">
        <f aca="false">IF(OR(O650="",O650="Sin información"),"",IFERROR(INDEX(Listas!$C$2:$C$9,MATCH(O650,Listas!$A$2:$A$9,0)),""))</f>
        <v/>
      </c>
      <c r="R650" s="22"/>
      <c r="S650" s="22"/>
      <c r="T650" s="25" t="str">
        <f aca="false">IF(S650="","",IFERROR(INDEX(Empleadores!$B$2:$B$601,MATCH(S650,Empleadores!$A$2:$A$601,0)),"No encontrado"))</f>
        <v/>
      </c>
      <c r="U650" s="25" t="str">
        <f aca="false">IF(C650="","",IF(V650="","No",IF(Config!$C$4-V650&lt;=Config!$C$15,"Sí","No")))</f>
        <v>No</v>
      </c>
      <c r="V650" s="23"/>
      <c r="W650" s="22"/>
      <c r="X650" s="22"/>
      <c r="Y650" s="22"/>
      <c r="Z650" s="27"/>
      <c r="AA650" s="22"/>
      <c r="AB650" s="22"/>
    </row>
    <row r="651" customFormat="false" ht="15" hidden="false" customHeight="false" outlineLevel="0" collapsed="false">
      <c r="A651" s="22" t="n">
        <v>650</v>
      </c>
      <c r="B651" s="22" t="s">
        <v>2933</v>
      </c>
      <c r="C651" s="22" t="s">
        <v>2934</v>
      </c>
      <c r="D651" s="22" t="s">
        <v>138</v>
      </c>
      <c r="E651" s="22" t="s">
        <v>139</v>
      </c>
      <c r="F651" s="22" t="s">
        <v>106</v>
      </c>
      <c r="G651" s="23" t="n">
        <v>45657</v>
      </c>
      <c r="H651" s="24" t="n">
        <f aca="false">IF(G651="","",ROUND((Config!$C$4-G651)/365.25,2))</f>
        <v>1.75</v>
      </c>
      <c r="I651" s="25" t="str">
        <f aca="false">IF(H651="","",IF(H651&lt;=1,"Tramo 1",IF(H651&lt;=3,"Tramo 2",IF(H651&lt;=5,"Tramo 3","Tramo 4"))))</f>
        <v>Tramo 2</v>
      </c>
      <c r="J651" s="22" t="s">
        <v>140</v>
      </c>
      <c r="K651" s="22"/>
      <c r="L651" s="22" t="s">
        <v>2935</v>
      </c>
      <c r="M651" s="26" t="s">
        <v>2936</v>
      </c>
      <c r="N651" s="22"/>
      <c r="O651" s="22" t="s">
        <v>90</v>
      </c>
      <c r="P651" s="25" t="str">
        <f aca="false">IF(OR(O651="",O651="Sin información"),"",IFERROR(INDEX(Listas!$B$2:$B$9,MATCH(O651,Listas!$A$2:$A$9,0)),""))</f>
        <v>No</v>
      </c>
      <c r="Q651" s="25" t="str">
        <f aca="false">IF(OR(O651="",O651="Sin información"),"",IFERROR(INDEX(Listas!$C$2:$C$9,MATCH(O651,Listas!$A$2:$A$9,0)),""))</f>
        <v>No</v>
      </c>
      <c r="R651" s="22"/>
      <c r="S651" s="22"/>
      <c r="T651" s="25" t="str">
        <f aca="false">IF(S651="","",IFERROR(INDEX(Empleadores!$B$2:$B$601,MATCH(S651,Empleadores!$A$2:$A$601,0)),"No encontrado"))</f>
        <v/>
      </c>
      <c r="U651" s="25" t="str">
        <f aca="false">IF(C651="","",IF(V651="","No",IF(Config!$C$4-V651&lt;=Config!$C$15,"Sí","No")))</f>
        <v>Sí</v>
      </c>
      <c r="V651" s="23" t="n">
        <v>45967</v>
      </c>
      <c r="W651" s="22"/>
      <c r="X651" s="22"/>
      <c r="Y651" s="22" t="s">
        <v>181</v>
      </c>
      <c r="Z651" s="27" t="s">
        <v>2650</v>
      </c>
      <c r="AA651" s="22" t="s">
        <v>2594</v>
      </c>
      <c r="AB651" s="22" t="s">
        <v>2667</v>
      </c>
    </row>
    <row r="652" customFormat="false" ht="15" hidden="false" customHeight="false" outlineLevel="0" collapsed="false">
      <c r="A652" s="22" t="n">
        <v>651</v>
      </c>
      <c r="B652" s="22" t="s">
        <v>2937</v>
      </c>
      <c r="C652" s="22" t="s">
        <v>2938</v>
      </c>
      <c r="D652" s="22" t="s">
        <v>138</v>
      </c>
      <c r="E652" s="22" t="s">
        <v>139</v>
      </c>
      <c r="F652" s="22" t="s">
        <v>106</v>
      </c>
      <c r="G652" s="23" t="n">
        <v>45657</v>
      </c>
      <c r="H652" s="24" t="n">
        <f aca="false">IF(G652="","",ROUND((Config!$C$4-G652)/365.25,2))</f>
        <v>1.75</v>
      </c>
      <c r="I652" s="25" t="str">
        <f aca="false">IF(H652="","",IF(H652&lt;=1,"Tramo 1",IF(H652&lt;=3,"Tramo 2",IF(H652&lt;=5,"Tramo 3","Tramo 4"))))</f>
        <v>Tramo 2</v>
      </c>
      <c r="J652" s="22" t="s">
        <v>166</v>
      </c>
      <c r="K652" s="22"/>
      <c r="L652" s="22" t="s">
        <v>2939</v>
      </c>
      <c r="M652" s="26" t="s">
        <v>2940</v>
      </c>
      <c r="N652" s="22"/>
      <c r="O652" s="22" t="s">
        <v>90</v>
      </c>
      <c r="P652" s="25" t="str">
        <f aca="false">IF(OR(O652="",O652="Sin información"),"",IFERROR(INDEX(Listas!$B$2:$B$9,MATCH(O652,Listas!$A$2:$A$9,0)),""))</f>
        <v>No</v>
      </c>
      <c r="Q652" s="25" t="str">
        <f aca="false">IF(OR(O652="",O652="Sin información"),"",IFERROR(INDEX(Listas!$C$2:$C$9,MATCH(O652,Listas!$A$2:$A$9,0)),""))</f>
        <v>No</v>
      </c>
      <c r="R652" s="22"/>
      <c r="S652" s="22"/>
      <c r="T652" s="25" t="str">
        <f aca="false">IF(S652="","",IFERROR(INDEX(Empleadores!$B$2:$B$601,MATCH(S652,Empleadores!$A$2:$A$601,0)),"No encontrado"))</f>
        <v/>
      </c>
      <c r="U652" s="25" t="str">
        <f aca="false">IF(C652="","",IF(V652="","No",IF(Config!$C$4-V652&lt;=Config!$C$15,"Sí","No")))</f>
        <v>Sí</v>
      </c>
      <c r="V652" s="23" t="n">
        <v>45972</v>
      </c>
      <c r="W652" s="22"/>
      <c r="X652" s="22"/>
      <c r="Y652" s="22" t="s">
        <v>181</v>
      </c>
      <c r="Z652" s="27" t="s">
        <v>2650</v>
      </c>
      <c r="AA652" s="22" t="s">
        <v>2941</v>
      </c>
      <c r="AB652" s="22" t="s">
        <v>1553</v>
      </c>
    </row>
    <row r="653" customFormat="false" ht="15" hidden="false" customHeight="false" outlineLevel="0" collapsed="false">
      <c r="A653" s="22" t="n">
        <v>652</v>
      </c>
      <c r="B653" s="22" t="s">
        <v>2942</v>
      </c>
      <c r="C653" s="22" t="s">
        <v>2943</v>
      </c>
      <c r="D653" s="22" t="s">
        <v>138</v>
      </c>
      <c r="E653" s="22" t="s">
        <v>139</v>
      </c>
      <c r="F653" s="22" t="s">
        <v>106</v>
      </c>
      <c r="G653" s="23" t="n">
        <v>45657</v>
      </c>
      <c r="H653" s="24" t="n">
        <f aca="false">IF(G653="","",ROUND((Config!$C$4-G653)/365.25,2))</f>
        <v>1.75</v>
      </c>
      <c r="I653" s="25" t="str">
        <f aca="false">IF(H653="","",IF(H653&lt;=1,"Tramo 1",IF(H653&lt;=3,"Tramo 2",IF(H653&lt;=5,"Tramo 3","Tramo 4"))))</f>
        <v>Tramo 2</v>
      </c>
      <c r="J653" s="22" t="s">
        <v>166</v>
      </c>
      <c r="K653" s="22"/>
      <c r="L653" s="22" t="s">
        <v>2944</v>
      </c>
      <c r="M653" s="26" t="s">
        <v>2945</v>
      </c>
      <c r="N653" s="22"/>
      <c r="O653" s="22" t="s">
        <v>63</v>
      </c>
      <c r="P653" s="25" t="str">
        <f aca="false">IF(OR(O653="",O653="Sin información"),"",IFERROR(INDEX(Listas!$B$2:$B$9,MATCH(O653,Listas!$A$2:$A$9,0)),""))</f>
        <v/>
      </c>
      <c r="Q653" s="25" t="str">
        <f aca="false">IF(OR(O653="",O653="Sin información"),"",IFERROR(INDEX(Listas!$C$2:$C$9,MATCH(O653,Listas!$A$2:$A$9,0)),""))</f>
        <v/>
      </c>
      <c r="R653" s="22"/>
      <c r="S653" s="22"/>
      <c r="T653" s="25" t="str">
        <f aca="false">IF(S653="","",IFERROR(INDEX(Empleadores!$B$2:$B$601,MATCH(S653,Empleadores!$A$2:$A$601,0)),"No encontrado"))</f>
        <v/>
      </c>
      <c r="U653" s="25" t="str">
        <f aca="false">IF(C653="","",IF(V653="","No",IF(Config!$C$4-V653&lt;=Config!$C$15,"Sí","No")))</f>
        <v>No</v>
      </c>
      <c r="V653" s="23"/>
      <c r="W653" s="22"/>
      <c r="X653" s="22"/>
      <c r="Y653" s="22"/>
      <c r="Z653" s="27"/>
      <c r="AA653" s="22"/>
      <c r="AB653" s="22"/>
    </row>
    <row r="654" customFormat="false" ht="15" hidden="false" customHeight="false" outlineLevel="0" collapsed="false">
      <c r="A654" s="22" t="n">
        <v>653</v>
      </c>
      <c r="B654" s="22" t="s">
        <v>2946</v>
      </c>
      <c r="C654" s="22" t="s">
        <v>2947</v>
      </c>
      <c r="D654" s="22" t="s">
        <v>138</v>
      </c>
      <c r="E654" s="22" t="s">
        <v>139</v>
      </c>
      <c r="F654" s="22" t="s">
        <v>106</v>
      </c>
      <c r="G654" s="23" t="n">
        <v>45657</v>
      </c>
      <c r="H654" s="24" t="n">
        <f aca="false">IF(G654="","",ROUND((Config!$C$4-G654)/365.25,2))</f>
        <v>1.75</v>
      </c>
      <c r="I654" s="25" t="str">
        <f aca="false">IF(H654="","",IF(H654&lt;=1,"Tramo 1",IF(H654&lt;=3,"Tramo 2",IF(H654&lt;=5,"Tramo 3","Tramo 4"))))</f>
        <v>Tramo 2</v>
      </c>
      <c r="J654" s="22" t="s">
        <v>166</v>
      </c>
      <c r="K654" s="22"/>
      <c r="L654" s="22" t="s">
        <v>2948</v>
      </c>
      <c r="M654" s="26" t="s">
        <v>2949</v>
      </c>
      <c r="N654" s="22"/>
      <c r="O654" s="22" t="s">
        <v>63</v>
      </c>
      <c r="P654" s="25" t="str">
        <f aca="false">IF(OR(O654="",O654="Sin información"),"",IFERROR(INDEX(Listas!$B$2:$B$9,MATCH(O654,Listas!$A$2:$A$9,0)),""))</f>
        <v/>
      </c>
      <c r="Q654" s="25" t="str">
        <f aca="false">IF(OR(O654="",O654="Sin información"),"",IFERROR(INDEX(Listas!$C$2:$C$9,MATCH(O654,Listas!$A$2:$A$9,0)),""))</f>
        <v/>
      </c>
      <c r="R654" s="22"/>
      <c r="S654" s="22"/>
      <c r="T654" s="25" t="str">
        <f aca="false">IF(S654="","",IFERROR(INDEX(Empleadores!$B$2:$B$601,MATCH(S654,Empleadores!$A$2:$A$601,0)),"No encontrado"))</f>
        <v/>
      </c>
      <c r="U654" s="25" t="str">
        <f aca="false">IF(C654="","",IF(V654="","No",IF(Config!$C$4-V654&lt;=Config!$C$15,"Sí","No")))</f>
        <v>No</v>
      </c>
      <c r="V654" s="23"/>
      <c r="W654" s="22"/>
      <c r="X654" s="22"/>
      <c r="Y654" s="22"/>
      <c r="Z654" s="27"/>
      <c r="AA654" s="22" t="s">
        <v>2950</v>
      </c>
      <c r="AB654" s="22" t="s">
        <v>1691</v>
      </c>
    </row>
    <row r="655" customFormat="false" ht="15" hidden="false" customHeight="false" outlineLevel="0" collapsed="false">
      <c r="A655" s="22" t="n">
        <v>654</v>
      </c>
      <c r="B655" s="22" t="s">
        <v>2951</v>
      </c>
      <c r="C655" s="22" t="s">
        <v>2952</v>
      </c>
      <c r="D655" s="22" t="s">
        <v>138</v>
      </c>
      <c r="E655" s="22" t="s">
        <v>139</v>
      </c>
      <c r="F655" s="22" t="s">
        <v>106</v>
      </c>
      <c r="G655" s="23" t="n">
        <v>45657</v>
      </c>
      <c r="H655" s="24" t="n">
        <f aca="false">IF(G655="","",ROUND((Config!$C$4-G655)/365.25,2))</f>
        <v>1.75</v>
      </c>
      <c r="I655" s="25" t="str">
        <f aca="false">IF(H655="","",IF(H655&lt;=1,"Tramo 1",IF(H655&lt;=3,"Tramo 2",IF(H655&lt;=5,"Tramo 3","Tramo 4"))))</f>
        <v>Tramo 2</v>
      </c>
      <c r="J655" s="22" t="s">
        <v>2639</v>
      </c>
      <c r="K655" s="22"/>
      <c r="L655" s="22" t="s">
        <v>2953</v>
      </c>
      <c r="M655" s="26" t="s">
        <v>2954</v>
      </c>
      <c r="N655" s="22"/>
      <c r="O655" s="22" t="s">
        <v>63</v>
      </c>
      <c r="P655" s="25" t="str">
        <f aca="false">IF(OR(O655="",O655="Sin información"),"",IFERROR(INDEX(Listas!$B$2:$B$9,MATCH(O655,Listas!$A$2:$A$9,0)),""))</f>
        <v/>
      </c>
      <c r="Q655" s="25" t="str">
        <f aca="false">IF(OR(O655="",O655="Sin información"),"",IFERROR(INDEX(Listas!$C$2:$C$9,MATCH(O655,Listas!$A$2:$A$9,0)),""))</f>
        <v/>
      </c>
      <c r="R655" s="22"/>
      <c r="S655" s="22"/>
      <c r="T655" s="25" t="str">
        <f aca="false">IF(S655="","",IFERROR(INDEX(Empleadores!$B$2:$B$601,MATCH(S655,Empleadores!$A$2:$A$601,0)),"No encontrado"))</f>
        <v/>
      </c>
      <c r="U655" s="25" t="str">
        <f aca="false">IF(C655="","",IF(V655="","No",IF(Config!$C$4-V655&lt;=Config!$C$15,"Sí","No")))</f>
        <v>No</v>
      </c>
      <c r="V655" s="23"/>
      <c r="W655" s="22"/>
      <c r="X655" s="22"/>
      <c r="Y655" s="22"/>
      <c r="Z655" s="27"/>
      <c r="AA655" s="22" t="s">
        <v>2955</v>
      </c>
      <c r="AB655" s="22" t="s">
        <v>1691</v>
      </c>
    </row>
    <row r="656" customFormat="false" ht="15" hidden="false" customHeight="false" outlineLevel="0" collapsed="false">
      <c r="A656" s="22" t="n">
        <v>655</v>
      </c>
      <c r="B656" s="22" t="s">
        <v>2956</v>
      </c>
      <c r="C656" s="22" t="s">
        <v>2957</v>
      </c>
      <c r="D656" s="22" t="s">
        <v>138</v>
      </c>
      <c r="E656" s="22" t="s">
        <v>139</v>
      </c>
      <c r="F656" s="22" t="s">
        <v>106</v>
      </c>
      <c r="G656" s="23" t="n">
        <v>45657</v>
      </c>
      <c r="H656" s="24" t="n">
        <f aca="false">IF(G656="","",ROUND((Config!$C$4-G656)/365.25,2))</f>
        <v>1.75</v>
      </c>
      <c r="I656" s="25" t="str">
        <f aca="false">IF(H656="","",IF(H656&lt;=1,"Tramo 1",IF(H656&lt;=3,"Tramo 2",IF(H656&lt;=5,"Tramo 3","Tramo 4"))))</f>
        <v>Tramo 2</v>
      </c>
      <c r="J656" s="22" t="s">
        <v>140</v>
      </c>
      <c r="K656" s="22"/>
      <c r="L656" s="22" t="s">
        <v>2958</v>
      </c>
      <c r="M656" s="26" t="s">
        <v>2959</v>
      </c>
      <c r="N656" s="22"/>
      <c r="O656" s="22" t="s">
        <v>63</v>
      </c>
      <c r="P656" s="25" t="str">
        <f aca="false">IF(OR(O656="",O656="Sin información"),"",IFERROR(INDEX(Listas!$B$2:$B$9,MATCH(O656,Listas!$A$2:$A$9,0)),""))</f>
        <v/>
      </c>
      <c r="Q656" s="25" t="str">
        <f aca="false">IF(OR(O656="",O656="Sin información"),"",IFERROR(INDEX(Listas!$C$2:$C$9,MATCH(O656,Listas!$A$2:$A$9,0)),""))</f>
        <v/>
      </c>
      <c r="R656" s="22"/>
      <c r="S656" s="22"/>
      <c r="T656" s="25" t="str">
        <f aca="false">IF(S656="","",IFERROR(INDEX(Empleadores!$B$2:$B$601,MATCH(S656,Empleadores!$A$2:$A$601,0)),"No encontrado"))</f>
        <v/>
      </c>
      <c r="U656" s="25" t="str">
        <f aca="false">IF(C656="","",IF(V656="","No",IF(Config!$C$4-V656&lt;=Config!$C$15,"Sí","No")))</f>
        <v>No</v>
      </c>
      <c r="V656" s="23"/>
      <c r="W656" s="22"/>
      <c r="X656" s="22"/>
      <c r="Y656" s="22"/>
      <c r="Z656" s="27"/>
      <c r="AA656" s="22"/>
      <c r="AB656" s="22"/>
    </row>
    <row r="657" customFormat="false" ht="15" hidden="false" customHeight="false" outlineLevel="0" collapsed="false">
      <c r="A657" s="22" t="n">
        <v>656</v>
      </c>
      <c r="B657" s="22" t="s">
        <v>2960</v>
      </c>
      <c r="C657" s="22" t="s">
        <v>2961</v>
      </c>
      <c r="D657" s="22" t="s">
        <v>138</v>
      </c>
      <c r="E657" s="22" t="s">
        <v>139</v>
      </c>
      <c r="F657" s="22" t="s">
        <v>106</v>
      </c>
      <c r="G657" s="23" t="n">
        <v>45657</v>
      </c>
      <c r="H657" s="24" t="n">
        <f aca="false">IF(G657="","",ROUND((Config!$C$4-G657)/365.25,2))</f>
        <v>1.75</v>
      </c>
      <c r="I657" s="25" t="str">
        <f aca="false">IF(H657="","",IF(H657&lt;=1,"Tramo 1",IF(H657&lt;=3,"Tramo 2",IF(H657&lt;=5,"Tramo 3","Tramo 4"))))</f>
        <v>Tramo 2</v>
      </c>
      <c r="J657" s="22" t="s">
        <v>166</v>
      </c>
      <c r="K657" s="22"/>
      <c r="L657" s="22" t="s">
        <v>2962</v>
      </c>
      <c r="M657" s="26" t="s">
        <v>2963</v>
      </c>
      <c r="N657" s="22"/>
      <c r="O657" s="22" t="s">
        <v>63</v>
      </c>
      <c r="P657" s="25" t="str">
        <f aca="false">IF(OR(O657="",O657="Sin información"),"",IFERROR(INDEX(Listas!$B$2:$B$9,MATCH(O657,Listas!$A$2:$A$9,0)),""))</f>
        <v/>
      </c>
      <c r="Q657" s="25" t="str">
        <f aca="false">IF(OR(O657="",O657="Sin información"),"",IFERROR(INDEX(Listas!$C$2:$C$9,MATCH(O657,Listas!$A$2:$A$9,0)),""))</f>
        <v/>
      </c>
      <c r="R657" s="22"/>
      <c r="S657" s="22"/>
      <c r="T657" s="25" t="str">
        <f aca="false">IF(S657="","",IFERROR(INDEX(Empleadores!$B$2:$B$601,MATCH(S657,Empleadores!$A$2:$A$601,0)),"No encontrado"))</f>
        <v/>
      </c>
      <c r="U657" s="25" t="str">
        <f aca="false">IF(C657="","",IF(V657="","No",IF(Config!$C$4-V657&lt;=Config!$C$15,"Sí","No")))</f>
        <v>No</v>
      </c>
      <c r="V657" s="23"/>
      <c r="W657" s="22"/>
      <c r="X657" s="22"/>
      <c r="Y657" s="22"/>
      <c r="Z657" s="27"/>
      <c r="AA657" s="22"/>
      <c r="AB657" s="22"/>
    </row>
    <row r="658" customFormat="false" ht="15" hidden="false" customHeight="false" outlineLevel="0" collapsed="false">
      <c r="A658" s="22" t="n">
        <v>657</v>
      </c>
      <c r="B658" s="22" t="s">
        <v>2964</v>
      </c>
      <c r="C658" s="22" t="s">
        <v>2965</v>
      </c>
      <c r="D658" s="22" t="s">
        <v>149</v>
      </c>
      <c r="E658" s="22" t="s">
        <v>139</v>
      </c>
      <c r="F658" s="22" t="s">
        <v>106</v>
      </c>
      <c r="G658" s="23" t="n">
        <v>45657</v>
      </c>
      <c r="H658" s="24" t="n">
        <f aca="false">IF(G658="","",ROUND((Config!$C$4-G658)/365.25,2))</f>
        <v>1.75</v>
      </c>
      <c r="I658" s="25" t="str">
        <f aca="false">IF(H658="","",IF(H658&lt;=1,"Tramo 1",IF(H658&lt;=3,"Tramo 2",IF(H658&lt;=5,"Tramo 3","Tramo 4"))))</f>
        <v>Tramo 2</v>
      </c>
      <c r="J658" s="22" t="s">
        <v>2639</v>
      </c>
      <c r="K658" s="22"/>
      <c r="L658" s="22" t="s">
        <v>2966</v>
      </c>
      <c r="M658" s="26" t="s">
        <v>2967</v>
      </c>
      <c r="N658" s="22"/>
      <c r="O658" s="22" t="s">
        <v>63</v>
      </c>
      <c r="P658" s="25" t="str">
        <f aca="false">IF(OR(O658="",O658="Sin información"),"",IFERROR(INDEX(Listas!$B$2:$B$9,MATCH(O658,Listas!$A$2:$A$9,0)),""))</f>
        <v/>
      </c>
      <c r="Q658" s="25" t="str">
        <f aca="false">IF(OR(O658="",O658="Sin información"),"",IFERROR(INDEX(Listas!$C$2:$C$9,MATCH(O658,Listas!$A$2:$A$9,0)),""))</f>
        <v/>
      </c>
      <c r="R658" s="22"/>
      <c r="S658" s="22"/>
      <c r="T658" s="25" t="str">
        <f aca="false">IF(S658="","",IFERROR(INDEX(Empleadores!$B$2:$B$601,MATCH(S658,Empleadores!$A$2:$A$601,0)),"No encontrado"))</f>
        <v/>
      </c>
      <c r="U658" s="25" t="str">
        <f aca="false">IF(C658="","",IF(V658="","No",IF(Config!$C$4-V658&lt;=Config!$C$15,"Sí","No")))</f>
        <v>No</v>
      </c>
      <c r="V658" s="23"/>
      <c r="W658" s="22"/>
      <c r="X658" s="22"/>
      <c r="Y658" s="22"/>
      <c r="Z658" s="27"/>
      <c r="AA658" s="22"/>
      <c r="AB658" s="22"/>
    </row>
    <row r="659" customFormat="false" ht="15" hidden="false" customHeight="false" outlineLevel="0" collapsed="false">
      <c r="A659" s="22" t="n">
        <v>658</v>
      </c>
      <c r="B659" s="22" t="s">
        <v>2968</v>
      </c>
      <c r="C659" s="22" t="s">
        <v>2969</v>
      </c>
      <c r="D659" s="22" t="s">
        <v>149</v>
      </c>
      <c r="E659" s="22" t="s">
        <v>139</v>
      </c>
      <c r="F659" s="22" t="s">
        <v>106</v>
      </c>
      <c r="G659" s="23" t="n">
        <v>45657</v>
      </c>
      <c r="H659" s="24" t="n">
        <f aca="false">IF(G659="","",ROUND((Config!$C$4-G659)/365.25,2))</f>
        <v>1.75</v>
      </c>
      <c r="I659" s="25" t="str">
        <f aca="false">IF(H659="","",IF(H659&lt;=1,"Tramo 1",IF(H659&lt;=3,"Tramo 2",IF(H659&lt;=5,"Tramo 3","Tramo 4"))))</f>
        <v>Tramo 2</v>
      </c>
      <c r="J659" s="22" t="s">
        <v>166</v>
      </c>
      <c r="K659" s="22"/>
      <c r="L659" s="22" t="s">
        <v>2970</v>
      </c>
      <c r="M659" s="26" t="s">
        <v>2971</v>
      </c>
      <c r="N659" s="22"/>
      <c r="O659" s="22" t="s">
        <v>63</v>
      </c>
      <c r="P659" s="25" t="str">
        <f aca="false">IF(OR(O659="",O659="Sin información"),"",IFERROR(INDEX(Listas!$B$2:$B$9,MATCH(O659,Listas!$A$2:$A$9,0)),""))</f>
        <v/>
      </c>
      <c r="Q659" s="25" t="str">
        <f aca="false">IF(OR(O659="",O659="Sin información"),"",IFERROR(INDEX(Listas!$C$2:$C$9,MATCH(O659,Listas!$A$2:$A$9,0)),""))</f>
        <v/>
      </c>
      <c r="R659" s="22"/>
      <c r="S659" s="22"/>
      <c r="T659" s="25" t="str">
        <f aca="false">IF(S659="","",IFERROR(INDEX(Empleadores!$B$2:$B$601,MATCH(S659,Empleadores!$A$2:$A$601,0)),"No encontrado"))</f>
        <v/>
      </c>
      <c r="U659" s="25" t="str">
        <f aca="false">IF(C659="","",IF(V659="","No",IF(Config!$C$4-V659&lt;=Config!$C$15,"Sí","No")))</f>
        <v>No</v>
      </c>
      <c r="V659" s="23"/>
      <c r="W659" s="22"/>
      <c r="X659" s="22"/>
      <c r="Y659" s="22"/>
      <c r="Z659" s="27"/>
      <c r="AA659" s="22" t="s">
        <v>2972</v>
      </c>
      <c r="AB659" s="22" t="s">
        <v>1691</v>
      </c>
    </row>
    <row r="660" customFormat="false" ht="15" hidden="false" customHeight="false" outlineLevel="0" collapsed="false">
      <c r="A660" s="22" t="n">
        <v>659</v>
      </c>
      <c r="B660" s="22" t="s">
        <v>2973</v>
      </c>
      <c r="C660" s="22" t="s">
        <v>2974</v>
      </c>
      <c r="D660" s="22" t="s">
        <v>138</v>
      </c>
      <c r="E660" s="22" t="s">
        <v>139</v>
      </c>
      <c r="F660" s="22" t="s">
        <v>106</v>
      </c>
      <c r="G660" s="23" t="n">
        <v>45657</v>
      </c>
      <c r="H660" s="24" t="n">
        <f aca="false">IF(G660="","",ROUND((Config!$C$4-G660)/365.25,2))</f>
        <v>1.75</v>
      </c>
      <c r="I660" s="25" t="str">
        <f aca="false">IF(H660="","",IF(H660&lt;=1,"Tramo 1",IF(H660&lt;=3,"Tramo 2",IF(H660&lt;=5,"Tramo 3","Tramo 4"))))</f>
        <v>Tramo 2</v>
      </c>
      <c r="J660" s="22" t="s">
        <v>166</v>
      </c>
      <c r="K660" s="22"/>
      <c r="L660" s="22" t="s">
        <v>2975</v>
      </c>
      <c r="M660" s="26" t="s">
        <v>2976</v>
      </c>
      <c r="N660" s="22"/>
      <c r="O660" s="22" t="s">
        <v>63</v>
      </c>
      <c r="P660" s="25" t="str">
        <f aca="false">IF(OR(O660="",O660="Sin información"),"",IFERROR(INDEX(Listas!$B$2:$B$9,MATCH(O660,Listas!$A$2:$A$9,0)),""))</f>
        <v/>
      </c>
      <c r="Q660" s="25" t="str">
        <f aca="false">IF(OR(O660="",O660="Sin información"),"",IFERROR(INDEX(Listas!$C$2:$C$9,MATCH(O660,Listas!$A$2:$A$9,0)),""))</f>
        <v/>
      </c>
      <c r="R660" s="22"/>
      <c r="S660" s="22"/>
      <c r="T660" s="25" t="str">
        <f aca="false">IF(S660="","",IFERROR(INDEX(Empleadores!$B$2:$B$601,MATCH(S660,Empleadores!$A$2:$A$601,0)),"No encontrado"))</f>
        <v/>
      </c>
      <c r="U660" s="25" t="str">
        <f aca="false">IF(C660="","",IF(V660="","No",IF(Config!$C$4-V660&lt;=Config!$C$15,"Sí","No")))</f>
        <v>No</v>
      </c>
      <c r="V660" s="23"/>
      <c r="W660" s="22"/>
      <c r="X660" s="22"/>
      <c r="Y660" s="22"/>
      <c r="Z660" s="27"/>
      <c r="AA660" s="22" t="s">
        <v>2977</v>
      </c>
      <c r="AB660" s="22" t="s">
        <v>1691</v>
      </c>
    </row>
    <row r="661" customFormat="false" ht="15" hidden="false" customHeight="false" outlineLevel="0" collapsed="false">
      <c r="A661" s="22" t="n">
        <v>660</v>
      </c>
      <c r="B661" s="22" t="s">
        <v>2978</v>
      </c>
      <c r="C661" s="22" t="s">
        <v>2979</v>
      </c>
      <c r="D661" s="22" t="s">
        <v>138</v>
      </c>
      <c r="E661" s="22" t="s">
        <v>139</v>
      </c>
      <c r="F661" s="22" t="s">
        <v>106</v>
      </c>
      <c r="G661" s="23" t="n">
        <v>45657</v>
      </c>
      <c r="H661" s="24" t="n">
        <f aca="false">IF(G661="","",ROUND((Config!$C$4-G661)/365.25,2))</f>
        <v>1.75</v>
      </c>
      <c r="I661" s="25" t="str">
        <f aca="false">IF(H661="","",IF(H661&lt;=1,"Tramo 1",IF(H661&lt;=3,"Tramo 2",IF(H661&lt;=5,"Tramo 3","Tramo 4"))))</f>
        <v>Tramo 2</v>
      </c>
      <c r="J661" s="22" t="s">
        <v>140</v>
      </c>
      <c r="K661" s="22"/>
      <c r="L661" s="22" t="s">
        <v>2980</v>
      </c>
      <c r="M661" s="26" t="s">
        <v>2981</v>
      </c>
      <c r="N661" s="22"/>
      <c r="O661" s="22" t="s">
        <v>63</v>
      </c>
      <c r="P661" s="25" t="str">
        <f aca="false">IF(OR(O661="",O661="Sin información"),"",IFERROR(INDEX(Listas!$B$2:$B$9,MATCH(O661,Listas!$A$2:$A$9,0)),""))</f>
        <v/>
      </c>
      <c r="Q661" s="25" t="str">
        <f aca="false">IF(OR(O661="",O661="Sin información"),"",IFERROR(INDEX(Listas!$C$2:$C$9,MATCH(O661,Listas!$A$2:$A$9,0)),""))</f>
        <v/>
      </c>
      <c r="R661" s="22"/>
      <c r="S661" s="22"/>
      <c r="T661" s="25" t="str">
        <f aca="false">IF(S661="","",IFERROR(INDEX(Empleadores!$B$2:$B$601,MATCH(S661,Empleadores!$A$2:$A$601,0)),"No encontrado"))</f>
        <v/>
      </c>
      <c r="U661" s="25" t="str">
        <f aca="false">IF(C661="","",IF(V661="","No",IF(Config!$C$4-V661&lt;=Config!$C$15,"Sí","No")))</f>
        <v>No</v>
      </c>
      <c r="V661" s="23"/>
      <c r="W661" s="22"/>
      <c r="X661" s="22"/>
      <c r="Y661" s="22"/>
      <c r="Z661" s="27"/>
      <c r="AA661" s="22"/>
      <c r="AB661" s="22"/>
    </row>
    <row r="662" customFormat="false" ht="15" hidden="false" customHeight="false" outlineLevel="0" collapsed="false">
      <c r="A662" s="22" t="n">
        <v>661</v>
      </c>
      <c r="B662" s="22" t="s">
        <v>2982</v>
      </c>
      <c r="C662" s="22" t="s">
        <v>2983</v>
      </c>
      <c r="D662" s="22" t="s">
        <v>138</v>
      </c>
      <c r="E662" s="22" t="s">
        <v>139</v>
      </c>
      <c r="F662" s="22" t="s">
        <v>106</v>
      </c>
      <c r="G662" s="23" t="n">
        <v>45657</v>
      </c>
      <c r="H662" s="24" t="n">
        <f aca="false">IF(G662="","",ROUND((Config!$C$4-G662)/365.25,2))</f>
        <v>1.75</v>
      </c>
      <c r="I662" s="25" t="str">
        <f aca="false">IF(H662="","",IF(H662&lt;=1,"Tramo 1",IF(H662&lt;=3,"Tramo 2",IF(H662&lt;=5,"Tramo 3","Tramo 4"))))</f>
        <v>Tramo 2</v>
      </c>
      <c r="J662" s="22" t="s">
        <v>166</v>
      </c>
      <c r="K662" s="22"/>
      <c r="L662" s="22" t="s">
        <v>2984</v>
      </c>
      <c r="M662" s="26" t="s">
        <v>2985</v>
      </c>
      <c r="N662" s="22"/>
      <c r="O662" s="22" t="s">
        <v>63</v>
      </c>
      <c r="P662" s="25" t="str">
        <f aca="false">IF(OR(O662="",O662="Sin información"),"",IFERROR(INDEX(Listas!$B$2:$B$9,MATCH(O662,Listas!$A$2:$A$9,0)),""))</f>
        <v/>
      </c>
      <c r="Q662" s="25" t="str">
        <f aca="false">IF(OR(O662="",O662="Sin información"),"",IFERROR(INDEX(Listas!$C$2:$C$9,MATCH(O662,Listas!$A$2:$A$9,0)),""))</f>
        <v/>
      </c>
      <c r="R662" s="22"/>
      <c r="S662" s="22"/>
      <c r="T662" s="25" t="str">
        <f aca="false">IF(S662="","",IFERROR(INDEX(Empleadores!$B$2:$B$601,MATCH(S662,Empleadores!$A$2:$A$601,0)),"No encontrado"))</f>
        <v/>
      </c>
      <c r="U662" s="25" t="str">
        <f aca="false">IF(C662="","",IF(V662="","No",IF(Config!$C$4-V662&lt;=Config!$C$15,"Sí","No")))</f>
        <v>No</v>
      </c>
      <c r="V662" s="23"/>
      <c r="W662" s="22"/>
      <c r="X662" s="22"/>
      <c r="Y662" s="22"/>
      <c r="Z662" s="27"/>
      <c r="AA662" s="22"/>
      <c r="AB662" s="22"/>
    </row>
    <row r="663" customFormat="false" ht="15" hidden="false" customHeight="false" outlineLevel="0" collapsed="false">
      <c r="A663" s="22" t="n">
        <v>662</v>
      </c>
      <c r="B663" s="22" t="s">
        <v>2986</v>
      </c>
      <c r="C663" s="22" t="s">
        <v>2987</v>
      </c>
      <c r="D663" s="22" t="s">
        <v>138</v>
      </c>
      <c r="E663" s="22" t="s">
        <v>139</v>
      </c>
      <c r="F663" s="22" t="s">
        <v>106</v>
      </c>
      <c r="G663" s="23" t="n">
        <v>45657</v>
      </c>
      <c r="H663" s="24" t="n">
        <f aca="false">IF(G663="","",ROUND((Config!$C$4-G663)/365.25,2))</f>
        <v>1.75</v>
      </c>
      <c r="I663" s="25" t="str">
        <f aca="false">IF(H663="","",IF(H663&lt;=1,"Tramo 1",IF(H663&lt;=3,"Tramo 2",IF(H663&lt;=5,"Tramo 3","Tramo 4"))))</f>
        <v>Tramo 2</v>
      </c>
      <c r="J663" s="22" t="s">
        <v>166</v>
      </c>
      <c r="K663" s="22"/>
      <c r="L663" s="22" t="s">
        <v>2988</v>
      </c>
      <c r="M663" s="26" t="s">
        <v>2989</v>
      </c>
      <c r="N663" s="22"/>
      <c r="O663" s="22" t="s">
        <v>63</v>
      </c>
      <c r="P663" s="25" t="str">
        <f aca="false">IF(OR(O663="",O663="Sin información"),"",IFERROR(INDEX(Listas!$B$2:$B$9,MATCH(O663,Listas!$A$2:$A$9,0)),""))</f>
        <v/>
      </c>
      <c r="Q663" s="25" t="str">
        <f aca="false">IF(OR(O663="",O663="Sin información"),"",IFERROR(INDEX(Listas!$C$2:$C$9,MATCH(O663,Listas!$A$2:$A$9,0)),""))</f>
        <v/>
      </c>
      <c r="R663" s="22"/>
      <c r="S663" s="22"/>
      <c r="T663" s="25" t="str">
        <f aca="false">IF(S663="","",IFERROR(INDEX(Empleadores!$B$2:$B$601,MATCH(S663,Empleadores!$A$2:$A$601,0)),"No encontrado"))</f>
        <v/>
      </c>
      <c r="U663" s="25" t="str">
        <f aca="false">IF(C663="","",IF(V663="","No",IF(Config!$C$4-V663&lt;=Config!$C$15,"Sí","No")))</f>
        <v>No</v>
      </c>
      <c r="V663" s="23"/>
      <c r="W663" s="22"/>
      <c r="X663" s="22"/>
      <c r="Y663" s="22"/>
      <c r="Z663" s="27"/>
      <c r="AA663" s="22"/>
      <c r="AB663" s="22"/>
    </row>
    <row r="664" customFormat="false" ht="15" hidden="false" customHeight="false" outlineLevel="0" collapsed="false">
      <c r="A664" s="22" t="n">
        <v>663</v>
      </c>
      <c r="B664" s="22" t="s">
        <v>2990</v>
      </c>
      <c r="C664" s="22" t="s">
        <v>2991</v>
      </c>
      <c r="D664" s="22" t="s">
        <v>149</v>
      </c>
      <c r="E664" s="22" t="s">
        <v>139</v>
      </c>
      <c r="F664" s="22" t="s">
        <v>106</v>
      </c>
      <c r="G664" s="23" t="n">
        <v>45657</v>
      </c>
      <c r="H664" s="24" t="n">
        <f aca="false">IF(G664="","",ROUND((Config!$C$4-G664)/365.25,2))</f>
        <v>1.75</v>
      </c>
      <c r="I664" s="25" t="str">
        <f aca="false">IF(H664="","",IF(H664&lt;=1,"Tramo 1",IF(H664&lt;=3,"Tramo 2",IF(H664&lt;=5,"Tramo 3","Tramo 4"))))</f>
        <v>Tramo 2</v>
      </c>
      <c r="J664" s="22" t="s">
        <v>166</v>
      </c>
      <c r="K664" s="22"/>
      <c r="L664" s="22" t="s">
        <v>2992</v>
      </c>
      <c r="M664" s="26" t="s">
        <v>2993</v>
      </c>
      <c r="N664" s="22"/>
      <c r="O664" s="22" t="s">
        <v>63</v>
      </c>
      <c r="P664" s="25" t="str">
        <f aca="false">IF(OR(O664="",O664="Sin información"),"",IFERROR(INDEX(Listas!$B$2:$B$9,MATCH(O664,Listas!$A$2:$A$9,0)),""))</f>
        <v/>
      </c>
      <c r="Q664" s="25" t="str">
        <f aca="false">IF(OR(O664="",O664="Sin información"),"",IFERROR(INDEX(Listas!$C$2:$C$9,MATCH(O664,Listas!$A$2:$A$9,0)),""))</f>
        <v/>
      </c>
      <c r="R664" s="22"/>
      <c r="S664" s="22"/>
      <c r="T664" s="25" t="str">
        <f aca="false">IF(S664="","",IFERROR(INDEX(Empleadores!$B$2:$B$601,MATCH(S664,Empleadores!$A$2:$A$601,0)),"No encontrado"))</f>
        <v/>
      </c>
      <c r="U664" s="25" t="str">
        <f aca="false">IF(C664="","",IF(V664="","No",IF(Config!$C$4-V664&lt;=Config!$C$15,"Sí","No")))</f>
        <v>No</v>
      </c>
      <c r="V664" s="23"/>
      <c r="W664" s="22"/>
      <c r="X664" s="22"/>
      <c r="Y664" s="22"/>
      <c r="Z664" s="27"/>
      <c r="AA664" s="22"/>
      <c r="AB664" s="22"/>
    </row>
    <row r="665" customFormat="false" ht="15" hidden="false" customHeight="false" outlineLevel="0" collapsed="false">
      <c r="A665" s="22" t="n">
        <v>664</v>
      </c>
      <c r="B665" s="22" t="s">
        <v>2994</v>
      </c>
      <c r="C665" s="22" t="s">
        <v>2995</v>
      </c>
      <c r="D665" s="22" t="s">
        <v>149</v>
      </c>
      <c r="E665" s="22" t="s">
        <v>139</v>
      </c>
      <c r="F665" s="22" t="s">
        <v>106</v>
      </c>
      <c r="G665" s="23" t="n">
        <v>45657</v>
      </c>
      <c r="H665" s="24" t="n">
        <f aca="false">IF(G665="","",ROUND((Config!$C$4-G665)/365.25,2))</f>
        <v>1.75</v>
      </c>
      <c r="I665" s="25" t="str">
        <f aca="false">IF(H665="","",IF(H665&lt;=1,"Tramo 1",IF(H665&lt;=3,"Tramo 2",IF(H665&lt;=5,"Tramo 3","Tramo 4"))))</f>
        <v>Tramo 2</v>
      </c>
      <c r="J665" s="22" t="s">
        <v>166</v>
      </c>
      <c r="K665" s="22"/>
      <c r="L665" s="22" t="s">
        <v>2996</v>
      </c>
      <c r="M665" s="26" t="s">
        <v>2997</v>
      </c>
      <c r="N665" s="22"/>
      <c r="O665" s="22" t="s">
        <v>63</v>
      </c>
      <c r="P665" s="25" t="str">
        <f aca="false">IF(OR(O665="",O665="Sin información"),"",IFERROR(INDEX(Listas!$B$2:$B$9,MATCH(O665,Listas!$A$2:$A$9,0)),""))</f>
        <v/>
      </c>
      <c r="Q665" s="25" t="str">
        <f aca="false">IF(OR(O665="",O665="Sin información"),"",IFERROR(INDEX(Listas!$C$2:$C$9,MATCH(O665,Listas!$A$2:$A$9,0)),""))</f>
        <v/>
      </c>
      <c r="R665" s="22"/>
      <c r="S665" s="22"/>
      <c r="T665" s="25" t="str">
        <f aca="false">IF(S665="","",IFERROR(INDEX(Empleadores!$B$2:$B$601,MATCH(S665,Empleadores!$A$2:$A$601,0)),"No encontrado"))</f>
        <v/>
      </c>
      <c r="U665" s="25" t="str">
        <f aca="false">IF(C665="","",IF(V665="","No",IF(Config!$C$4-V665&lt;=Config!$C$15,"Sí","No")))</f>
        <v>No</v>
      </c>
      <c r="V665" s="23"/>
      <c r="W665" s="22"/>
      <c r="X665" s="22"/>
      <c r="Y665" s="22"/>
      <c r="Z665" s="27"/>
      <c r="AA665" s="22" t="s">
        <v>2998</v>
      </c>
      <c r="AB665" s="22" t="s">
        <v>1691</v>
      </c>
    </row>
    <row r="666" customFormat="false" ht="15" hidden="false" customHeight="false" outlineLevel="0" collapsed="false">
      <c r="A666" s="22" t="n">
        <v>665</v>
      </c>
      <c r="B666" s="22" t="s">
        <v>2999</v>
      </c>
      <c r="C666" s="22" t="s">
        <v>3000</v>
      </c>
      <c r="D666" s="22" t="s">
        <v>138</v>
      </c>
      <c r="E666" s="22" t="s">
        <v>139</v>
      </c>
      <c r="F666" s="22" t="s">
        <v>106</v>
      </c>
      <c r="G666" s="23" t="n">
        <v>45657</v>
      </c>
      <c r="H666" s="24" t="n">
        <f aca="false">IF(G666="","",ROUND((Config!$C$4-G666)/365.25,2))</f>
        <v>1.75</v>
      </c>
      <c r="I666" s="25" t="str">
        <f aca="false">IF(H666="","",IF(H666&lt;=1,"Tramo 1",IF(H666&lt;=3,"Tramo 2",IF(H666&lt;=5,"Tramo 3","Tramo 4"))))</f>
        <v>Tramo 2</v>
      </c>
      <c r="J666" s="22" t="s">
        <v>166</v>
      </c>
      <c r="K666" s="22"/>
      <c r="L666" s="22" t="s">
        <v>3001</v>
      </c>
      <c r="M666" s="26" t="s">
        <v>3002</v>
      </c>
      <c r="N666" s="22"/>
      <c r="O666" s="22" t="s">
        <v>63</v>
      </c>
      <c r="P666" s="25" t="str">
        <f aca="false">IF(OR(O666="",O666="Sin información"),"",IFERROR(INDEX(Listas!$B$2:$B$9,MATCH(O666,Listas!$A$2:$A$9,0)),""))</f>
        <v/>
      </c>
      <c r="Q666" s="25" t="str">
        <f aca="false">IF(OR(O666="",O666="Sin información"),"",IFERROR(INDEX(Listas!$C$2:$C$9,MATCH(O666,Listas!$A$2:$A$9,0)),""))</f>
        <v/>
      </c>
      <c r="R666" s="22"/>
      <c r="S666" s="22"/>
      <c r="T666" s="25" t="str">
        <f aca="false">IF(S666="","",IFERROR(INDEX(Empleadores!$B$2:$B$601,MATCH(S666,Empleadores!$A$2:$A$601,0)),"No encontrado"))</f>
        <v/>
      </c>
      <c r="U666" s="25" t="str">
        <f aca="false">IF(C666="","",IF(V666="","No",IF(Config!$C$4-V666&lt;=Config!$C$15,"Sí","No")))</f>
        <v>No</v>
      </c>
      <c r="V666" s="23"/>
      <c r="W666" s="22"/>
      <c r="X666" s="22"/>
      <c r="Y666" s="22"/>
      <c r="Z666" s="27"/>
      <c r="AA666" s="22" t="s">
        <v>3003</v>
      </c>
      <c r="AB666" s="22" t="s">
        <v>1691</v>
      </c>
    </row>
    <row r="667" customFormat="false" ht="15" hidden="false" customHeight="false" outlineLevel="0" collapsed="false">
      <c r="A667" s="22" t="n">
        <v>666</v>
      </c>
      <c r="B667" s="22" t="s">
        <v>3004</v>
      </c>
      <c r="C667" s="22" t="s">
        <v>3005</v>
      </c>
      <c r="D667" s="22" t="s">
        <v>138</v>
      </c>
      <c r="E667" s="22" t="s">
        <v>139</v>
      </c>
      <c r="F667" s="22" t="s">
        <v>106</v>
      </c>
      <c r="G667" s="23" t="n">
        <v>45657</v>
      </c>
      <c r="H667" s="24" t="n">
        <f aca="false">IF(G667="","",ROUND((Config!$C$4-G667)/365.25,2))</f>
        <v>1.75</v>
      </c>
      <c r="I667" s="25" t="str">
        <f aca="false">IF(H667="","",IF(H667&lt;=1,"Tramo 1",IF(H667&lt;=3,"Tramo 2",IF(H667&lt;=5,"Tramo 3","Tramo 4"))))</f>
        <v>Tramo 2</v>
      </c>
      <c r="J667" s="22" t="s">
        <v>166</v>
      </c>
      <c r="K667" s="22"/>
      <c r="L667" s="22" t="s">
        <v>3006</v>
      </c>
      <c r="M667" s="26" t="s">
        <v>3007</v>
      </c>
      <c r="N667" s="22"/>
      <c r="O667" s="22" t="s">
        <v>63</v>
      </c>
      <c r="P667" s="25" t="str">
        <f aca="false">IF(OR(O667="",O667="Sin información"),"",IFERROR(INDEX(Listas!$B$2:$B$9,MATCH(O667,Listas!$A$2:$A$9,0)),""))</f>
        <v/>
      </c>
      <c r="Q667" s="25" t="str">
        <f aca="false">IF(OR(O667="",O667="Sin información"),"",IFERROR(INDEX(Listas!$C$2:$C$9,MATCH(O667,Listas!$A$2:$A$9,0)),""))</f>
        <v/>
      </c>
      <c r="R667" s="22"/>
      <c r="S667" s="22"/>
      <c r="T667" s="25" t="str">
        <f aca="false">IF(S667="","",IFERROR(INDEX(Empleadores!$B$2:$B$601,MATCH(S667,Empleadores!$A$2:$A$601,0)),"No encontrado"))</f>
        <v/>
      </c>
      <c r="U667" s="25" t="str">
        <f aca="false">IF(C667="","",IF(V667="","No",IF(Config!$C$4-V667&lt;=Config!$C$15,"Sí","No")))</f>
        <v>No</v>
      </c>
      <c r="V667" s="23"/>
      <c r="W667" s="22"/>
      <c r="X667" s="22"/>
      <c r="Y667" s="22"/>
      <c r="Z667" s="27"/>
      <c r="AA667" s="22"/>
      <c r="AB667" s="22"/>
    </row>
    <row r="668" customFormat="false" ht="15" hidden="false" customHeight="false" outlineLevel="0" collapsed="false">
      <c r="A668" s="22" t="n">
        <v>667</v>
      </c>
      <c r="B668" s="22" t="s">
        <v>3008</v>
      </c>
      <c r="C668" s="22" t="s">
        <v>3009</v>
      </c>
      <c r="D668" s="22" t="s">
        <v>138</v>
      </c>
      <c r="E668" s="22" t="s">
        <v>139</v>
      </c>
      <c r="F668" s="22" t="s">
        <v>106</v>
      </c>
      <c r="G668" s="23" t="n">
        <v>45657</v>
      </c>
      <c r="H668" s="24" t="n">
        <f aca="false">IF(G668="","",ROUND((Config!$C$4-G668)/365.25,2))</f>
        <v>1.75</v>
      </c>
      <c r="I668" s="25" t="str">
        <f aca="false">IF(H668="","",IF(H668&lt;=1,"Tramo 1",IF(H668&lt;=3,"Tramo 2",IF(H668&lt;=5,"Tramo 3","Tramo 4"))))</f>
        <v>Tramo 2</v>
      </c>
      <c r="J668" s="22" t="s">
        <v>166</v>
      </c>
      <c r="K668" s="22"/>
      <c r="L668" s="22" t="s">
        <v>3010</v>
      </c>
      <c r="M668" s="26" t="s">
        <v>3011</v>
      </c>
      <c r="N668" s="22"/>
      <c r="O668" s="22" t="s">
        <v>90</v>
      </c>
      <c r="P668" s="25" t="str">
        <f aca="false">IF(OR(O668="",O668="Sin información"),"",IFERROR(INDEX(Listas!$B$2:$B$9,MATCH(O668,Listas!$A$2:$A$9,0)),""))</f>
        <v>No</v>
      </c>
      <c r="Q668" s="25" t="str">
        <f aca="false">IF(OR(O668="",O668="Sin información"),"",IFERROR(INDEX(Listas!$C$2:$C$9,MATCH(O668,Listas!$A$2:$A$9,0)),""))</f>
        <v>No</v>
      </c>
      <c r="R668" s="22"/>
      <c r="S668" s="22"/>
      <c r="T668" s="25" t="str">
        <f aca="false">IF(S668="","",IFERROR(INDEX(Empleadores!$B$2:$B$601,MATCH(S668,Empleadores!$A$2:$A$601,0)),"No encontrado"))</f>
        <v/>
      </c>
      <c r="U668" s="25" t="str">
        <f aca="false">IF(C668="","",IF(V668="","No",IF(Config!$C$4-V668&lt;=Config!$C$15,"Sí","No")))</f>
        <v>Sí</v>
      </c>
      <c r="V668" s="23" t="n">
        <v>45947</v>
      </c>
      <c r="W668" s="22"/>
      <c r="X668" s="22"/>
      <c r="Y668" s="22"/>
      <c r="Z668" s="27" t="s">
        <v>2250</v>
      </c>
      <c r="AA668" s="22" t="s">
        <v>2518</v>
      </c>
      <c r="AB668" s="22" t="s">
        <v>2265</v>
      </c>
    </row>
    <row r="669" customFormat="false" ht="15" hidden="false" customHeight="false" outlineLevel="0" collapsed="false">
      <c r="A669" s="22" t="n">
        <v>668</v>
      </c>
      <c r="B669" s="22" t="s">
        <v>3012</v>
      </c>
      <c r="C669" s="22" t="s">
        <v>3013</v>
      </c>
      <c r="D669" s="22" t="s">
        <v>149</v>
      </c>
      <c r="E669" s="22" t="s">
        <v>139</v>
      </c>
      <c r="F669" s="22" t="s">
        <v>106</v>
      </c>
      <c r="G669" s="23" t="n">
        <v>45657</v>
      </c>
      <c r="H669" s="24" t="n">
        <f aca="false">IF(G669="","",ROUND((Config!$C$4-G669)/365.25,2))</f>
        <v>1.75</v>
      </c>
      <c r="I669" s="25" t="str">
        <f aca="false">IF(H669="","",IF(H669&lt;=1,"Tramo 1",IF(H669&lt;=3,"Tramo 2",IF(H669&lt;=5,"Tramo 3","Tramo 4"))))</f>
        <v>Tramo 2</v>
      </c>
      <c r="J669" s="22" t="s">
        <v>166</v>
      </c>
      <c r="K669" s="22"/>
      <c r="L669" s="22" t="s">
        <v>3014</v>
      </c>
      <c r="M669" s="26" t="s">
        <v>3015</v>
      </c>
      <c r="N669" s="22"/>
      <c r="O669" s="22" t="s">
        <v>63</v>
      </c>
      <c r="P669" s="25" t="str">
        <f aca="false">IF(OR(O669="",O669="Sin información"),"",IFERROR(INDEX(Listas!$B$2:$B$9,MATCH(O669,Listas!$A$2:$A$9,0)),""))</f>
        <v/>
      </c>
      <c r="Q669" s="25" t="str">
        <f aca="false">IF(OR(O669="",O669="Sin información"),"",IFERROR(INDEX(Listas!$C$2:$C$9,MATCH(O669,Listas!$A$2:$A$9,0)),""))</f>
        <v/>
      </c>
      <c r="R669" s="22"/>
      <c r="S669" s="22"/>
      <c r="T669" s="25" t="str">
        <f aca="false">IF(S669="","",IFERROR(INDEX(Empleadores!$B$2:$B$601,MATCH(S669,Empleadores!$A$2:$A$601,0)),"No encontrado"))</f>
        <v/>
      </c>
      <c r="U669" s="25" t="str">
        <f aca="false">IF(C669="","",IF(V669="","No",IF(Config!$C$4-V669&lt;=Config!$C$15,"Sí","No")))</f>
        <v>No</v>
      </c>
      <c r="V669" s="23"/>
      <c r="W669" s="22"/>
      <c r="X669" s="22"/>
      <c r="Y669" s="22"/>
      <c r="Z669" s="27"/>
      <c r="AA669" s="22"/>
      <c r="AB669" s="22"/>
    </row>
    <row r="670" customFormat="false" ht="15" hidden="false" customHeight="false" outlineLevel="0" collapsed="false">
      <c r="A670" s="22" t="n">
        <v>669</v>
      </c>
      <c r="B670" s="22" t="s">
        <v>3016</v>
      </c>
      <c r="C670" s="22" t="s">
        <v>3017</v>
      </c>
      <c r="D670" s="22" t="s">
        <v>149</v>
      </c>
      <c r="E670" s="22" t="s">
        <v>139</v>
      </c>
      <c r="F670" s="22" t="s">
        <v>106</v>
      </c>
      <c r="G670" s="23" t="n">
        <v>45657</v>
      </c>
      <c r="H670" s="24" t="n">
        <f aca="false">IF(G670="","",ROUND((Config!$C$4-G670)/365.25,2))</f>
        <v>1.75</v>
      </c>
      <c r="I670" s="25" t="str">
        <f aca="false">IF(H670="","",IF(H670&lt;=1,"Tramo 1",IF(H670&lt;=3,"Tramo 2",IF(H670&lt;=5,"Tramo 3","Tramo 4"))))</f>
        <v>Tramo 2</v>
      </c>
      <c r="J670" s="22" t="s">
        <v>166</v>
      </c>
      <c r="K670" s="22"/>
      <c r="L670" s="22" t="s">
        <v>3018</v>
      </c>
      <c r="M670" s="26" t="s">
        <v>3019</v>
      </c>
      <c r="N670" s="22"/>
      <c r="O670" s="22" t="s">
        <v>90</v>
      </c>
      <c r="P670" s="25" t="str">
        <f aca="false">IF(OR(O670="",O670="Sin información"),"",IFERROR(INDEX(Listas!$B$2:$B$9,MATCH(O670,Listas!$A$2:$A$9,0)),""))</f>
        <v>No</v>
      </c>
      <c r="Q670" s="25" t="str">
        <f aca="false">IF(OR(O670="",O670="Sin información"),"",IFERROR(INDEX(Listas!$C$2:$C$9,MATCH(O670,Listas!$A$2:$A$9,0)),""))</f>
        <v>No</v>
      </c>
      <c r="R670" s="22"/>
      <c r="S670" s="22"/>
      <c r="T670" s="25" t="str">
        <f aca="false">IF(S670="","",IFERROR(INDEX(Empleadores!$B$2:$B$601,MATCH(S670,Empleadores!$A$2:$A$601,0)),"No encontrado"))</f>
        <v/>
      </c>
      <c r="U670" s="25" t="str">
        <f aca="false">IF(C670="","",IF(V670="","No",IF(Config!$C$4-V670&lt;=Config!$C$15,"Sí","No")))</f>
        <v>Sí</v>
      </c>
      <c r="V670" s="23" t="n">
        <v>45946</v>
      </c>
      <c r="W670" s="22"/>
      <c r="X670" s="22"/>
      <c r="Y670" s="22"/>
      <c r="Z670" s="27" t="s">
        <v>2250</v>
      </c>
      <c r="AA670" s="22" t="s">
        <v>3020</v>
      </c>
      <c r="AB670" s="22" t="s">
        <v>2252</v>
      </c>
    </row>
    <row r="671" customFormat="false" ht="15" hidden="false" customHeight="false" outlineLevel="0" collapsed="false">
      <c r="A671" s="22" t="n">
        <v>670</v>
      </c>
      <c r="B671" s="22" t="s">
        <v>3021</v>
      </c>
      <c r="C671" s="22" t="s">
        <v>3022</v>
      </c>
      <c r="D671" s="22" t="s">
        <v>138</v>
      </c>
      <c r="E671" s="22" t="s">
        <v>139</v>
      </c>
      <c r="F671" s="22" t="s">
        <v>106</v>
      </c>
      <c r="G671" s="23" t="n">
        <v>45657</v>
      </c>
      <c r="H671" s="24" t="n">
        <f aca="false">IF(G671="","",ROUND((Config!$C$4-G671)/365.25,2))</f>
        <v>1.75</v>
      </c>
      <c r="I671" s="25" t="str">
        <f aca="false">IF(H671="","",IF(H671&lt;=1,"Tramo 1",IF(H671&lt;=3,"Tramo 2",IF(H671&lt;=5,"Tramo 3","Tramo 4"))))</f>
        <v>Tramo 2</v>
      </c>
      <c r="J671" s="22" t="s">
        <v>166</v>
      </c>
      <c r="K671" s="22"/>
      <c r="L671" s="22" t="s">
        <v>3023</v>
      </c>
      <c r="M671" s="26" t="s">
        <v>3024</v>
      </c>
      <c r="N671" s="22"/>
      <c r="O671" s="22" t="s">
        <v>63</v>
      </c>
      <c r="P671" s="25" t="str">
        <f aca="false">IF(OR(O671="",O671="Sin información"),"",IFERROR(INDEX(Listas!$B$2:$B$9,MATCH(O671,Listas!$A$2:$A$9,0)),""))</f>
        <v/>
      </c>
      <c r="Q671" s="25" t="str">
        <f aca="false">IF(OR(O671="",O671="Sin información"),"",IFERROR(INDEX(Listas!$C$2:$C$9,MATCH(O671,Listas!$A$2:$A$9,0)),""))</f>
        <v/>
      </c>
      <c r="R671" s="22"/>
      <c r="S671" s="22"/>
      <c r="T671" s="25" t="str">
        <f aca="false">IF(S671="","",IFERROR(INDEX(Empleadores!$B$2:$B$601,MATCH(S671,Empleadores!$A$2:$A$601,0)),"No encontrado"))</f>
        <v/>
      </c>
      <c r="U671" s="25" t="str">
        <f aca="false">IF(C671="","",IF(V671="","No",IF(Config!$C$4-V671&lt;=Config!$C$15,"Sí","No")))</f>
        <v>No</v>
      </c>
      <c r="V671" s="23"/>
      <c r="W671" s="22"/>
      <c r="X671" s="22"/>
      <c r="Y671" s="22"/>
      <c r="Z671" s="27"/>
      <c r="AA671" s="22" t="s">
        <v>3025</v>
      </c>
      <c r="AB671" s="22" t="s">
        <v>1691</v>
      </c>
    </row>
    <row r="672" customFormat="false" ht="15" hidden="false" customHeight="false" outlineLevel="0" collapsed="false">
      <c r="A672" s="22" t="n">
        <v>671</v>
      </c>
      <c r="B672" s="22" t="s">
        <v>3026</v>
      </c>
      <c r="C672" s="22" t="s">
        <v>3027</v>
      </c>
      <c r="D672" s="22" t="s">
        <v>138</v>
      </c>
      <c r="E672" s="22" t="s">
        <v>139</v>
      </c>
      <c r="F672" s="22" t="s">
        <v>106</v>
      </c>
      <c r="G672" s="23" t="n">
        <v>45657</v>
      </c>
      <c r="H672" s="24" t="n">
        <f aca="false">IF(G672="","",ROUND((Config!$C$4-G672)/365.25,2))</f>
        <v>1.75</v>
      </c>
      <c r="I672" s="25" t="str">
        <f aca="false">IF(H672="","",IF(H672&lt;=1,"Tramo 1",IF(H672&lt;=3,"Tramo 2",IF(H672&lt;=5,"Tramo 3","Tramo 4"))))</f>
        <v>Tramo 2</v>
      </c>
      <c r="J672" s="22" t="s">
        <v>166</v>
      </c>
      <c r="K672" s="22"/>
      <c r="L672" s="22" t="s">
        <v>3028</v>
      </c>
      <c r="M672" s="26" t="s">
        <v>3029</v>
      </c>
      <c r="N672" s="22"/>
      <c r="O672" s="22" t="s">
        <v>63</v>
      </c>
      <c r="P672" s="25" t="str">
        <f aca="false">IF(OR(O672="",O672="Sin información"),"",IFERROR(INDEX(Listas!$B$2:$B$9,MATCH(O672,Listas!$A$2:$A$9,0)),""))</f>
        <v/>
      </c>
      <c r="Q672" s="25" t="str">
        <f aca="false">IF(OR(O672="",O672="Sin información"),"",IFERROR(INDEX(Listas!$C$2:$C$9,MATCH(O672,Listas!$A$2:$A$9,0)),""))</f>
        <v/>
      </c>
      <c r="R672" s="22"/>
      <c r="S672" s="22"/>
      <c r="T672" s="25" t="str">
        <f aca="false">IF(S672="","",IFERROR(INDEX(Empleadores!$B$2:$B$601,MATCH(S672,Empleadores!$A$2:$A$601,0)),"No encontrado"))</f>
        <v/>
      </c>
      <c r="U672" s="25" t="str">
        <f aca="false">IF(C672="","",IF(V672="","No",IF(Config!$C$4-V672&lt;=Config!$C$15,"Sí","No")))</f>
        <v>No</v>
      </c>
      <c r="V672" s="23"/>
      <c r="W672" s="22"/>
      <c r="X672" s="22"/>
      <c r="Y672" s="22"/>
      <c r="Z672" s="27"/>
      <c r="AA672" s="22" t="s">
        <v>3030</v>
      </c>
      <c r="AB672" s="22" t="s">
        <v>1691</v>
      </c>
    </row>
    <row r="673" customFormat="false" ht="15" hidden="false" customHeight="false" outlineLevel="0" collapsed="false">
      <c r="A673" s="22" t="n">
        <v>672</v>
      </c>
      <c r="B673" s="22" t="s">
        <v>3031</v>
      </c>
      <c r="C673" s="22" t="s">
        <v>3032</v>
      </c>
      <c r="D673" s="22" t="s">
        <v>149</v>
      </c>
      <c r="E673" s="22" t="s">
        <v>139</v>
      </c>
      <c r="F673" s="22" t="s">
        <v>106</v>
      </c>
      <c r="G673" s="23" t="n">
        <v>45657</v>
      </c>
      <c r="H673" s="24" t="n">
        <f aca="false">IF(G673="","",ROUND((Config!$C$4-G673)/365.25,2))</f>
        <v>1.75</v>
      </c>
      <c r="I673" s="25" t="str">
        <f aca="false">IF(H673="","",IF(H673&lt;=1,"Tramo 1",IF(H673&lt;=3,"Tramo 2",IF(H673&lt;=5,"Tramo 3","Tramo 4"))))</f>
        <v>Tramo 2</v>
      </c>
      <c r="J673" s="22" t="s">
        <v>140</v>
      </c>
      <c r="K673" s="22"/>
      <c r="L673" s="22" t="s">
        <v>3033</v>
      </c>
      <c r="M673" s="26" t="s">
        <v>3034</v>
      </c>
      <c r="N673" s="22" t="s">
        <v>3035</v>
      </c>
      <c r="O673" s="22" t="s">
        <v>81</v>
      </c>
      <c r="P673" s="25" t="str">
        <f aca="false">IF(OR(O673="",O673="Sin información"),"",IFERROR(INDEX(Listas!$B$2:$B$9,MATCH(O673,Listas!$A$2:$A$9,0)),""))</f>
        <v>Sí</v>
      </c>
      <c r="Q673" s="25" t="str">
        <f aca="false">IF(OR(O673="",O673="Sin información"),"",IFERROR(INDEX(Listas!$C$2:$C$9,MATCH(O673,Listas!$A$2:$A$9,0)),""))</f>
        <v>Sí</v>
      </c>
      <c r="R673" s="22" t="s">
        <v>3036</v>
      </c>
      <c r="S673" s="22" t="s">
        <v>3037</v>
      </c>
      <c r="T673" s="25" t="str">
        <f aca="false">IF(S673="","",IFERROR(INDEX(Empleadores!$B$2:$B$601,MATCH(S673,Empleadores!$A$2:$A$601,0)),"No encontrado"))</f>
        <v>P.S. Amparaes</v>
      </c>
      <c r="U673" s="25" t="str">
        <f aca="false">IF(C673="","",IF(V673="","No",IF(Config!$C$4-V673&lt;=Config!$C$15,"Sí","No")))</f>
        <v>Sí</v>
      </c>
      <c r="V673" s="23" t="n">
        <v>45948</v>
      </c>
      <c r="W673" s="22"/>
      <c r="X673" s="22"/>
      <c r="Y673" s="22"/>
      <c r="Z673" s="27"/>
      <c r="AA673" s="22" t="s">
        <v>3038</v>
      </c>
      <c r="AB673" s="22" t="s">
        <v>2265</v>
      </c>
    </row>
    <row r="674" customFormat="false" ht="15" hidden="false" customHeight="false" outlineLevel="0" collapsed="false">
      <c r="A674" s="22" t="n">
        <v>673</v>
      </c>
      <c r="B674" s="22" t="s">
        <v>3039</v>
      </c>
      <c r="C674" s="22" t="s">
        <v>3040</v>
      </c>
      <c r="D674" s="22" t="s">
        <v>149</v>
      </c>
      <c r="E674" s="22" t="s">
        <v>139</v>
      </c>
      <c r="F674" s="22" t="s">
        <v>106</v>
      </c>
      <c r="G674" s="23" t="n">
        <v>45657</v>
      </c>
      <c r="H674" s="24" t="n">
        <f aca="false">IF(G674="","",ROUND((Config!$C$4-G674)/365.25,2))</f>
        <v>1.75</v>
      </c>
      <c r="I674" s="25" t="str">
        <f aca="false">IF(H674="","",IF(H674&lt;=1,"Tramo 1",IF(H674&lt;=3,"Tramo 2",IF(H674&lt;=5,"Tramo 3","Tramo 4"))))</f>
        <v>Tramo 2</v>
      </c>
      <c r="J674" s="22" t="s">
        <v>166</v>
      </c>
      <c r="K674" s="22"/>
      <c r="L674" s="22" t="s">
        <v>3041</v>
      </c>
      <c r="M674" s="26" t="s">
        <v>3042</v>
      </c>
      <c r="N674" s="22"/>
      <c r="O674" s="22" t="s">
        <v>63</v>
      </c>
      <c r="P674" s="25" t="str">
        <f aca="false">IF(OR(O674="",O674="Sin información"),"",IFERROR(INDEX(Listas!$B$2:$B$9,MATCH(O674,Listas!$A$2:$A$9,0)),""))</f>
        <v/>
      </c>
      <c r="Q674" s="25" t="str">
        <f aca="false">IF(OR(O674="",O674="Sin información"),"",IFERROR(INDEX(Listas!$C$2:$C$9,MATCH(O674,Listas!$A$2:$A$9,0)),""))</f>
        <v/>
      </c>
      <c r="R674" s="22"/>
      <c r="S674" s="22"/>
      <c r="T674" s="25" t="str">
        <f aca="false">IF(S674="","",IFERROR(INDEX(Empleadores!$B$2:$B$601,MATCH(S674,Empleadores!$A$2:$A$601,0)),"No encontrado"))</f>
        <v/>
      </c>
      <c r="U674" s="25" t="str">
        <f aca="false">IF(C674="","",IF(V674="","No",IF(Config!$C$4-V674&lt;=Config!$C$15,"Sí","No")))</f>
        <v>No</v>
      </c>
      <c r="V674" s="23"/>
      <c r="W674" s="22"/>
      <c r="X674" s="22"/>
      <c r="Y674" s="22"/>
      <c r="Z674" s="27"/>
      <c r="AA674" s="22"/>
      <c r="AB674" s="22"/>
    </row>
    <row r="675" customFormat="false" ht="15" hidden="false" customHeight="false" outlineLevel="0" collapsed="false">
      <c r="A675" s="22" t="n">
        <v>674</v>
      </c>
      <c r="B675" s="22" t="s">
        <v>3043</v>
      </c>
      <c r="C675" s="22" t="s">
        <v>3044</v>
      </c>
      <c r="D675" s="22" t="s">
        <v>149</v>
      </c>
      <c r="E675" s="22" t="s">
        <v>139</v>
      </c>
      <c r="F675" s="22" t="s">
        <v>106</v>
      </c>
      <c r="G675" s="23" t="n">
        <v>45657</v>
      </c>
      <c r="H675" s="24" t="n">
        <f aca="false">IF(G675="","",ROUND((Config!$C$4-G675)/365.25,2))</f>
        <v>1.75</v>
      </c>
      <c r="I675" s="25" t="str">
        <f aca="false">IF(H675="","",IF(H675&lt;=1,"Tramo 1",IF(H675&lt;=3,"Tramo 2",IF(H675&lt;=5,"Tramo 3","Tramo 4"))))</f>
        <v>Tramo 2</v>
      </c>
      <c r="J675" s="22" t="s">
        <v>166</v>
      </c>
      <c r="K675" s="22"/>
      <c r="L675" s="22" t="s">
        <v>3045</v>
      </c>
      <c r="M675" s="26" t="s">
        <v>3046</v>
      </c>
      <c r="N675" s="22"/>
      <c r="O675" s="22" t="s">
        <v>63</v>
      </c>
      <c r="P675" s="25" t="str">
        <f aca="false">IF(OR(O675="",O675="Sin información"),"",IFERROR(INDEX(Listas!$B$2:$B$9,MATCH(O675,Listas!$A$2:$A$9,0)),""))</f>
        <v/>
      </c>
      <c r="Q675" s="25" t="str">
        <f aca="false">IF(OR(O675="",O675="Sin información"),"",IFERROR(INDEX(Listas!$C$2:$C$9,MATCH(O675,Listas!$A$2:$A$9,0)),""))</f>
        <v/>
      </c>
      <c r="R675" s="22"/>
      <c r="S675" s="22"/>
      <c r="T675" s="25" t="str">
        <f aca="false">IF(S675="","",IFERROR(INDEX(Empleadores!$B$2:$B$601,MATCH(S675,Empleadores!$A$2:$A$601,0)),"No encontrado"))</f>
        <v/>
      </c>
      <c r="U675" s="25" t="str">
        <f aca="false">IF(C675="","",IF(V675="","No",IF(Config!$C$4-V675&lt;=Config!$C$15,"Sí","No")))</f>
        <v>Sí</v>
      </c>
      <c r="V675" s="23" t="n">
        <v>45960</v>
      </c>
      <c r="W675" s="22"/>
      <c r="X675" s="22"/>
      <c r="Y675" s="22" t="s">
        <v>181</v>
      </c>
      <c r="Z675" s="27"/>
      <c r="AA675" s="22"/>
      <c r="AB675" s="22" t="s">
        <v>183</v>
      </c>
    </row>
    <row r="676" customFormat="false" ht="15" hidden="false" customHeight="false" outlineLevel="0" collapsed="false">
      <c r="A676" s="22" t="n">
        <v>675</v>
      </c>
      <c r="B676" s="22" t="s">
        <v>3047</v>
      </c>
      <c r="C676" s="22" t="s">
        <v>3048</v>
      </c>
      <c r="D676" s="22" t="s">
        <v>138</v>
      </c>
      <c r="E676" s="22" t="s">
        <v>139</v>
      </c>
      <c r="F676" s="22" t="s">
        <v>106</v>
      </c>
      <c r="G676" s="23" t="n">
        <v>45657</v>
      </c>
      <c r="H676" s="24" t="n">
        <f aca="false">IF(G676="","",ROUND((Config!$C$4-G676)/365.25,2))</f>
        <v>1.75</v>
      </c>
      <c r="I676" s="25" t="str">
        <f aca="false">IF(H676="","",IF(H676&lt;=1,"Tramo 1",IF(H676&lt;=3,"Tramo 2",IF(H676&lt;=5,"Tramo 3","Tramo 4"))))</f>
        <v>Tramo 2</v>
      </c>
      <c r="J676" s="22" t="s">
        <v>166</v>
      </c>
      <c r="K676" s="22"/>
      <c r="L676" s="22" t="s">
        <v>3049</v>
      </c>
      <c r="M676" s="26" t="s">
        <v>3050</v>
      </c>
      <c r="N676" s="22"/>
      <c r="O676" s="22" t="s">
        <v>63</v>
      </c>
      <c r="P676" s="25" t="str">
        <f aca="false">IF(OR(O676="",O676="Sin información"),"",IFERROR(INDEX(Listas!$B$2:$B$9,MATCH(O676,Listas!$A$2:$A$9,0)),""))</f>
        <v/>
      </c>
      <c r="Q676" s="25" t="str">
        <f aca="false">IF(OR(O676="",O676="Sin información"),"",IFERROR(INDEX(Listas!$C$2:$C$9,MATCH(O676,Listas!$A$2:$A$9,0)),""))</f>
        <v/>
      </c>
      <c r="R676" s="22"/>
      <c r="S676" s="22"/>
      <c r="T676" s="25" t="str">
        <f aca="false">IF(S676="","",IFERROR(INDEX(Empleadores!$B$2:$B$601,MATCH(S676,Empleadores!$A$2:$A$601,0)),"No encontrado"))</f>
        <v/>
      </c>
      <c r="U676" s="25" t="str">
        <f aca="false">IF(C676="","",IF(V676="","No",IF(Config!$C$4-V676&lt;=Config!$C$15,"Sí","No")))</f>
        <v>No</v>
      </c>
      <c r="V676" s="23"/>
      <c r="W676" s="22"/>
      <c r="X676" s="22"/>
      <c r="Y676" s="22"/>
      <c r="Z676" s="27"/>
      <c r="AA676" s="22"/>
      <c r="AB676" s="22"/>
    </row>
    <row r="677" customFormat="false" ht="15" hidden="false" customHeight="false" outlineLevel="0" collapsed="false">
      <c r="A677" s="22" t="n">
        <v>676</v>
      </c>
      <c r="B677" s="22" t="s">
        <v>3051</v>
      </c>
      <c r="C677" s="22" t="s">
        <v>3052</v>
      </c>
      <c r="D677" s="22" t="s">
        <v>149</v>
      </c>
      <c r="E677" s="22" t="s">
        <v>139</v>
      </c>
      <c r="F677" s="22" t="s">
        <v>106</v>
      </c>
      <c r="G677" s="23" t="n">
        <v>45657</v>
      </c>
      <c r="H677" s="24" t="n">
        <f aca="false">IF(G677="","",ROUND((Config!$C$4-G677)/365.25,2))</f>
        <v>1.75</v>
      </c>
      <c r="I677" s="25" t="str">
        <f aca="false">IF(H677="","",IF(H677&lt;=1,"Tramo 1",IF(H677&lt;=3,"Tramo 2",IF(H677&lt;=5,"Tramo 3","Tramo 4"))))</f>
        <v>Tramo 2</v>
      </c>
      <c r="J677" s="22" t="s">
        <v>166</v>
      </c>
      <c r="K677" s="22"/>
      <c r="L677" s="22" t="s">
        <v>3053</v>
      </c>
      <c r="M677" s="26" t="s">
        <v>3054</v>
      </c>
      <c r="N677" s="22"/>
      <c r="O677" s="22" t="s">
        <v>63</v>
      </c>
      <c r="P677" s="25" t="str">
        <f aca="false">IF(OR(O677="",O677="Sin información"),"",IFERROR(INDEX(Listas!$B$2:$B$9,MATCH(O677,Listas!$A$2:$A$9,0)),""))</f>
        <v/>
      </c>
      <c r="Q677" s="25" t="str">
        <f aca="false">IF(OR(O677="",O677="Sin información"),"",IFERROR(INDEX(Listas!$C$2:$C$9,MATCH(O677,Listas!$A$2:$A$9,0)),""))</f>
        <v/>
      </c>
      <c r="R677" s="22"/>
      <c r="S677" s="22"/>
      <c r="T677" s="25" t="str">
        <f aca="false">IF(S677="","",IFERROR(INDEX(Empleadores!$B$2:$B$601,MATCH(S677,Empleadores!$A$2:$A$601,0)),"No encontrado"))</f>
        <v/>
      </c>
      <c r="U677" s="25" t="str">
        <f aca="false">IF(C677="","",IF(V677="","No",IF(Config!$C$4-V677&lt;=Config!$C$15,"Sí","No")))</f>
        <v>No</v>
      </c>
      <c r="V677" s="23"/>
      <c r="W677" s="22"/>
      <c r="X677" s="22"/>
      <c r="Y677" s="22"/>
      <c r="Z677" s="27"/>
      <c r="AA677" s="22"/>
      <c r="AB677" s="22"/>
    </row>
    <row r="678" customFormat="false" ht="15" hidden="false" customHeight="false" outlineLevel="0" collapsed="false">
      <c r="A678" s="22" t="n">
        <v>677</v>
      </c>
      <c r="B678" s="22" t="s">
        <v>3055</v>
      </c>
      <c r="C678" s="22" t="s">
        <v>3056</v>
      </c>
      <c r="D678" s="22" t="s">
        <v>149</v>
      </c>
      <c r="E678" s="22" t="s">
        <v>139</v>
      </c>
      <c r="F678" s="22" t="s">
        <v>106</v>
      </c>
      <c r="G678" s="23" t="n">
        <v>45657</v>
      </c>
      <c r="H678" s="24" t="n">
        <f aca="false">IF(G678="","",ROUND((Config!$C$4-G678)/365.25,2))</f>
        <v>1.75</v>
      </c>
      <c r="I678" s="25" t="str">
        <f aca="false">IF(H678="","",IF(H678&lt;=1,"Tramo 1",IF(H678&lt;=3,"Tramo 2",IF(H678&lt;=5,"Tramo 3","Tramo 4"))))</f>
        <v>Tramo 2</v>
      </c>
      <c r="J678" s="22" t="s">
        <v>140</v>
      </c>
      <c r="K678" s="22"/>
      <c r="L678" s="22" t="s">
        <v>3057</v>
      </c>
      <c r="M678" s="26" t="s">
        <v>3058</v>
      </c>
      <c r="N678" s="22"/>
      <c r="O678" s="22" t="s">
        <v>63</v>
      </c>
      <c r="P678" s="25" t="str">
        <f aca="false">IF(OR(O678="",O678="Sin información"),"",IFERROR(INDEX(Listas!$B$2:$B$9,MATCH(O678,Listas!$A$2:$A$9,0)),""))</f>
        <v/>
      </c>
      <c r="Q678" s="25" t="str">
        <f aca="false">IF(OR(O678="",O678="Sin información"),"",IFERROR(INDEX(Listas!$C$2:$C$9,MATCH(O678,Listas!$A$2:$A$9,0)),""))</f>
        <v/>
      </c>
      <c r="R678" s="22"/>
      <c r="S678" s="22"/>
      <c r="T678" s="25" t="str">
        <f aca="false">IF(S678="","",IFERROR(INDEX(Empleadores!$B$2:$B$601,MATCH(S678,Empleadores!$A$2:$A$601,0)),"No encontrado"))</f>
        <v/>
      </c>
      <c r="U678" s="25" t="str">
        <f aca="false">IF(C678="","",IF(V678="","No",IF(Config!$C$4-V678&lt;=Config!$C$15,"Sí","No")))</f>
        <v>No</v>
      </c>
      <c r="V678" s="23"/>
      <c r="W678" s="22"/>
      <c r="X678" s="22"/>
      <c r="Y678" s="22"/>
      <c r="Z678" s="27"/>
      <c r="AA678" s="22"/>
      <c r="AB678" s="22"/>
    </row>
    <row r="679" customFormat="false" ht="15" hidden="false" customHeight="false" outlineLevel="0" collapsed="false">
      <c r="A679" s="22" t="n">
        <v>678</v>
      </c>
      <c r="B679" s="22" t="s">
        <v>3059</v>
      </c>
      <c r="C679" s="22" t="s">
        <v>3060</v>
      </c>
      <c r="D679" s="22" t="s">
        <v>149</v>
      </c>
      <c r="E679" s="22" t="s">
        <v>139</v>
      </c>
      <c r="F679" s="22" t="s">
        <v>106</v>
      </c>
      <c r="G679" s="23" t="n">
        <v>45657</v>
      </c>
      <c r="H679" s="24" t="n">
        <f aca="false">IF(G679="","",ROUND((Config!$C$4-G679)/365.25,2))</f>
        <v>1.75</v>
      </c>
      <c r="I679" s="25" t="str">
        <f aca="false">IF(H679="","",IF(H679&lt;=1,"Tramo 1",IF(H679&lt;=3,"Tramo 2",IF(H679&lt;=5,"Tramo 3","Tramo 4"))))</f>
        <v>Tramo 2</v>
      </c>
      <c r="J679" s="22" t="s">
        <v>166</v>
      </c>
      <c r="K679" s="22"/>
      <c r="L679" s="22" t="s">
        <v>3061</v>
      </c>
      <c r="M679" s="26" t="s">
        <v>3062</v>
      </c>
      <c r="N679" s="22" t="s">
        <v>139</v>
      </c>
      <c r="O679" s="22" t="s">
        <v>81</v>
      </c>
      <c r="P679" s="25" t="str">
        <f aca="false">IF(OR(O679="",O679="Sin información"),"",IFERROR(INDEX(Listas!$B$2:$B$9,MATCH(O679,Listas!$A$2:$A$9,0)),""))</f>
        <v>Sí</v>
      </c>
      <c r="Q679" s="25" t="str">
        <f aca="false">IF(OR(O679="",O679="Sin información"),"",IFERROR(INDEX(Listas!$C$2:$C$9,MATCH(O679,Listas!$A$2:$A$9,0)),""))</f>
        <v>Sí</v>
      </c>
      <c r="R679" s="22" t="s">
        <v>2262</v>
      </c>
      <c r="S679" s="22" t="s">
        <v>3063</v>
      </c>
      <c r="T679" s="25" t="str">
        <f aca="false">IF(S679="","",IFERROR(INDEX(Empleadores!$B$2:$B$601,MATCH(S679,Empleadores!$A$2:$A$601,0)),"No encontrado"))</f>
        <v>CAP II Huyro – EsSalud</v>
      </c>
      <c r="U679" s="25" t="str">
        <f aca="false">IF(C679="","",IF(V679="","No",IF(Config!$C$4-V679&lt;=Config!$C$15,"Sí","No")))</f>
        <v>Sí</v>
      </c>
      <c r="V679" s="23" t="n">
        <v>45946</v>
      </c>
      <c r="W679" s="22"/>
      <c r="X679" s="22"/>
      <c r="Y679" s="22"/>
      <c r="Z679" s="27"/>
      <c r="AA679" s="22" t="s">
        <v>3064</v>
      </c>
      <c r="AB679" s="22" t="s">
        <v>2265</v>
      </c>
    </row>
    <row r="680" customFormat="false" ht="15" hidden="false" customHeight="false" outlineLevel="0" collapsed="false">
      <c r="A680" s="22" t="n">
        <v>679</v>
      </c>
      <c r="B680" s="22" t="s">
        <v>3065</v>
      </c>
      <c r="C680" s="22" t="s">
        <v>3066</v>
      </c>
      <c r="D680" s="22" t="s">
        <v>138</v>
      </c>
      <c r="E680" s="22" t="s">
        <v>139</v>
      </c>
      <c r="F680" s="22" t="s">
        <v>106</v>
      </c>
      <c r="G680" s="23" t="n">
        <v>45657</v>
      </c>
      <c r="H680" s="24" t="n">
        <f aca="false">IF(G680="","",ROUND((Config!$C$4-G680)/365.25,2))</f>
        <v>1.75</v>
      </c>
      <c r="I680" s="25" t="str">
        <f aca="false">IF(H680="","",IF(H680&lt;=1,"Tramo 1",IF(H680&lt;=3,"Tramo 2",IF(H680&lt;=5,"Tramo 3","Tramo 4"))))</f>
        <v>Tramo 2</v>
      </c>
      <c r="J680" s="22" t="s">
        <v>166</v>
      </c>
      <c r="K680" s="22"/>
      <c r="L680" s="22" t="s">
        <v>3067</v>
      </c>
      <c r="M680" s="26" t="s">
        <v>3068</v>
      </c>
      <c r="N680" s="22"/>
      <c r="O680" s="22" t="s">
        <v>63</v>
      </c>
      <c r="P680" s="25" t="str">
        <f aca="false">IF(OR(O680="",O680="Sin información"),"",IFERROR(INDEX(Listas!$B$2:$B$9,MATCH(O680,Listas!$A$2:$A$9,0)),""))</f>
        <v/>
      </c>
      <c r="Q680" s="25" t="str">
        <f aca="false">IF(OR(O680="",O680="Sin información"),"",IFERROR(INDEX(Listas!$C$2:$C$9,MATCH(O680,Listas!$A$2:$A$9,0)),""))</f>
        <v/>
      </c>
      <c r="R680" s="22"/>
      <c r="S680" s="22"/>
      <c r="T680" s="25" t="str">
        <f aca="false">IF(S680="","",IFERROR(INDEX(Empleadores!$B$2:$B$601,MATCH(S680,Empleadores!$A$2:$A$601,0)),"No encontrado"))</f>
        <v/>
      </c>
      <c r="U680" s="25" t="str">
        <f aca="false">IF(C680="","",IF(V680="","No",IF(Config!$C$4-V680&lt;=Config!$C$15,"Sí","No")))</f>
        <v>No</v>
      </c>
      <c r="V680" s="23"/>
      <c r="W680" s="22"/>
      <c r="X680" s="22"/>
      <c r="Y680" s="22"/>
      <c r="Z680" s="27"/>
      <c r="AA680" s="22"/>
      <c r="AB680" s="22"/>
    </row>
    <row r="681" customFormat="false" ht="15" hidden="false" customHeight="false" outlineLevel="0" collapsed="false">
      <c r="A681" s="22" t="n">
        <v>680</v>
      </c>
      <c r="B681" s="22" t="s">
        <v>3069</v>
      </c>
      <c r="C681" s="22" t="s">
        <v>3070</v>
      </c>
      <c r="D681" s="22" t="s">
        <v>149</v>
      </c>
      <c r="E681" s="22" t="s">
        <v>139</v>
      </c>
      <c r="F681" s="22" t="s">
        <v>106</v>
      </c>
      <c r="G681" s="23" t="n">
        <v>45657</v>
      </c>
      <c r="H681" s="24" t="n">
        <f aca="false">IF(G681="","",ROUND((Config!$C$4-G681)/365.25,2))</f>
        <v>1.75</v>
      </c>
      <c r="I681" s="25" t="str">
        <f aca="false">IF(H681="","",IF(H681&lt;=1,"Tramo 1",IF(H681&lt;=3,"Tramo 2",IF(H681&lt;=5,"Tramo 3","Tramo 4"))))</f>
        <v>Tramo 2</v>
      </c>
      <c r="J681" s="22" t="s">
        <v>166</v>
      </c>
      <c r="K681" s="22"/>
      <c r="L681" s="22" t="s">
        <v>3071</v>
      </c>
      <c r="M681" s="26" t="s">
        <v>3072</v>
      </c>
      <c r="N681" s="22"/>
      <c r="O681" s="22" t="s">
        <v>63</v>
      </c>
      <c r="P681" s="25" t="str">
        <f aca="false">IF(OR(O681="",O681="Sin información"),"",IFERROR(INDEX(Listas!$B$2:$B$9,MATCH(O681,Listas!$A$2:$A$9,0)),""))</f>
        <v/>
      </c>
      <c r="Q681" s="25" t="str">
        <f aca="false">IF(OR(O681="",O681="Sin información"),"",IFERROR(INDEX(Listas!$C$2:$C$9,MATCH(O681,Listas!$A$2:$A$9,0)),""))</f>
        <v/>
      </c>
      <c r="R681" s="22"/>
      <c r="S681" s="22"/>
      <c r="T681" s="25" t="str">
        <f aca="false">IF(S681="","",IFERROR(INDEX(Empleadores!$B$2:$B$601,MATCH(S681,Empleadores!$A$2:$A$601,0)),"No encontrado"))</f>
        <v/>
      </c>
      <c r="U681" s="25" t="str">
        <f aca="false">IF(C681="","",IF(V681="","No",IF(Config!$C$4-V681&lt;=Config!$C$15,"Sí","No")))</f>
        <v>No</v>
      </c>
      <c r="V681" s="23"/>
      <c r="W681" s="22"/>
      <c r="X681" s="22"/>
      <c r="Y681" s="22"/>
      <c r="Z681" s="27"/>
      <c r="AA681" s="22"/>
      <c r="AB681" s="22"/>
    </row>
    <row r="682" customFormat="false" ht="15" hidden="false" customHeight="false" outlineLevel="0" collapsed="false">
      <c r="A682" s="22" t="n">
        <v>681</v>
      </c>
      <c r="B682" s="22" t="s">
        <v>3073</v>
      </c>
      <c r="C682" s="22" t="s">
        <v>3074</v>
      </c>
      <c r="D682" s="22" t="s">
        <v>138</v>
      </c>
      <c r="E682" s="22" t="s">
        <v>139</v>
      </c>
      <c r="F682" s="22" t="s">
        <v>106</v>
      </c>
      <c r="G682" s="23" t="n">
        <v>45657</v>
      </c>
      <c r="H682" s="24" t="n">
        <f aca="false">IF(G682="","",ROUND((Config!$C$4-G682)/365.25,2))</f>
        <v>1.75</v>
      </c>
      <c r="I682" s="25" t="str">
        <f aca="false">IF(H682="","",IF(H682&lt;=1,"Tramo 1",IF(H682&lt;=3,"Tramo 2",IF(H682&lt;=5,"Tramo 3","Tramo 4"))))</f>
        <v>Tramo 2</v>
      </c>
      <c r="J682" s="22" t="s">
        <v>166</v>
      </c>
      <c r="K682" s="22"/>
      <c r="L682" s="22" t="s">
        <v>3075</v>
      </c>
      <c r="M682" s="26" t="s">
        <v>3076</v>
      </c>
      <c r="N682" s="22"/>
      <c r="O682" s="22" t="s">
        <v>63</v>
      </c>
      <c r="P682" s="25" t="str">
        <f aca="false">IF(OR(O682="",O682="Sin información"),"",IFERROR(INDEX(Listas!$B$2:$B$9,MATCH(O682,Listas!$A$2:$A$9,0)),""))</f>
        <v/>
      </c>
      <c r="Q682" s="25" t="str">
        <f aca="false">IF(OR(O682="",O682="Sin información"),"",IFERROR(INDEX(Listas!$C$2:$C$9,MATCH(O682,Listas!$A$2:$A$9,0)),""))</f>
        <v/>
      </c>
      <c r="R682" s="22"/>
      <c r="S682" s="22"/>
      <c r="T682" s="25" t="str">
        <f aca="false">IF(S682="","",IFERROR(INDEX(Empleadores!$B$2:$B$601,MATCH(S682,Empleadores!$A$2:$A$601,0)),"No encontrado"))</f>
        <v/>
      </c>
      <c r="U682" s="25" t="str">
        <f aca="false">IF(C682="","",IF(V682="","No",IF(Config!$C$4-V682&lt;=Config!$C$15,"Sí","No")))</f>
        <v>No</v>
      </c>
      <c r="V682" s="23"/>
      <c r="W682" s="22"/>
      <c r="X682" s="22"/>
      <c r="Y682" s="22"/>
      <c r="Z682" s="27"/>
      <c r="AA682" s="22"/>
      <c r="AB682" s="22"/>
    </row>
    <row r="683" customFormat="false" ht="15" hidden="false" customHeight="false" outlineLevel="0" collapsed="false">
      <c r="A683" s="22" t="n">
        <v>682</v>
      </c>
      <c r="B683" s="22" t="s">
        <v>3077</v>
      </c>
      <c r="C683" s="22" t="s">
        <v>3078</v>
      </c>
      <c r="D683" s="22" t="s">
        <v>138</v>
      </c>
      <c r="E683" s="22" t="s">
        <v>139</v>
      </c>
      <c r="F683" s="22" t="s">
        <v>106</v>
      </c>
      <c r="G683" s="23" t="n">
        <v>45657</v>
      </c>
      <c r="H683" s="24" t="n">
        <f aca="false">IF(G683="","",ROUND((Config!$C$4-G683)/365.25,2))</f>
        <v>1.75</v>
      </c>
      <c r="I683" s="25" t="str">
        <f aca="false">IF(H683="","",IF(H683&lt;=1,"Tramo 1",IF(H683&lt;=3,"Tramo 2",IF(H683&lt;=5,"Tramo 3","Tramo 4"))))</f>
        <v>Tramo 2</v>
      </c>
      <c r="J683" s="22" t="s">
        <v>166</v>
      </c>
      <c r="K683" s="22"/>
      <c r="L683" s="22" t="s">
        <v>3079</v>
      </c>
      <c r="M683" s="26" t="s">
        <v>3080</v>
      </c>
      <c r="N683" s="22"/>
      <c r="O683" s="22" t="s">
        <v>63</v>
      </c>
      <c r="P683" s="25" t="str">
        <f aca="false">IF(OR(O683="",O683="Sin información"),"",IFERROR(INDEX(Listas!$B$2:$B$9,MATCH(O683,Listas!$A$2:$A$9,0)),""))</f>
        <v/>
      </c>
      <c r="Q683" s="25" t="str">
        <f aca="false">IF(OR(O683="",O683="Sin información"),"",IFERROR(INDEX(Listas!$C$2:$C$9,MATCH(O683,Listas!$A$2:$A$9,0)),""))</f>
        <v/>
      </c>
      <c r="R683" s="22"/>
      <c r="S683" s="22"/>
      <c r="T683" s="25" t="str">
        <f aca="false">IF(S683="","",IFERROR(INDEX(Empleadores!$B$2:$B$601,MATCH(S683,Empleadores!$A$2:$A$601,0)),"No encontrado"))</f>
        <v/>
      </c>
      <c r="U683" s="25" t="str">
        <f aca="false">IF(C683="","",IF(V683="","No",IF(Config!$C$4-V683&lt;=Config!$C$15,"Sí","No")))</f>
        <v>No</v>
      </c>
      <c r="V683" s="23"/>
      <c r="W683" s="22"/>
      <c r="X683" s="22"/>
      <c r="Y683" s="22"/>
      <c r="Z683" s="27"/>
      <c r="AA683" s="22" t="s">
        <v>3081</v>
      </c>
      <c r="AB683" s="22" t="s">
        <v>1691</v>
      </c>
    </row>
    <row r="684" customFormat="false" ht="15" hidden="false" customHeight="false" outlineLevel="0" collapsed="false">
      <c r="A684" s="22" t="n">
        <v>683</v>
      </c>
      <c r="B684" s="22" t="s">
        <v>3082</v>
      </c>
      <c r="C684" s="22" t="s">
        <v>3083</v>
      </c>
      <c r="D684" s="22" t="s">
        <v>138</v>
      </c>
      <c r="E684" s="22" t="s">
        <v>139</v>
      </c>
      <c r="F684" s="22" t="s">
        <v>106</v>
      </c>
      <c r="G684" s="23" t="n">
        <v>45657</v>
      </c>
      <c r="H684" s="24" t="n">
        <f aca="false">IF(G684="","",ROUND((Config!$C$4-G684)/365.25,2))</f>
        <v>1.75</v>
      </c>
      <c r="I684" s="25" t="str">
        <f aca="false">IF(H684="","",IF(H684&lt;=1,"Tramo 1",IF(H684&lt;=3,"Tramo 2",IF(H684&lt;=5,"Tramo 3","Tramo 4"))))</f>
        <v>Tramo 2</v>
      </c>
      <c r="J684" s="22" t="s">
        <v>166</v>
      </c>
      <c r="K684" s="22"/>
      <c r="L684" s="22" t="s">
        <v>3084</v>
      </c>
      <c r="M684" s="26" t="s">
        <v>3085</v>
      </c>
      <c r="N684" s="22"/>
      <c r="O684" s="22" t="s">
        <v>63</v>
      </c>
      <c r="P684" s="25" t="str">
        <f aca="false">IF(OR(O684="",O684="Sin información"),"",IFERROR(INDEX(Listas!$B$2:$B$9,MATCH(O684,Listas!$A$2:$A$9,0)),""))</f>
        <v/>
      </c>
      <c r="Q684" s="25" t="str">
        <f aca="false">IF(OR(O684="",O684="Sin información"),"",IFERROR(INDEX(Listas!$C$2:$C$9,MATCH(O684,Listas!$A$2:$A$9,0)),""))</f>
        <v/>
      </c>
      <c r="R684" s="22"/>
      <c r="S684" s="22"/>
      <c r="T684" s="25" t="str">
        <f aca="false">IF(S684="","",IFERROR(INDEX(Empleadores!$B$2:$B$601,MATCH(S684,Empleadores!$A$2:$A$601,0)),"No encontrado"))</f>
        <v/>
      </c>
      <c r="U684" s="25" t="str">
        <f aca="false">IF(C684="","",IF(V684="","No",IF(Config!$C$4-V684&lt;=Config!$C$15,"Sí","No")))</f>
        <v>No</v>
      </c>
      <c r="V684" s="23"/>
      <c r="W684" s="22"/>
      <c r="X684" s="22"/>
      <c r="Y684" s="22"/>
      <c r="Z684" s="27"/>
      <c r="AA684" s="22" t="s">
        <v>3086</v>
      </c>
      <c r="AB684" s="22" t="s">
        <v>1691</v>
      </c>
    </row>
    <row r="685" customFormat="false" ht="15" hidden="false" customHeight="false" outlineLevel="0" collapsed="false">
      <c r="A685" s="22" t="n">
        <v>684</v>
      </c>
      <c r="B685" s="22" t="s">
        <v>3087</v>
      </c>
      <c r="C685" s="22" t="s">
        <v>3088</v>
      </c>
      <c r="D685" s="22" t="s">
        <v>149</v>
      </c>
      <c r="E685" s="22" t="s">
        <v>139</v>
      </c>
      <c r="F685" s="22" t="s">
        <v>106</v>
      </c>
      <c r="G685" s="23" t="n">
        <v>45657</v>
      </c>
      <c r="H685" s="24" t="n">
        <f aca="false">IF(G685="","",ROUND((Config!$C$4-G685)/365.25,2))</f>
        <v>1.75</v>
      </c>
      <c r="I685" s="25" t="str">
        <f aca="false">IF(H685="","",IF(H685&lt;=1,"Tramo 1",IF(H685&lt;=3,"Tramo 2",IF(H685&lt;=5,"Tramo 3","Tramo 4"))))</f>
        <v>Tramo 2</v>
      </c>
      <c r="J685" s="22" t="s">
        <v>140</v>
      </c>
      <c r="K685" s="22"/>
      <c r="L685" s="22" t="s">
        <v>3089</v>
      </c>
      <c r="M685" s="26" t="s">
        <v>3090</v>
      </c>
      <c r="N685" s="22"/>
      <c r="O685" s="22" t="s">
        <v>63</v>
      </c>
      <c r="P685" s="25" t="str">
        <f aca="false">IF(OR(O685="",O685="Sin información"),"",IFERROR(INDEX(Listas!$B$2:$B$9,MATCH(O685,Listas!$A$2:$A$9,0)),""))</f>
        <v/>
      </c>
      <c r="Q685" s="25" t="str">
        <f aca="false">IF(OR(O685="",O685="Sin información"),"",IFERROR(INDEX(Listas!$C$2:$C$9,MATCH(O685,Listas!$A$2:$A$9,0)),""))</f>
        <v/>
      </c>
      <c r="R685" s="22"/>
      <c r="S685" s="22"/>
      <c r="T685" s="25" t="str">
        <f aca="false">IF(S685="","",IFERROR(INDEX(Empleadores!$B$2:$B$601,MATCH(S685,Empleadores!$A$2:$A$601,0)),"No encontrado"))</f>
        <v/>
      </c>
      <c r="U685" s="25" t="str">
        <f aca="false">IF(C685="","",IF(V685="","No",IF(Config!$C$4-V685&lt;=Config!$C$15,"Sí","No")))</f>
        <v>No</v>
      </c>
      <c r="V685" s="23"/>
      <c r="W685" s="22"/>
      <c r="X685" s="22"/>
      <c r="Y685" s="22"/>
      <c r="Z685" s="27"/>
      <c r="AA685" s="22"/>
      <c r="AB685" s="22"/>
    </row>
    <row r="686" customFormat="false" ht="15" hidden="false" customHeight="false" outlineLevel="0" collapsed="false">
      <c r="A686" s="22" t="n">
        <v>685</v>
      </c>
      <c r="B686" s="22" t="s">
        <v>3091</v>
      </c>
      <c r="C686" s="22" t="s">
        <v>3092</v>
      </c>
      <c r="D686" s="22" t="s">
        <v>149</v>
      </c>
      <c r="E686" s="22" t="s">
        <v>139</v>
      </c>
      <c r="F686" s="22" t="s">
        <v>106</v>
      </c>
      <c r="G686" s="23" t="n">
        <v>45657</v>
      </c>
      <c r="H686" s="24" t="n">
        <f aca="false">IF(G686="","",ROUND((Config!$C$4-G686)/365.25,2))</f>
        <v>1.75</v>
      </c>
      <c r="I686" s="25" t="str">
        <f aca="false">IF(H686="","",IF(H686&lt;=1,"Tramo 1",IF(H686&lt;=3,"Tramo 2",IF(H686&lt;=5,"Tramo 3","Tramo 4"))))</f>
        <v>Tramo 2</v>
      </c>
      <c r="J686" s="22" t="s">
        <v>166</v>
      </c>
      <c r="K686" s="22"/>
      <c r="L686" s="22" t="s">
        <v>3093</v>
      </c>
      <c r="M686" s="26" t="s">
        <v>3094</v>
      </c>
      <c r="N686" s="22"/>
      <c r="O686" s="22" t="s">
        <v>63</v>
      </c>
      <c r="P686" s="25" t="str">
        <f aca="false">IF(OR(O686="",O686="Sin información"),"",IFERROR(INDEX(Listas!$B$2:$B$9,MATCH(O686,Listas!$A$2:$A$9,0)),""))</f>
        <v/>
      </c>
      <c r="Q686" s="25" t="str">
        <f aca="false">IF(OR(O686="",O686="Sin información"),"",IFERROR(INDEX(Listas!$C$2:$C$9,MATCH(O686,Listas!$A$2:$A$9,0)),""))</f>
        <v/>
      </c>
      <c r="R686" s="22"/>
      <c r="S686" s="22"/>
      <c r="T686" s="25" t="str">
        <f aca="false">IF(S686="","",IFERROR(INDEX(Empleadores!$B$2:$B$601,MATCH(S686,Empleadores!$A$2:$A$601,0)),"No encontrado"))</f>
        <v/>
      </c>
      <c r="U686" s="25" t="str">
        <f aca="false">IF(C686="","",IF(V686="","No",IF(Config!$C$4-V686&lt;=Config!$C$15,"Sí","No")))</f>
        <v>No</v>
      </c>
      <c r="V686" s="23"/>
      <c r="W686" s="22"/>
      <c r="X686" s="22"/>
      <c r="Y686" s="22"/>
      <c r="Z686" s="27"/>
      <c r="AA686" s="22"/>
      <c r="AB686" s="22"/>
    </row>
    <row r="687" customFormat="false" ht="15" hidden="false" customHeight="false" outlineLevel="0" collapsed="false">
      <c r="A687" s="22" t="n">
        <v>686</v>
      </c>
      <c r="B687" s="22" t="s">
        <v>3095</v>
      </c>
      <c r="C687" s="22" t="s">
        <v>3096</v>
      </c>
      <c r="D687" s="22" t="s">
        <v>138</v>
      </c>
      <c r="E687" s="22" t="s">
        <v>139</v>
      </c>
      <c r="F687" s="22" t="s">
        <v>106</v>
      </c>
      <c r="G687" s="23" t="n">
        <v>45657</v>
      </c>
      <c r="H687" s="24" t="n">
        <f aca="false">IF(G687="","",ROUND((Config!$C$4-G687)/365.25,2))</f>
        <v>1.75</v>
      </c>
      <c r="I687" s="25" t="str">
        <f aca="false">IF(H687="","",IF(H687&lt;=1,"Tramo 1",IF(H687&lt;=3,"Tramo 2",IF(H687&lt;=5,"Tramo 3","Tramo 4"))))</f>
        <v>Tramo 2</v>
      </c>
      <c r="J687" s="22" t="s">
        <v>166</v>
      </c>
      <c r="K687" s="22"/>
      <c r="L687" s="22" t="s">
        <v>3097</v>
      </c>
      <c r="M687" s="26" t="s">
        <v>3098</v>
      </c>
      <c r="N687" s="22"/>
      <c r="O687" s="22" t="s">
        <v>63</v>
      </c>
      <c r="P687" s="25" t="str">
        <f aca="false">IF(OR(O687="",O687="Sin información"),"",IFERROR(INDEX(Listas!$B$2:$B$9,MATCH(O687,Listas!$A$2:$A$9,0)),""))</f>
        <v/>
      </c>
      <c r="Q687" s="25" t="str">
        <f aca="false">IF(OR(O687="",O687="Sin información"),"",IFERROR(INDEX(Listas!$C$2:$C$9,MATCH(O687,Listas!$A$2:$A$9,0)),""))</f>
        <v/>
      </c>
      <c r="R687" s="22"/>
      <c r="S687" s="22"/>
      <c r="T687" s="25" t="str">
        <f aca="false">IF(S687="","",IFERROR(INDEX(Empleadores!$B$2:$B$601,MATCH(S687,Empleadores!$A$2:$A$601,0)),"No encontrado"))</f>
        <v/>
      </c>
      <c r="U687" s="25" t="str">
        <f aca="false">IF(C687="","",IF(V687="","No",IF(Config!$C$4-V687&lt;=Config!$C$15,"Sí","No")))</f>
        <v>No</v>
      </c>
      <c r="V687" s="23"/>
      <c r="W687" s="22"/>
      <c r="X687" s="22"/>
      <c r="Y687" s="22"/>
      <c r="Z687" s="27"/>
      <c r="AA687" s="22" t="s">
        <v>3099</v>
      </c>
      <c r="AB687" s="22" t="s">
        <v>1691</v>
      </c>
    </row>
    <row r="688" customFormat="false" ht="15" hidden="false" customHeight="false" outlineLevel="0" collapsed="false">
      <c r="A688" s="22" t="n">
        <v>687</v>
      </c>
      <c r="B688" s="22" t="s">
        <v>3100</v>
      </c>
      <c r="C688" s="22" t="s">
        <v>3101</v>
      </c>
      <c r="D688" s="22" t="s">
        <v>138</v>
      </c>
      <c r="E688" s="22" t="s">
        <v>139</v>
      </c>
      <c r="F688" s="22" t="s">
        <v>106</v>
      </c>
      <c r="G688" s="23" t="n">
        <v>45657</v>
      </c>
      <c r="H688" s="24" t="n">
        <f aca="false">IF(G688="","",ROUND((Config!$C$4-G688)/365.25,2))</f>
        <v>1.75</v>
      </c>
      <c r="I688" s="25" t="str">
        <f aca="false">IF(H688="","",IF(H688&lt;=1,"Tramo 1",IF(H688&lt;=3,"Tramo 2",IF(H688&lt;=5,"Tramo 3","Tramo 4"))))</f>
        <v>Tramo 2</v>
      </c>
      <c r="J688" s="22" t="s">
        <v>166</v>
      </c>
      <c r="K688" s="22"/>
      <c r="L688" s="22" t="s">
        <v>3102</v>
      </c>
      <c r="M688" s="26" t="s">
        <v>3103</v>
      </c>
      <c r="N688" s="22"/>
      <c r="O688" s="22" t="s">
        <v>63</v>
      </c>
      <c r="P688" s="25" t="str">
        <f aca="false">IF(OR(O688="",O688="Sin información"),"",IFERROR(INDEX(Listas!$B$2:$B$9,MATCH(O688,Listas!$A$2:$A$9,0)),""))</f>
        <v/>
      </c>
      <c r="Q688" s="25" t="str">
        <f aca="false">IF(OR(O688="",O688="Sin información"),"",IFERROR(INDEX(Listas!$C$2:$C$9,MATCH(O688,Listas!$A$2:$A$9,0)),""))</f>
        <v/>
      </c>
      <c r="R688" s="22"/>
      <c r="S688" s="22"/>
      <c r="T688" s="25" t="str">
        <f aca="false">IF(S688="","",IFERROR(INDEX(Empleadores!$B$2:$B$601,MATCH(S688,Empleadores!$A$2:$A$601,0)),"No encontrado"))</f>
        <v/>
      </c>
      <c r="U688" s="25" t="str">
        <f aca="false">IF(C688="","",IF(V688="","No",IF(Config!$C$4-V688&lt;=Config!$C$15,"Sí","No")))</f>
        <v>No</v>
      </c>
      <c r="V688" s="23"/>
      <c r="W688" s="22"/>
      <c r="X688" s="22"/>
      <c r="Y688" s="22"/>
      <c r="Z688" s="27"/>
      <c r="AA688" s="22" t="s">
        <v>3104</v>
      </c>
      <c r="AB688" s="22" t="s">
        <v>1691</v>
      </c>
    </row>
    <row r="689" customFormat="false" ht="15" hidden="false" customHeight="false" outlineLevel="0" collapsed="false">
      <c r="A689" s="22" t="n">
        <v>688</v>
      </c>
      <c r="B689" s="22" t="s">
        <v>3105</v>
      </c>
      <c r="C689" s="22" t="s">
        <v>3106</v>
      </c>
      <c r="D689" s="22" t="s">
        <v>138</v>
      </c>
      <c r="E689" s="22" t="s">
        <v>139</v>
      </c>
      <c r="F689" s="22" t="s">
        <v>106</v>
      </c>
      <c r="G689" s="23" t="n">
        <v>45657</v>
      </c>
      <c r="H689" s="24" t="n">
        <f aca="false">IF(G689="","",ROUND((Config!$C$4-G689)/365.25,2))</f>
        <v>1.75</v>
      </c>
      <c r="I689" s="25" t="str">
        <f aca="false">IF(H689="","",IF(H689&lt;=1,"Tramo 1",IF(H689&lt;=3,"Tramo 2",IF(H689&lt;=5,"Tramo 3","Tramo 4"))))</f>
        <v>Tramo 2</v>
      </c>
      <c r="J689" s="22" t="s">
        <v>166</v>
      </c>
      <c r="K689" s="22"/>
      <c r="L689" s="22" t="s">
        <v>3107</v>
      </c>
      <c r="M689" s="26" t="s">
        <v>3108</v>
      </c>
      <c r="N689" s="22"/>
      <c r="O689" s="22" t="s">
        <v>63</v>
      </c>
      <c r="P689" s="25" t="str">
        <f aca="false">IF(OR(O689="",O689="Sin información"),"",IFERROR(INDEX(Listas!$B$2:$B$9,MATCH(O689,Listas!$A$2:$A$9,0)),""))</f>
        <v/>
      </c>
      <c r="Q689" s="25" t="str">
        <f aca="false">IF(OR(O689="",O689="Sin información"),"",IFERROR(INDEX(Listas!$C$2:$C$9,MATCH(O689,Listas!$A$2:$A$9,0)),""))</f>
        <v/>
      </c>
      <c r="R689" s="22"/>
      <c r="S689" s="22"/>
      <c r="T689" s="25" t="str">
        <f aca="false">IF(S689="","",IFERROR(INDEX(Empleadores!$B$2:$B$601,MATCH(S689,Empleadores!$A$2:$A$601,0)),"No encontrado"))</f>
        <v/>
      </c>
      <c r="U689" s="25" t="str">
        <f aca="false">IF(C689="","",IF(V689="","No",IF(Config!$C$4-V689&lt;=Config!$C$15,"Sí","No")))</f>
        <v>No</v>
      </c>
      <c r="V689" s="23"/>
      <c r="W689" s="22"/>
      <c r="X689" s="22"/>
      <c r="Y689" s="22"/>
      <c r="Z689" s="27"/>
      <c r="AA689" s="22"/>
      <c r="AB689" s="22"/>
    </row>
    <row r="690" customFormat="false" ht="15" hidden="false" customHeight="false" outlineLevel="0" collapsed="false">
      <c r="A690" s="22" t="n">
        <v>689</v>
      </c>
      <c r="B690" s="22" t="s">
        <v>3109</v>
      </c>
      <c r="C690" s="22" t="s">
        <v>3110</v>
      </c>
      <c r="D690" s="22" t="s">
        <v>149</v>
      </c>
      <c r="E690" s="22" t="s">
        <v>139</v>
      </c>
      <c r="F690" s="22" t="s">
        <v>106</v>
      </c>
      <c r="G690" s="23" t="n">
        <v>45657</v>
      </c>
      <c r="H690" s="24" t="n">
        <f aca="false">IF(G690="","",ROUND((Config!$C$4-G690)/365.25,2))</f>
        <v>1.75</v>
      </c>
      <c r="I690" s="25" t="str">
        <f aca="false">IF(H690="","",IF(H690&lt;=1,"Tramo 1",IF(H690&lt;=3,"Tramo 2",IF(H690&lt;=5,"Tramo 3","Tramo 4"))))</f>
        <v>Tramo 2</v>
      </c>
      <c r="J690" s="22" t="s">
        <v>166</v>
      </c>
      <c r="K690" s="22"/>
      <c r="L690" s="22" t="s">
        <v>3111</v>
      </c>
      <c r="M690" s="26" t="s">
        <v>3112</v>
      </c>
      <c r="N690" s="22"/>
      <c r="O690" s="22" t="s">
        <v>63</v>
      </c>
      <c r="P690" s="25" t="str">
        <f aca="false">IF(OR(O690="",O690="Sin información"),"",IFERROR(INDEX(Listas!$B$2:$B$9,MATCH(O690,Listas!$A$2:$A$9,0)),""))</f>
        <v/>
      </c>
      <c r="Q690" s="25" t="str">
        <f aca="false">IF(OR(O690="",O690="Sin información"),"",IFERROR(INDEX(Listas!$C$2:$C$9,MATCH(O690,Listas!$A$2:$A$9,0)),""))</f>
        <v/>
      </c>
      <c r="R690" s="22"/>
      <c r="S690" s="22"/>
      <c r="T690" s="25" t="str">
        <f aca="false">IF(S690="","",IFERROR(INDEX(Empleadores!$B$2:$B$601,MATCH(S690,Empleadores!$A$2:$A$601,0)),"No encontrado"))</f>
        <v/>
      </c>
      <c r="U690" s="25" t="str">
        <f aca="false">IF(C690="","",IF(V690="","No",IF(Config!$C$4-V690&lt;=Config!$C$15,"Sí","No")))</f>
        <v>No</v>
      </c>
      <c r="V690" s="23"/>
      <c r="W690" s="22"/>
      <c r="X690" s="22"/>
      <c r="Y690" s="22"/>
      <c r="Z690" s="27"/>
      <c r="AA690" s="22" t="s">
        <v>3113</v>
      </c>
      <c r="AB690" s="22" t="s">
        <v>1691</v>
      </c>
    </row>
    <row r="691" customFormat="false" ht="15" hidden="false" customHeight="false" outlineLevel="0" collapsed="false">
      <c r="A691" s="22" t="n">
        <v>690</v>
      </c>
      <c r="B691" s="22" t="s">
        <v>3114</v>
      </c>
      <c r="C691" s="22" t="s">
        <v>3115</v>
      </c>
      <c r="D691" s="22" t="s">
        <v>149</v>
      </c>
      <c r="E691" s="22" t="s">
        <v>139</v>
      </c>
      <c r="F691" s="22" t="s">
        <v>106</v>
      </c>
      <c r="G691" s="23" t="n">
        <v>45657</v>
      </c>
      <c r="H691" s="24" t="n">
        <f aca="false">IF(G691="","",ROUND((Config!$C$4-G691)/365.25,2))</f>
        <v>1.75</v>
      </c>
      <c r="I691" s="25" t="str">
        <f aca="false">IF(H691="","",IF(H691&lt;=1,"Tramo 1",IF(H691&lt;=3,"Tramo 2",IF(H691&lt;=5,"Tramo 3","Tramo 4"))))</f>
        <v>Tramo 2</v>
      </c>
      <c r="J691" s="22" t="s">
        <v>166</v>
      </c>
      <c r="K691" s="22"/>
      <c r="L691" s="22" t="s">
        <v>3116</v>
      </c>
      <c r="M691" s="26" t="s">
        <v>3117</v>
      </c>
      <c r="N691" s="22"/>
      <c r="O691" s="22" t="s">
        <v>63</v>
      </c>
      <c r="P691" s="25" t="str">
        <f aca="false">IF(OR(O691="",O691="Sin información"),"",IFERROR(INDEX(Listas!$B$2:$B$9,MATCH(O691,Listas!$A$2:$A$9,0)),""))</f>
        <v/>
      </c>
      <c r="Q691" s="25" t="str">
        <f aca="false">IF(OR(O691="",O691="Sin información"),"",IFERROR(INDEX(Listas!$C$2:$C$9,MATCH(O691,Listas!$A$2:$A$9,0)),""))</f>
        <v/>
      </c>
      <c r="R691" s="22"/>
      <c r="S691" s="22"/>
      <c r="T691" s="25" t="str">
        <f aca="false">IF(S691="","",IFERROR(INDEX(Empleadores!$B$2:$B$601,MATCH(S691,Empleadores!$A$2:$A$601,0)),"No encontrado"))</f>
        <v/>
      </c>
      <c r="U691" s="25" t="str">
        <f aca="false">IF(C691="","",IF(V691="","No",IF(Config!$C$4-V691&lt;=Config!$C$15,"Sí","No")))</f>
        <v>No</v>
      </c>
      <c r="V691" s="23"/>
      <c r="W691" s="22"/>
      <c r="X691" s="22"/>
      <c r="Y691" s="22"/>
      <c r="Z691" s="27"/>
      <c r="AA691" s="22"/>
      <c r="AB691" s="22"/>
    </row>
    <row r="692" customFormat="false" ht="15" hidden="false" customHeight="false" outlineLevel="0" collapsed="false">
      <c r="A692" s="22" t="n">
        <v>691</v>
      </c>
      <c r="B692" s="22" t="s">
        <v>3118</v>
      </c>
      <c r="C692" s="22" t="s">
        <v>3119</v>
      </c>
      <c r="D692" s="22" t="s">
        <v>149</v>
      </c>
      <c r="E692" s="22" t="s">
        <v>139</v>
      </c>
      <c r="F692" s="22" t="s">
        <v>106</v>
      </c>
      <c r="G692" s="23" t="n">
        <v>45657</v>
      </c>
      <c r="H692" s="24" t="n">
        <f aca="false">IF(G692="","",ROUND((Config!$C$4-G692)/365.25,2))</f>
        <v>1.75</v>
      </c>
      <c r="I692" s="25" t="str">
        <f aca="false">IF(H692="","",IF(H692&lt;=1,"Tramo 1",IF(H692&lt;=3,"Tramo 2",IF(H692&lt;=5,"Tramo 3","Tramo 4"))))</f>
        <v>Tramo 2</v>
      </c>
      <c r="J692" s="22" t="s">
        <v>166</v>
      </c>
      <c r="K692" s="22"/>
      <c r="L692" s="22" t="s">
        <v>3120</v>
      </c>
      <c r="M692" s="26" t="s">
        <v>3121</v>
      </c>
      <c r="N692" s="22"/>
      <c r="O692" s="22" t="s">
        <v>63</v>
      </c>
      <c r="P692" s="25" t="str">
        <f aca="false">IF(OR(O692="",O692="Sin información"),"",IFERROR(INDEX(Listas!$B$2:$B$9,MATCH(O692,Listas!$A$2:$A$9,0)),""))</f>
        <v/>
      </c>
      <c r="Q692" s="25" t="str">
        <f aca="false">IF(OR(O692="",O692="Sin información"),"",IFERROR(INDEX(Listas!$C$2:$C$9,MATCH(O692,Listas!$A$2:$A$9,0)),""))</f>
        <v/>
      </c>
      <c r="R692" s="22"/>
      <c r="S692" s="22"/>
      <c r="T692" s="25" t="str">
        <f aca="false">IF(S692="","",IFERROR(INDEX(Empleadores!$B$2:$B$601,MATCH(S692,Empleadores!$A$2:$A$601,0)),"No encontrado"))</f>
        <v/>
      </c>
      <c r="U692" s="25" t="str">
        <f aca="false">IF(C692="","",IF(V692="","No",IF(Config!$C$4-V692&lt;=Config!$C$15,"Sí","No")))</f>
        <v>No</v>
      </c>
      <c r="V692" s="23"/>
      <c r="W692" s="22"/>
      <c r="X692" s="22"/>
      <c r="Y692" s="22"/>
      <c r="Z692" s="27"/>
      <c r="AA692" s="22"/>
      <c r="AB692" s="22"/>
    </row>
    <row r="693" customFormat="false" ht="15" hidden="false" customHeight="false" outlineLevel="0" collapsed="false">
      <c r="A693" s="22" t="n">
        <v>692</v>
      </c>
      <c r="B693" s="22" t="s">
        <v>3122</v>
      </c>
      <c r="C693" s="22" t="s">
        <v>3123</v>
      </c>
      <c r="D693" s="22" t="s">
        <v>138</v>
      </c>
      <c r="E693" s="22" t="s">
        <v>139</v>
      </c>
      <c r="F693" s="22" t="s">
        <v>106</v>
      </c>
      <c r="G693" s="23" t="n">
        <v>45657</v>
      </c>
      <c r="H693" s="24" t="n">
        <f aca="false">IF(G693="","",ROUND((Config!$C$4-G693)/365.25,2))</f>
        <v>1.75</v>
      </c>
      <c r="I693" s="25" t="str">
        <f aca="false">IF(H693="","",IF(H693&lt;=1,"Tramo 1",IF(H693&lt;=3,"Tramo 2",IF(H693&lt;=5,"Tramo 3","Tramo 4"))))</f>
        <v>Tramo 2</v>
      </c>
      <c r="J693" s="22" t="s">
        <v>140</v>
      </c>
      <c r="K693" s="22"/>
      <c r="L693" s="22" t="s">
        <v>3124</v>
      </c>
      <c r="M693" s="26" t="s">
        <v>3125</v>
      </c>
      <c r="N693" s="22"/>
      <c r="O693" s="22" t="s">
        <v>63</v>
      </c>
      <c r="P693" s="25" t="str">
        <f aca="false">IF(OR(O693="",O693="Sin información"),"",IFERROR(INDEX(Listas!$B$2:$B$9,MATCH(O693,Listas!$A$2:$A$9,0)),""))</f>
        <v/>
      </c>
      <c r="Q693" s="25" t="str">
        <f aca="false">IF(OR(O693="",O693="Sin información"),"",IFERROR(INDEX(Listas!$C$2:$C$9,MATCH(O693,Listas!$A$2:$A$9,0)),""))</f>
        <v/>
      </c>
      <c r="R693" s="22"/>
      <c r="S693" s="22"/>
      <c r="T693" s="25" t="str">
        <f aca="false">IF(S693="","",IFERROR(INDEX(Empleadores!$B$2:$B$601,MATCH(S693,Empleadores!$A$2:$A$601,0)),"No encontrado"))</f>
        <v/>
      </c>
      <c r="U693" s="25" t="str">
        <f aca="false">IF(C693="","",IF(V693="","No",IF(Config!$C$4-V693&lt;=Config!$C$15,"Sí","No")))</f>
        <v>Sí</v>
      </c>
      <c r="V693" s="23" t="n">
        <v>45967</v>
      </c>
      <c r="W693" s="22"/>
      <c r="X693" s="22"/>
      <c r="Y693" s="22" t="s">
        <v>181</v>
      </c>
      <c r="Z693" s="27" t="s">
        <v>3126</v>
      </c>
      <c r="AA693" s="22"/>
      <c r="AB693" s="22" t="s">
        <v>183</v>
      </c>
    </row>
    <row r="694" customFormat="false" ht="15" hidden="false" customHeight="false" outlineLevel="0" collapsed="false">
      <c r="A694" s="22" t="n">
        <v>693</v>
      </c>
      <c r="B694" s="22" t="s">
        <v>3127</v>
      </c>
      <c r="C694" s="22" t="s">
        <v>3128</v>
      </c>
      <c r="D694" s="22" t="s">
        <v>138</v>
      </c>
      <c r="E694" s="22" t="s">
        <v>139</v>
      </c>
      <c r="F694" s="22" t="s">
        <v>106</v>
      </c>
      <c r="G694" s="23" t="n">
        <v>45657</v>
      </c>
      <c r="H694" s="24" t="n">
        <f aca="false">IF(G694="","",ROUND((Config!$C$4-G694)/365.25,2))</f>
        <v>1.75</v>
      </c>
      <c r="I694" s="25" t="str">
        <f aca="false">IF(H694="","",IF(H694&lt;=1,"Tramo 1",IF(H694&lt;=3,"Tramo 2",IF(H694&lt;=5,"Tramo 3","Tramo 4"))))</f>
        <v>Tramo 2</v>
      </c>
      <c r="J694" s="22" t="s">
        <v>166</v>
      </c>
      <c r="K694" s="22"/>
      <c r="L694" s="22" t="s">
        <v>3129</v>
      </c>
      <c r="M694" s="26" t="s">
        <v>3130</v>
      </c>
      <c r="N694" s="22"/>
      <c r="O694" s="22" t="s">
        <v>63</v>
      </c>
      <c r="P694" s="25" t="str">
        <f aca="false">IF(OR(O694="",O694="Sin información"),"",IFERROR(INDEX(Listas!$B$2:$B$9,MATCH(O694,Listas!$A$2:$A$9,0)),""))</f>
        <v/>
      </c>
      <c r="Q694" s="25" t="str">
        <f aca="false">IF(OR(O694="",O694="Sin información"),"",IFERROR(INDEX(Listas!$C$2:$C$9,MATCH(O694,Listas!$A$2:$A$9,0)),""))</f>
        <v/>
      </c>
      <c r="R694" s="22"/>
      <c r="S694" s="22"/>
      <c r="T694" s="25" t="str">
        <f aca="false">IF(S694="","",IFERROR(INDEX(Empleadores!$B$2:$B$601,MATCH(S694,Empleadores!$A$2:$A$601,0)),"No encontrado"))</f>
        <v/>
      </c>
      <c r="U694" s="25" t="str">
        <f aca="false">IF(C694="","",IF(V694="","No",IF(Config!$C$4-V694&lt;=Config!$C$15,"Sí","No")))</f>
        <v>No</v>
      </c>
      <c r="V694" s="23"/>
      <c r="W694" s="22"/>
      <c r="X694" s="22"/>
      <c r="Y694" s="22"/>
      <c r="Z694" s="27"/>
      <c r="AA694" s="22"/>
      <c r="AB694" s="22"/>
    </row>
    <row r="695" customFormat="false" ht="15" hidden="false" customHeight="false" outlineLevel="0" collapsed="false">
      <c r="A695" s="22" t="n">
        <v>694</v>
      </c>
      <c r="B695" s="22" t="s">
        <v>3131</v>
      </c>
      <c r="C695" s="22" t="s">
        <v>3132</v>
      </c>
      <c r="D695" s="22" t="s">
        <v>138</v>
      </c>
      <c r="E695" s="22" t="s">
        <v>139</v>
      </c>
      <c r="F695" s="22" t="s">
        <v>106</v>
      </c>
      <c r="G695" s="23" t="n">
        <v>45657</v>
      </c>
      <c r="H695" s="24" t="n">
        <f aca="false">IF(G695="","",ROUND((Config!$C$4-G695)/365.25,2))</f>
        <v>1.75</v>
      </c>
      <c r="I695" s="25" t="str">
        <f aca="false">IF(H695="","",IF(H695&lt;=1,"Tramo 1",IF(H695&lt;=3,"Tramo 2",IF(H695&lt;=5,"Tramo 3","Tramo 4"))))</f>
        <v>Tramo 2</v>
      </c>
      <c r="J695" s="22" t="s">
        <v>166</v>
      </c>
      <c r="K695" s="22"/>
      <c r="L695" s="22" t="s">
        <v>3133</v>
      </c>
      <c r="M695" s="26" t="s">
        <v>3134</v>
      </c>
      <c r="N695" s="22"/>
      <c r="O695" s="22" t="s">
        <v>63</v>
      </c>
      <c r="P695" s="25" t="str">
        <f aca="false">IF(OR(O695="",O695="Sin información"),"",IFERROR(INDEX(Listas!$B$2:$B$9,MATCH(O695,Listas!$A$2:$A$9,0)),""))</f>
        <v/>
      </c>
      <c r="Q695" s="25" t="str">
        <f aca="false">IF(OR(O695="",O695="Sin información"),"",IFERROR(INDEX(Listas!$C$2:$C$9,MATCH(O695,Listas!$A$2:$A$9,0)),""))</f>
        <v/>
      </c>
      <c r="R695" s="22"/>
      <c r="S695" s="22"/>
      <c r="T695" s="25" t="str">
        <f aca="false">IF(S695="","",IFERROR(INDEX(Empleadores!$B$2:$B$601,MATCH(S695,Empleadores!$A$2:$A$601,0)),"No encontrado"))</f>
        <v/>
      </c>
      <c r="U695" s="25" t="str">
        <f aca="false">IF(C695="","",IF(V695="","No",IF(Config!$C$4-V695&lt;=Config!$C$15,"Sí","No")))</f>
        <v>No</v>
      </c>
      <c r="V695" s="23"/>
      <c r="W695" s="22"/>
      <c r="X695" s="22"/>
      <c r="Y695" s="22"/>
      <c r="Z695" s="27"/>
      <c r="AA695" s="22"/>
      <c r="AB695" s="22"/>
    </row>
    <row r="696" customFormat="false" ht="15" hidden="false" customHeight="false" outlineLevel="0" collapsed="false">
      <c r="A696" s="22" t="n">
        <v>695</v>
      </c>
      <c r="B696" s="22" t="s">
        <v>3135</v>
      </c>
      <c r="C696" s="22" t="s">
        <v>3136</v>
      </c>
      <c r="D696" s="22" t="s">
        <v>149</v>
      </c>
      <c r="E696" s="22" t="s">
        <v>139</v>
      </c>
      <c r="F696" s="22" t="s">
        <v>106</v>
      </c>
      <c r="G696" s="23" t="n">
        <v>45657</v>
      </c>
      <c r="H696" s="24" t="n">
        <f aca="false">IF(G696="","",ROUND((Config!$C$4-G696)/365.25,2))</f>
        <v>1.75</v>
      </c>
      <c r="I696" s="25" t="str">
        <f aca="false">IF(H696="","",IF(H696&lt;=1,"Tramo 1",IF(H696&lt;=3,"Tramo 2",IF(H696&lt;=5,"Tramo 3","Tramo 4"))))</f>
        <v>Tramo 2</v>
      </c>
      <c r="J696" s="22" t="s">
        <v>140</v>
      </c>
      <c r="K696" s="22"/>
      <c r="L696" s="22" t="s">
        <v>3137</v>
      </c>
      <c r="M696" s="26" t="s">
        <v>3138</v>
      </c>
      <c r="N696" s="22"/>
      <c r="O696" s="22" t="s">
        <v>63</v>
      </c>
      <c r="P696" s="25" t="str">
        <f aca="false">IF(OR(O696="",O696="Sin información"),"",IFERROR(INDEX(Listas!$B$2:$B$9,MATCH(O696,Listas!$A$2:$A$9,0)),""))</f>
        <v/>
      </c>
      <c r="Q696" s="25" t="str">
        <f aca="false">IF(OR(O696="",O696="Sin información"),"",IFERROR(INDEX(Listas!$C$2:$C$9,MATCH(O696,Listas!$A$2:$A$9,0)),""))</f>
        <v/>
      </c>
      <c r="R696" s="22"/>
      <c r="S696" s="22"/>
      <c r="T696" s="25" t="str">
        <f aca="false">IF(S696="","",IFERROR(INDEX(Empleadores!$B$2:$B$601,MATCH(S696,Empleadores!$A$2:$A$601,0)),"No encontrado"))</f>
        <v/>
      </c>
      <c r="U696" s="25" t="str">
        <f aca="false">IF(C696="","",IF(V696="","No",IF(Config!$C$4-V696&lt;=Config!$C$15,"Sí","No")))</f>
        <v>No</v>
      </c>
      <c r="V696" s="23"/>
      <c r="W696" s="22"/>
      <c r="X696" s="22"/>
      <c r="Y696" s="22"/>
      <c r="Z696" s="27"/>
      <c r="AA696" s="22"/>
      <c r="AB696" s="22"/>
    </row>
    <row r="697" customFormat="false" ht="15" hidden="false" customHeight="false" outlineLevel="0" collapsed="false">
      <c r="A697" s="22" t="n">
        <v>696</v>
      </c>
      <c r="B697" s="22" t="s">
        <v>3139</v>
      </c>
      <c r="C697" s="22" t="s">
        <v>3140</v>
      </c>
      <c r="D697" s="22" t="s">
        <v>138</v>
      </c>
      <c r="E697" s="22" t="s">
        <v>139</v>
      </c>
      <c r="F697" s="22" t="s">
        <v>106</v>
      </c>
      <c r="G697" s="23" t="n">
        <v>45657</v>
      </c>
      <c r="H697" s="24" t="n">
        <f aca="false">IF(G697="","",ROUND((Config!$C$4-G697)/365.25,2))</f>
        <v>1.75</v>
      </c>
      <c r="I697" s="25" t="str">
        <f aca="false">IF(H697="","",IF(H697&lt;=1,"Tramo 1",IF(H697&lt;=3,"Tramo 2",IF(H697&lt;=5,"Tramo 3","Tramo 4"))))</f>
        <v>Tramo 2</v>
      </c>
      <c r="J697" s="22" t="s">
        <v>166</v>
      </c>
      <c r="K697" s="22"/>
      <c r="L697" s="22" t="s">
        <v>3141</v>
      </c>
      <c r="M697" s="26" t="s">
        <v>3142</v>
      </c>
      <c r="N697" s="22"/>
      <c r="O697" s="22" t="s">
        <v>90</v>
      </c>
      <c r="P697" s="25" t="str">
        <f aca="false">IF(OR(O697="",O697="Sin información"),"",IFERROR(INDEX(Listas!$B$2:$B$9,MATCH(O697,Listas!$A$2:$A$9,0)),""))</f>
        <v>No</v>
      </c>
      <c r="Q697" s="25" t="str">
        <f aca="false">IF(OR(O697="",O697="Sin información"),"",IFERROR(INDEX(Listas!$C$2:$C$9,MATCH(O697,Listas!$A$2:$A$9,0)),""))</f>
        <v>No</v>
      </c>
      <c r="R697" s="22"/>
      <c r="S697" s="22"/>
      <c r="T697" s="25" t="str">
        <f aca="false">IF(S697="","",IFERROR(INDEX(Empleadores!$B$2:$B$601,MATCH(S697,Empleadores!$A$2:$A$601,0)),"No encontrado"))</f>
        <v/>
      </c>
      <c r="U697" s="25" t="str">
        <f aca="false">IF(C697="","",IF(V697="","No",IF(Config!$C$4-V697&lt;=Config!$C$15,"Sí","No")))</f>
        <v>Sí</v>
      </c>
      <c r="V697" s="23" t="n">
        <v>45974</v>
      </c>
      <c r="W697" s="22"/>
      <c r="X697" s="22"/>
      <c r="Y697" s="22" t="s">
        <v>181</v>
      </c>
      <c r="Z697" s="27" t="s">
        <v>2650</v>
      </c>
      <c r="AA697" s="22"/>
      <c r="AB697" s="22" t="s">
        <v>183</v>
      </c>
    </row>
    <row r="698" customFormat="false" ht="15" hidden="false" customHeight="false" outlineLevel="0" collapsed="false">
      <c r="A698" s="22" t="n">
        <v>697</v>
      </c>
      <c r="B698" s="22" t="s">
        <v>3143</v>
      </c>
      <c r="C698" s="22" t="s">
        <v>3144</v>
      </c>
      <c r="D698" s="22" t="s">
        <v>149</v>
      </c>
      <c r="E698" s="22" t="s">
        <v>139</v>
      </c>
      <c r="F698" s="22" t="s">
        <v>106</v>
      </c>
      <c r="G698" s="23" t="n">
        <v>45657</v>
      </c>
      <c r="H698" s="24" t="n">
        <f aca="false">IF(G698="","",ROUND((Config!$C$4-G698)/365.25,2))</f>
        <v>1.75</v>
      </c>
      <c r="I698" s="25" t="str">
        <f aca="false">IF(H698="","",IF(H698&lt;=1,"Tramo 1",IF(H698&lt;=3,"Tramo 2",IF(H698&lt;=5,"Tramo 3","Tramo 4"))))</f>
        <v>Tramo 2</v>
      </c>
      <c r="J698" s="22" t="s">
        <v>166</v>
      </c>
      <c r="K698" s="22"/>
      <c r="L698" s="22" t="s">
        <v>3145</v>
      </c>
      <c r="M698" s="26" t="s">
        <v>3146</v>
      </c>
      <c r="N698" s="22"/>
      <c r="O698" s="22" t="s">
        <v>63</v>
      </c>
      <c r="P698" s="25" t="str">
        <f aca="false">IF(OR(O698="",O698="Sin información"),"",IFERROR(INDEX(Listas!$B$2:$B$9,MATCH(O698,Listas!$A$2:$A$9,0)),""))</f>
        <v/>
      </c>
      <c r="Q698" s="25" t="str">
        <f aca="false">IF(OR(O698="",O698="Sin información"),"",IFERROR(INDEX(Listas!$C$2:$C$9,MATCH(O698,Listas!$A$2:$A$9,0)),""))</f>
        <v/>
      </c>
      <c r="R698" s="22"/>
      <c r="S698" s="22"/>
      <c r="T698" s="25" t="str">
        <f aca="false">IF(S698="","",IFERROR(INDEX(Empleadores!$B$2:$B$601,MATCH(S698,Empleadores!$A$2:$A$601,0)),"No encontrado"))</f>
        <v/>
      </c>
      <c r="U698" s="25" t="str">
        <f aca="false">IF(C698="","",IF(V698="","No",IF(Config!$C$4-V698&lt;=Config!$C$15,"Sí","No")))</f>
        <v>No</v>
      </c>
      <c r="V698" s="23"/>
      <c r="W698" s="22"/>
      <c r="X698" s="22"/>
      <c r="Y698" s="22"/>
      <c r="Z698" s="27"/>
      <c r="AA698" s="22"/>
      <c r="AB698" s="22"/>
    </row>
    <row r="699" customFormat="false" ht="15" hidden="false" customHeight="false" outlineLevel="0" collapsed="false">
      <c r="A699" s="22" t="n">
        <v>698</v>
      </c>
      <c r="B699" s="22" t="s">
        <v>3147</v>
      </c>
      <c r="C699" s="22" t="s">
        <v>3148</v>
      </c>
      <c r="D699" s="22" t="s">
        <v>149</v>
      </c>
      <c r="E699" s="22" t="s">
        <v>139</v>
      </c>
      <c r="F699" s="22" t="s">
        <v>106</v>
      </c>
      <c r="G699" s="23" t="n">
        <v>45657</v>
      </c>
      <c r="H699" s="24" t="n">
        <f aca="false">IF(G699="","",ROUND((Config!$C$4-G699)/365.25,2))</f>
        <v>1.75</v>
      </c>
      <c r="I699" s="25" t="str">
        <f aca="false">IF(H699="","",IF(H699&lt;=1,"Tramo 1",IF(H699&lt;=3,"Tramo 2",IF(H699&lt;=5,"Tramo 3","Tramo 4"))))</f>
        <v>Tramo 2</v>
      </c>
      <c r="J699" s="22" t="s">
        <v>166</v>
      </c>
      <c r="K699" s="22"/>
      <c r="L699" s="22" t="s">
        <v>3149</v>
      </c>
      <c r="M699" s="26" t="s">
        <v>3150</v>
      </c>
      <c r="N699" s="22"/>
      <c r="O699" s="22" t="s">
        <v>63</v>
      </c>
      <c r="P699" s="25" t="str">
        <f aca="false">IF(OR(O699="",O699="Sin información"),"",IFERROR(INDEX(Listas!$B$2:$B$9,MATCH(O699,Listas!$A$2:$A$9,0)),""))</f>
        <v/>
      </c>
      <c r="Q699" s="25" t="str">
        <f aca="false">IF(OR(O699="",O699="Sin información"),"",IFERROR(INDEX(Listas!$C$2:$C$9,MATCH(O699,Listas!$A$2:$A$9,0)),""))</f>
        <v/>
      </c>
      <c r="R699" s="22"/>
      <c r="S699" s="22"/>
      <c r="T699" s="25" t="str">
        <f aca="false">IF(S699="","",IFERROR(INDEX(Empleadores!$B$2:$B$601,MATCH(S699,Empleadores!$A$2:$A$601,0)),"No encontrado"))</f>
        <v/>
      </c>
      <c r="U699" s="25" t="str">
        <f aca="false">IF(C699="","",IF(V699="","No",IF(Config!$C$4-V699&lt;=Config!$C$15,"Sí","No")))</f>
        <v>No</v>
      </c>
      <c r="V699" s="23"/>
      <c r="W699" s="22"/>
      <c r="X699" s="22"/>
      <c r="Y699" s="22"/>
      <c r="Z699" s="27"/>
      <c r="AA699" s="22"/>
      <c r="AB699" s="22"/>
    </row>
    <row r="700" customFormat="false" ht="15" hidden="false" customHeight="false" outlineLevel="0" collapsed="false">
      <c r="A700" s="22" t="n">
        <v>699</v>
      </c>
      <c r="B700" s="22" t="s">
        <v>3151</v>
      </c>
      <c r="C700" s="22" t="s">
        <v>3152</v>
      </c>
      <c r="D700" s="22" t="s">
        <v>149</v>
      </c>
      <c r="E700" s="22" t="s">
        <v>139</v>
      </c>
      <c r="F700" s="22" t="s">
        <v>106</v>
      </c>
      <c r="G700" s="23" t="n">
        <v>45657</v>
      </c>
      <c r="H700" s="24" t="n">
        <f aca="false">IF(G700="","",ROUND((Config!$C$4-G700)/365.25,2))</f>
        <v>1.75</v>
      </c>
      <c r="I700" s="25" t="str">
        <f aca="false">IF(H700="","",IF(H700&lt;=1,"Tramo 1",IF(H700&lt;=3,"Tramo 2",IF(H700&lt;=5,"Tramo 3","Tramo 4"))))</f>
        <v>Tramo 2</v>
      </c>
      <c r="J700" s="22" t="s">
        <v>166</v>
      </c>
      <c r="K700" s="22"/>
      <c r="L700" s="22" t="s">
        <v>3153</v>
      </c>
      <c r="M700" s="26" t="s">
        <v>3154</v>
      </c>
      <c r="N700" s="22"/>
      <c r="O700" s="22" t="s">
        <v>63</v>
      </c>
      <c r="P700" s="25" t="str">
        <f aca="false">IF(OR(O700="",O700="Sin información"),"",IFERROR(INDEX(Listas!$B$2:$B$9,MATCH(O700,Listas!$A$2:$A$9,0)),""))</f>
        <v/>
      </c>
      <c r="Q700" s="25" t="str">
        <f aca="false">IF(OR(O700="",O700="Sin información"),"",IFERROR(INDEX(Listas!$C$2:$C$9,MATCH(O700,Listas!$A$2:$A$9,0)),""))</f>
        <v/>
      </c>
      <c r="R700" s="22"/>
      <c r="S700" s="22"/>
      <c r="T700" s="25" t="str">
        <f aca="false">IF(S700="","",IFERROR(INDEX(Empleadores!$B$2:$B$601,MATCH(S700,Empleadores!$A$2:$A$601,0)),"No encontrado"))</f>
        <v/>
      </c>
      <c r="U700" s="25" t="str">
        <f aca="false">IF(C700="","",IF(V700="","No",IF(Config!$C$4-V700&lt;=Config!$C$15,"Sí","No")))</f>
        <v>No</v>
      </c>
      <c r="V700" s="23"/>
      <c r="W700" s="22"/>
      <c r="X700" s="22"/>
      <c r="Y700" s="22"/>
      <c r="Z700" s="27"/>
      <c r="AA700" s="22"/>
      <c r="AB700" s="22"/>
    </row>
    <row r="701" customFormat="false" ht="15" hidden="false" customHeight="false" outlineLevel="0" collapsed="false">
      <c r="A701" s="22" t="n">
        <v>700</v>
      </c>
      <c r="B701" s="22" t="s">
        <v>3155</v>
      </c>
      <c r="C701" s="22" t="s">
        <v>3156</v>
      </c>
      <c r="D701" s="22" t="s">
        <v>138</v>
      </c>
      <c r="E701" s="22" t="s">
        <v>139</v>
      </c>
      <c r="F701" s="22" t="s">
        <v>106</v>
      </c>
      <c r="G701" s="23" t="n">
        <v>45657</v>
      </c>
      <c r="H701" s="24" t="n">
        <f aca="false">IF(G701="","",ROUND((Config!$C$4-G701)/365.25,2))</f>
        <v>1.75</v>
      </c>
      <c r="I701" s="25" t="str">
        <f aca="false">IF(H701="","",IF(H701&lt;=1,"Tramo 1",IF(H701&lt;=3,"Tramo 2",IF(H701&lt;=5,"Tramo 3","Tramo 4"))))</f>
        <v>Tramo 2</v>
      </c>
      <c r="J701" s="22" t="s">
        <v>140</v>
      </c>
      <c r="K701" s="22"/>
      <c r="L701" s="22" t="s">
        <v>3157</v>
      </c>
      <c r="M701" s="26" t="s">
        <v>3158</v>
      </c>
      <c r="N701" s="22"/>
      <c r="O701" s="22" t="s">
        <v>63</v>
      </c>
      <c r="P701" s="25" t="str">
        <f aca="false">IF(OR(O701="",O701="Sin información"),"",IFERROR(INDEX(Listas!$B$2:$B$9,MATCH(O701,Listas!$A$2:$A$9,0)),""))</f>
        <v/>
      </c>
      <c r="Q701" s="25" t="str">
        <f aca="false">IF(OR(O701="",O701="Sin información"),"",IFERROR(INDEX(Listas!$C$2:$C$9,MATCH(O701,Listas!$A$2:$A$9,0)),""))</f>
        <v/>
      </c>
      <c r="R701" s="22"/>
      <c r="S701" s="22"/>
      <c r="T701" s="25" t="str">
        <f aca="false">IF(S701="","",IFERROR(INDEX(Empleadores!$B$2:$B$601,MATCH(S701,Empleadores!$A$2:$A$601,0)),"No encontrado"))</f>
        <v/>
      </c>
      <c r="U701" s="25" t="str">
        <f aca="false">IF(C701="","",IF(V701="","No",IF(Config!$C$4-V701&lt;=Config!$C$15,"Sí","No")))</f>
        <v>No</v>
      </c>
      <c r="V701" s="23"/>
      <c r="W701" s="22"/>
      <c r="X701" s="22"/>
      <c r="Y701" s="22"/>
      <c r="Z701" s="27"/>
      <c r="AA701" s="22"/>
      <c r="AB701" s="22"/>
    </row>
    <row r="702" customFormat="false" ht="15" hidden="false" customHeight="false" outlineLevel="0" collapsed="false">
      <c r="A702" s="22" t="n">
        <v>701</v>
      </c>
      <c r="B702" s="22" t="s">
        <v>3159</v>
      </c>
      <c r="C702" s="22" t="s">
        <v>3160</v>
      </c>
      <c r="D702" s="22" t="s">
        <v>149</v>
      </c>
      <c r="E702" s="22" t="s">
        <v>139</v>
      </c>
      <c r="F702" s="22" t="s">
        <v>106</v>
      </c>
      <c r="G702" s="23" t="n">
        <v>45657</v>
      </c>
      <c r="H702" s="24" t="n">
        <f aca="false">IF(G702="","",ROUND((Config!$C$4-G702)/365.25,2))</f>
        <v>1.75</v>
      </c>
      <c r="I702" s="25" t="str">
        <f aca="false">IF(H702="","",IF(H702&lt;=1,"Tramo 1",IF(H702&lt;=3,"Tramo 2",IF(H702&lt;=5,"Tramo 3","Tramo 4"))))</f>
        <v>Tramo 2</v>
      </c>
      <c r="J702" s="22" t="s">
        <v>140</v>
      </c>
      <c r="K702" s="22"/>
      <c r="L702" s="22" t="s">
        <v>3161</v>
      </c>
      <c r="M702" s="26" t="s">
        <v>3162</v>
      </c>
      <c r="N702" s="22"/>
      <c r="O702" s="22" t="s">
        <v>63</v>
      </c>
      <c r="P702" s="25" t="str">
        <f aca="false">IF(OR(O702="",O702="Sin información"),"",IFERROR(INDEX(Listas!$B$2:$B$9,MATCH(O702,Listas!$A$2:$A$9,0)),""))</f>
        <v/>
      </c>
      <c r="Q702" s="25" t="str">
        <f aca="false">IF(OR(O702="",O702="Sin información"),"",IFERROR(INDEX(Listas!$C$2:$C$9,MATCH(O702,Listas!$A$2:$A$9,0)),""))</f>
        <v/>
      </c>
      <c r="R702" s="22"/>
      <c r="S702" s="22"/>
      <c r="T702" s="25" t="str">
        <f aca="false">IF(S702="","",IFERROR(INDEX(Empleadores!$B$2:$B$601,MATCH(S702,Empleadores!$A$2:$A$601,0)),"No encontrado"))</f>
        <v/>
      </c>
      <c r="U702" s="25" t="str">
        <f aca="false">IF(C702="","",IF(V702="","No",IF(Config!$C$4-V702&lt;=Config!$C$15,"Sí","No")))</f>
        <v>No</v>
      </c>
      <c r="V702" s="23"/>
      <c r="W702" s="22"/>
      <c r="X702" s="22"/>
      <c r="Y702" s="22"/>
      <c r="Z702" s="27"/>
      <c r="AA702" s="22"/>
      <c r="AB702" s="22"/>
    </row>
    <row r="703" customFormat="false" ht="15" hidden="false" customHeight="false" outlineLevel="0" collapsed="false">
      <c r="A703" s="22" t="n">
        <v>702</v>
      </c>
      <c r="B703" s="22" t="s">
        <v>3163</v>
      </c>
      <c r="C703" s="22" t="s">
        <v>3164</v>
      </c>
      <c r="D703" s="22" t="s">
        <v>138</v>
      </c>
      <c r="E703" s="22" t="s">
        <v>139</v>
      </c>
      <c r="F703" s="22" t="s">
        <v>106</v>
      </c>
      <c r="G703" s="23" t="n">
        <v>45657</v>
      </c>
      <c r="H703" s="24" t="n">
        <f aca="false">IF(G703="","",ROUND((Config!$C$4-G703)/365.25,2))</f>
        <v>1.75</v>
      </c>
      <c r="I703" s="25" t="str">
        <f aca="false">IF(H703="","",IF(H703&lt;=1,"Tramo 1",IF(H703&lt;=3,"Tramo 2",IF(H703&lt;=5,"Tramo 3","Tramo 4"))))</f>
        <v>Tramo 2</v>
      </c>
      <c r="J703" s="22" t="s">
        <v>166</v>
      </c>
      <c r="K703" s="22"/>
      <c r="L703" s="22" t="s">
        <v>3165</v>
      </c>
      <c r="M703" s="26" t="s">
        <v>3166</v>
      </c>
      <c r="N703" s="22"/>
      <c r="O703" s="22" t="s">
        <v>63</v>
      </c>
      <c r="P703" s="25" t="str">
        <f aca="false">IF(OR(O703="",O703="Sin información"),"",IFERROR(INDEX(Listas!$B$2:$B$9,MATCH(O703,Listas!$A$2:$A$9,0)),""))</f>
        <v/>
      </c>
      <c r="Q703" s="25" t="str">
        <f aca="false">IF(OR(O703="",O703="Sin información"),"",IFERROR(INDEX(Listas!$C$2:$C$9,MATCH(O703,Listas!$A$2:$A$9,0)),""))</f>
        <v/>
      </c>
      <c r="R703" s="22"/>
      <c r="S703" s="22"/>
      <c r="T703" s="25" t="str">
        <f aca="false">IF(S703="","",IFERROR(INDEX(Empleadores!$B$2:$B$601,MATCH(S703,Empleadores!$A$2:$A$601,0)),"No encontrado"))</f>
        <v/>
      </c>
      <c r="U703" s="25" t="str">
        <f aca="false">IF(C703="","",IF(V703="","No",IF(Config!$C$4-V703&lt;=Config!$C$15,"Sí","No")))</f>
        <v>No</v>
      </c>
      <c r="V703" s="23"/>
      <c r="W703" s="22"/>
      <c r="X703" s="22"/>
      <c r="Y703" s="22"/>
      <c r="Z703" s="27"/>
      <c r="AA703" s="22" t="s">
        <v>3167</v>
      </c>
      <c r="AB703" s="22" t="s">
        <v>1691</v>
      </c>
    </row>
    <row r="704" customFormat="false" ht="15" hidden="false" customHeight="false" outlineLevel="0" collapsed="false">
      <c r="A704" s="22" t="n">
        <v>703</v>
      </c>
      <c r="B704" s="22" t="s">
        <v>3168</v>
      </c>
      <c r="C704" s="22" t="s">
        <v>3169</v>
      </c>
      <c r="D704" s="22" t="s">
        <v>138</v>
      </c>
      <c r="E704" s="22" t="s">
        <v>139</v>
      </c>
      <c r="F704" s="22" t="s">
        <v>106</v>
      </c>
      <c r="G704" s="23" t="n">
        <v>45657</v>
      </c>
      <c r="H704" s="24" t="n">
        <f aca="false">IF(G704="","",ROUND((Config!$C$4-G704)/365.25,2))</f>
        <v>1.75</v>
      </c>
      <c r="I704" s="25" t="str">
        <f aca="false">IF(H704="","",IF(H704&lt;=1,"Tramo 1",IF(H704&lt;=3,"Tramo 2",IF(H704&lt;=5,"Tramo 3","Tramo 4"))))</f>
        <v>Tramo 2</v>
      </c>
      <c r="J704" s="22" t="s">
        <v>166</v>
      </c>
      <c r="K704" s="22"/>
      <c r="L704" s="22" t="s">
        <v>3170</v>
      </c>
      <c r="M704" s="26" t="s">
        <v>3171</v>
      </c>
      <c r="N704" s="22"/>
      <c r="O704" s="22" t="s">
        <v>63</v>
      </c>
      <c r="P704" s="25" t="str">
        <f aca="false">IF(OR(O704="",O704="Sin información"),"",IFERROR(INDEX(Listas!$B$2:$B$9,MATCH(O704,Listas!$A$2:$A$9,0)),""))</f>
        <v/>
      </c>
      <c r="Q704" s="25" t="str">
        <f aca="false">IF(OR(O704="",O704="Sin información"),"",IFERROR(INDEX(Listas!$C$2:$C$9,MATCH(O704,Listas!$A$2:$A$9,0)),""))</f>
        <v/>
      </c>
      <c r="R704" s="22"/>
      <c r="S704" s="22"/>
      <c r="T704" s="25" t="str">
        <f aca="false">IF(S704="","",IFERROR(INDEX(Empleadores!$B$2:$B$601,MATCH(S704,Empleadores!$A$2:$A$601,0)),"No encontrado"))</f>
        <v/>
      </c>
      <c r="U704" s="25" t="str">
        <f aca="false">IF(C704="","",IF(V704="","No",IF(Config!$C$4-V704&lt;=Config!$C$15,"Sí","No")))</f>
        <v>No</v>
      </c>
      <c r="V704" s="23"/>
      <c r="W704" s="22"/>
      <c r="X704" s="22"/>
      <c r="Y704" s="22"/>
      <c r="Z704" s="27"/>
      <c r="AA704" s="22" t="s">
        <v>3172</v>
      </c>
      <c r="AB704" s="22" t="s">
        <v>1691</v>
      </c>
    </row>
    <row r="705" customFormat="false" ht="15" hidden="false" customHeight="false" outlineLevel="0" collapsed="false">
      <c r="A705" s="22" t="n">
        <v>704</v>
      </c>
      <c r="B705" s="22" t="s">
        <v>3173</v>
      </c>
      <c r="C705" s="22" t="s">
        <v>3174</v>
      </c>
      <c r="D705" s="22" t="s">
        <v>138</v>
      </c>
      <c r="E705" s="22" t="s">
        <v>139</v>
      </c>
      <c r="F705" s="22" t="s">
        <v>106</v>
      </c>
      <c r="G705" s="23" t="n">
        <v>45657</v>
      </c>
      <c r="H705" s="24" t="n">
        <f aca="false">IF(G705="","",ROUND((Config!$C$4-G705)/365.25,2))</f>
        <v>1.75</v>
      </c>
      <c r="I705" s="25" t="str">
        <f aca="false">IF(H705="","",IF(H705&lt;=1,"Tramo 1",IF(H705&lt;=3,"Tramo 2",IF(H705&lt;=5,"Tramo 3","Tramo 4"))))</f>
        <v>Tramo 2</v>
      </c>
      <c r="J705" s="22" t="s">
        <v>166</v>
      </c>
      <c r="K705" s="22"/>
      <c r="L705" s="22" t="s">
        <v>3175</v>
      </c>
      <c r="M705" s="26" t="s">
        <v>3176</v>
      </c>
      <c r="N705" s="22"/>
      <c r="O705" s="22" t="s">
        <v>63</v>
      </c>
      <c r="P705" s="25" t="str">
        <f aca="false">IF(OR(O705="",O705="Sin información"),"",IFERROR(INDEX(Listas!$B$2:$B$9,MATCH(O705,Listas!$A$2:$A$9,0)),""))</f>
        <v/>
      </c>
      <c r="Q705" s="25" t="str">
        <f aca="false">IF(OR(O705="",O705="Sin información"),"",IFERROR(INDEX(Listas!$C$2:$C$9,MATCH(O705,Listas!$A$2:$A$9,0)),""))</f>
        <v/>
      </c>
      <c r="R705" s="22"/>
      <c r="S705" s="22"/>
      <c r="T705" s="25" t="str">
        <f aca="false">IF(S705="","",IFERROR(INDEX(Empleadores!$B$2:$B$601,MATCH(S705,Empleadores!$A$2:$A$601,0)),"No encontrado"))</f>
        <v/>
      </c>
      <c r="U705" s="25" t="str">
        <f aca="false">IF(C705="","",IF(V705="","No",IF(Config!$C$4-V705&lt;=Config!$C$15,"Sí","No")))</f>
        <v>No</v>
      </c>
      <c r="V705" s="23"/>
      <c r="W705" s="22"/>
      <c r="X705" s="22"/>
      <c r="Y705" s="22"/>
      <c r="Z705" s="27"/>
      <c r="AA705" s="22"/>
      <c r="AB705" s="22"/>
    </row>
    <row r="706" customFormat="false" ht="15" hidden="false" customHeight="false" outlineLevel="0" collapsed="false">
      <c r="A706" s="22" t="n">
        <v>705</v>
      </c>
      <c r="B706" s="22" t="s">
        <v>3177</v>
      </c>
      <c r="C706" s="22" t="s">
        <v>3178</v>
      </c>
      <c r="D706" s="22" t="s">
        <v>138</v>
      </c>
      <c r="E706" s="22" t="s">
        <v>139</v>
      </c>
      <c r="F706" s="22" t="s">
        <v>106</v>
      </c>
      <c r="G706" s="23" t="n">
        <v>45657</v>
      </c>
      <c r="H706" s="24" t="n">
        <f aca="false">IF(G706="","",ROUND((Config!$C$4-G706)/365.25,2))</f>
        <v>1.75</v>
      </c>
      <c r="I706" s="25" t="str">
        <f aca="false">IF(H706="","",IF(H706&lt;=1,"Tramo 1",IF(H706&lt;=3,"Tramo 2",IF(H706&lt;=5,"Tramo 3","Tramo 4"))))</f>
        <v>Tramo 2</v>
      </c>
      <c r="J706" s="22" t="s">
        <v>166</v>
      </c>
      <c r="K706" s="22"/>
      <c r="L706" s="22" t="s">
        <v>3179</v>
      </c>
      <c r="M706" s="26" t="s">
        <v>3180</v>
      </c>
      <c r="N706" s="22"/>
      <c r="O706" s="22" t="s">
        <v>81</v>
      </c>
      <c r="P706" s="25" t="str">
        <f aca="false">IF(OR(O706="",O706="Sin información"),"",IFERROR(INDEX(Listas!$B$2:$B$9,MATCH(O706,Listas!$A$2:$A$9,0)),""))</f>
        <v>Sí</v>
      </c>
      <c r="Q706" s="25" t="str">
        <f aca="false">IF(OR(O706="",O706="Sin información"),"",IFERROR(INDEX(Listas!$C$2:$C$9,MATCH(O706,Listas!$A$2:$A$9,0)),""))</f>
        <v>Sí</v>
      </c>
      <c r="R706" s="22" t="s">
        <v>2345</v>
      </c>
      <c r="S706" s="22" t="s">
        <v>3181</v>
      </c>
      <c r="T706" s="25" t="str">
        <f aca="false">IF(S706="","",IFERROR(INDEX(Empleadores!$B$2:$B$601,MATCH(S706,Empleadores!$A$2:$A$601,0)),"No encontrado"))</f>
        <v>P.S. Pampamarca</v>
      </c>
      <c r="U706" s="25" t="str">
        <f aca="false">IF(C706="","",IF(V706="","No",IF(Config!$C$4-V706&lt;=Config!$C$15,"Sí","No")))</f>
        <v>Sí</v>
      </c>
      <c r="V706" s="23" t="n">
        <v>45967</v>
      </c>
      <c r="W706" s="22"/>
      <c r="X706" s="22"/>
      <c r="Y706" s="22" t="s">
        <v>181</v>
      </c>
      <c r="Z706" s="27"/>
      <c r="AA706" s="22" t="s">
        <v>3182</v>
      </c>
      <c r="AB706" s="22" t="s">
        <v>183</v>
      </c>
    </row>
    <row r="707" customFormat="false" ht="15" hidden="false" customHeight="false" outlineLevel="0" collapsed="false">
      <c r="A707" s="22" t="n">
        <v>706</v>
      </c>
      <c r="B707" s="22" t="s">
        <v>3183</v>
      </c>
      <c r="C707" s="22" t="s">
        <v>3184</v>
      </c>
      <c r="D707" s="22" t="s">
        <v>138</v>
      </c>
      <c r="E707" s="22" t="s">
        <v>139</v>
      </c>
      <c r="F707" s="22" t="s">
        <v>106</v>
      </c>
      <c r="G707" s="23" t="n">
        <v>45657</v>
      </c>
      <c r="H707" s="24" t="n">
        <f aca="false">IF(G707="","",ROUND((Config!$C$4-G707)/365.25,2))</f>
        <v>1.75</v>
      </c>
      <c r="I707" s="25" t="str">
        <f aca="false">IF(H707="","",IF(H707&lt;=1,"Tramo 1",IF(H707&lt;=3,"Tramo 2",IF(H707&lt;=5,"Tramo 3","Tramo 4"))))</f>
        <v>Tramo 2</v>
      </c>
      <c r="J707" s="22" t="s">
        <v>166</v>
      </c>
      <c r="K707" s="22"/>
      <c r="L707" s="22" t="s">
        <v>3185</v>
      </c>
      <c r="M707" s="26" t="s">
        <v>3186</v>
      </c>
      <c r="N707" s="22"/>
      <c r="O707" s="22" t="s">
        <v>63</v>
      </c>
      <c r="P707" s="25" t="str">
        <f aca="false">IF(OR(O707="",O707="Sin información"),"",IFERROR(INDEX(Listas!$B$2:$B$9,MATCH(O707,Listas!$A$2:$A$9,0)),""))</f>
        <v/>
      </c>
      <c r="Q707" s="25" t="str">
        <f aca="false">IF(OR(O707="",O707="Sin información"),"",IFERROR(INDEX(Listas!$C$2:$C$9,MATCH(O707,Listas!$A$2:$A$9,0)),""))</f>
        <v/>
      </c>
      <c r="R707" s="22"/>
      <c r="S707" s="22"/>
      <c r="T707" s="25" t="str">
        <f aca="false">IF(S707="","",IFERROR(INDEX(Empleadores!$B$2:$B$601,MATCH(S707,Empleadores!$A$2:$A$601,0)),"No encontrado"))</f>
        <v/>
      </c>
      <c r="U707" s="25" t="str">
        <f aca="false">IF(C707="","",IF(V707="","No",IF(Config!$C$4-V707&lt;=Config!$C$15,"Sí","No")))</f>
        <v>No</v>
      </c>
      <c r="V707" s="23"/>
      <c r="W707" s="22"/>
      <c r="X707" s="22"/>
      <c r="Y707" s="22"/>
      <c r="Z707" s="27"/>
      <c r="AA707" s="22"/>
      <c r="AB707" s="22"/>
    </row>
    <row r="708" customFormat="false" ht="15" hidden="false" customHeight="false" outlineLevel="0" collapsed="false">
      <c r="A708" s="22" t="n">
        <v>707</v>
      </c>
      <c r="B708" s="22" t="s">
        <v>3187</v>
      </c>
      <c r="C708" s="22" t="s">
        <v>3188</v>
      </c>
      <c r="D708" s="22" t="s">
        <v>138</v>
      </c>
      <c r="E708" s="22" t="s">
        <v>139</v>
      </c>
      <c r="F708" s="22" t="s">
        <v>106</v>
      </c>
      <c r="G708" s="23" t="n">
        <v>45657</v>
      </c>
      <c r="H708" s="24" t="n">
        <f aca="false">IF(G708="","",ROUND((Config!$C$4-G708)/365.25,2))</f>
        <v>1.75</v>
      </c>
      <c r="I708" s="25" t="str">
        <f aca="false">IF(H708="","",IF(H708&lt;=1,"Tramo 1",IF(H708&lt;=3,"Tramo 2",IF(H708&lt;=5,"Tramo 3","Tramo 4"))))</f>
        <v>Tramo 2</v>
      </c>
      <c r="J708" s="22" t="s">
        <v>166</v>
      </c>
      <c r="K708" s="22"/>
      <c r="L708" s="22" t="s">
        <v>3189</v>
      </c>
      <c r="M708" s="26" t="s">
        <v>3190</v>
      </c>
      <c r="N708" s="22"/>
      <c r="O708" s="22" t="s">
        <v>90</v>
      </c>
      <c r="P708" s="25" t="str">
        <f aca="false">IF(OR(O708="",O708="Sin información"),"",IFERROR(INDEX(Listas!$B$2:$B$9,MATCH(O708,Listas!$A$2:$A$9,0)),""))</f>
        <v>No</v>
      </c>
      <c r="Q708" s="25" t="str">
        <f aca="false">IF(OR(O708="",O708="Sin información"),"",IFERROR(INDEX(Listas!$C$2:$C$9,MATCH(O708,Listas!$A$2:$A$9,0)),""))</f>
        <v>No</v>
      </c>
      <c r="R708" s="22"/>
      <c r="S708" s="22"/>
      <c r="T708" s="25" t="str">
        <f aca="false">IF(S708="","",IFERROR(INDEX(Empleadores!$B$2:$B$601,MATCH(S708,Empleadores!$A$2:$A$601,0)),"No encontrado"))</f>
        <v/>
      </c>
      <c r="U708" s="25" t="str">
        <f aca="false">IF(C708="","",IF(V708="","No",IF(Config!$C$4-V708&lt;=Config!$C$15,"Sí","No")))</f>
        <v>Sí</v>
      </c>
      <c r="V708" s="23" t="n">
        <v>45967</v>
      </c>
      <c r="W708" s="22"/>
      <c r="X708" s="22"/>
      <c r="Y708" s="22" t="s">
        <v>181</v>
      </c>
      <c r="Z708" s="27" t="s">
        <v>2650</v>
      </c>
      <c r="AA708" s="22" t="s">
        <v>2594</v>
      </c>
      <c r="AB708" s="22" t="s">
        <v>2667</v>
      </c>
    </row>
    <row r="709" customFormat="false" ht="15" hidden="false" customHeight="false" outlineLevel="0" collapsed="false">
      <c r="A709" s="22" t="n">
        <v>708</v>
      </c>
      <c r="B709" s="22" t="s">
        <v>3191</v>
      </c>
      <c r="C709" s="22" t="s">
        <v>3192</v>
      </c>
      <c r="D709" s="22" t="s">
        <v>149</v>
      </c>
      <c r="E709" s="22" t="s">
        <v>139</v>
      </c>
      <c r="F709" s="22" t="s">
        <v>106</v>
      </c>
      <c r="G709" s="23" t="n">
        <v>45657</v>
      </c>
      <c r="H709" s="24" t="n">
        <f aca="false">IF(G709="","",ROUND((Config!$C$4-G709)/365.25,2))</f>
        <v>1.75</v>
      </c>
      <c r="I709" s="25" t="str">
        <f aca="false">IF(H709="","",IF(H709&lt;=1,"Tramo 1",IF(H709&lt;=3,"Tramo 2",IF(H709&lt;=5,"Tramo 3","Tramo 4"))))</f>
        <v>Tramo 2</v>
      </c>
      <c r="J709" s="22" t="s">
        <v>140</v>
      </c>
      <c r="K709" s="22"/>
      <c r="L709" s="22" t="s">
        <v>3193</v>
      </c>
      <c r="M709" s="26" t="s">
        <v>3194</v>
      </c>
      <c r="N709" s="22"/>
      <c r="O709" s="22" t="s">
        <v>63</v>
      </c>
      <c r="P709" s="25" t="str">
        <f aca="false">IF(OR(O709="",O709="Sin información"),"",IFERROR(INDEX(Listas!$B$2:$B$9,MATCH(O709,Listas!$A$2:$A$9,0)),""))</f>
        <v/>
      </c>
      <c r="Q709" s="25" t="str">
        <f aca="false">IF(OR(O709="",O709="Sin información"),"",IFERROR(INDEX(Listas!$C$2:$C$9,MATCH(O709,Listas!$A$2:$A$9,0)),""))</f>
        <v/>
      </c>
      <c r="R709" s="22"/>
      <c r="S709" s="22"/>
      <c r="T709" s="25" t="str">
        <f aca="false">IF(S709="","",IFERROR(INDEX(Empleadores!$B$2:$B$601,MATCH(S709,Empleadores!$A$2:$A$601,0)),"No encontrado"))</f>
        <v/>
      </c>
      <c r="U709" s="25" t="str">
        <f aca="false">IF(C709="","",IF(V709="","No",IF(Config!$C$4-V709&lt;=Config!$C$15,"Sí","No")))</f>
        <v>No</v>
      </c>
      <c r="V709" s="23"/>
      <c r="W709" s="22"/>
      <c r="X709" s="22"/>
      <c r="Y709" s="22"/>
      <c r="Z709" s="27"/>
      <c r="AA709" s="22"/>
      <c r="AB709" s="22"/>
    </row>
    <row r="710" customFormat="false" ht="15" hidden="false" customHeight="false" outlineLevel="0" collapsed="false">
      <c r="A710" s="22" t="n">
        <v>709</v>
      </c>
      <c r="B710" s="22" t="s">
        <v>3195</v>
      </c>
      <c r="C710" s="22" t="s">
        <v>3196</v>
      </c>
      <c r="D710" s="22" t="s">
        <v>138</v>
      </c>
      <c r="E710" s="22" t="s">
        <v>139</v>
      </c>
      <c r="F710" s="22" t="s">
        <v>106</v>
      </c>
      <c r="G710" s="23" t="n">
        <v>45657</v>
      </c>
      <c r="H710" s="24" t="n">
        <f aca="false">IF(G710="","",ROUND((Config!$C$4-G710)/365.25,2))</f>
        <v>1.75</v>
      </c>
      <c r="I710" s="25" t="str">
        <f aca="false">IF(H710="","",IF(H710&lt;=1,"Tramo 1",IF(H710&lt;=3,"Tramo 2",IF(H710&lt;=5,"Tramo 3","Tramo 4"))))</f>
        <v>Tramo 2</v>
      </c>
      <c r="J710" s="22" t="s">
        <v>166</v>
      </c>
      <c r="K710" s="22"/>
      <c r="L710" s="22" t="s">
        <v>3197</v>
      </c>
      <c r="M710" s="26" t="s">
        <v>3198</v>
      </c>
      <c r="N710" s="22"/>
      <c r="O710" s="22" t="s">
        <v>63</v>
      </c>
      <c r="P710" s="25" t="str">
        <f aca="false">IF(OR(O710="",O710="Sin información"),"",IFERROR(INDEX(Listas!$B$2:$B$9,MATCH(O710,Listas!$A$2:$A$9,0)),""))</f>
        <v/>
      </c>
      <c r="Q710" s="25" t="str">
        <f aca="false">IF(OR(O710="",O710="Sin información"),"",IFERROR(INDEX(Listas!$C$2:$C$9,MATCH(O710,Listas!$A$2:$A$9,0)),""))</f>
        <v/>
      </c>
      <c r="R710" s="22"/>
      <c r="S710" s="22"/>
      <c r="T710" s="25" t="str">
        <f aca="false">IF(S710="","",IFERROR(INDEX(Empleadores!$B$2:$B$601,MATCH(S710,Empleadores!$A$2:$A$601,0)),"No encontrado"))</f>
        <v/>
      </c>
      <c r="U710" s="25" t="str">
        <f aca="false">IF(C710="","",IF(V710="","No",IF(Config!$C$4-V710&lt;=Config!$C$15,"Sí","No")))</f>
        <v>No</v>
      </c>
      <c r="V710" s="23"/>
      <c r="W710" s="22"/>
      <c r="X710" s="22"/>
      <c r="Y710" s="22"/>
      <c r="Z710" s="27"/>
      <c r="AA710" s="22"/>
      <c r="AB710" s="22"/>
    </row>
    <row r="711" customFormat="false" ht="15" hidden="false" customHeight="false" outlineLevel="0" collapsed="false">
      <c r="A711" s="22" t="n">
        <v>710</v>
      </c>
      <c r="B711" s="22" t="s">
        <v>3199</v>
      </c>
      <c r="C711" s="22" t="s">
        <v>3200</v>
      </c>
      <c r="D711" s="22" t="s">
        <v>149</v>
      </c>
      <c r="E711" s="22" t="s">
        <v>139</v>
      </c>
      <c r="F711" s="22" t="s">
        <v>106</v>
      </c>
      <c r="G711" s="23" t="n">
        <v>45657</v>
      </c>
      <c r="H711" s="24" t="n">
        <f aca="false">IF(G711="","",ROUND((Config!$C$4-G711)/365.25,2))</f>
        <v>1.75</v>
      </c>
      <c r="I711" s="25" t="str">
        <f aca="false">IF(H711="","",IF(H711&lt;=1,"Tramo 1",IF(H711&lt;=3,"Tramo 2",IF(H711&lt;=5,"Tramo 3","Tramo 4"))))</f>
        <v>Tramo 2</v>
      </c>
      <c r="J711" s="22" t="s">
        <v>166</v>
      </c>
      <c r="K711" s="22"/>
      <c r="L711" s="22" t="s">
        <v>3201</v>
      </c>
      <c r="M711" s="26" t="s">
        <v>3202</v>
      </c>
      <c r="N711" s="22"/>
      <c r="O711" s="22" t="s">
        <v>63</v>
      </c>
      <c r="P711" s="25" t="str">
        <f aca="false">IF(OR(O711="",O711="Sin información"),"",IFERROR(INDEX(Listas!$B$2:$B$9,MATCH(O711,Listas!$A$2:$A$9,0)),""))</f>
        <v/>
      </c>
      <c r="Q711" s="25" t="str">
        <f aca="false">IF(OR(O711="",O711="Sin información"),"",IFERROR(INDEX(Listas!$C$2:$C$9,MATCH(O711,Listas!$A$2:$A$9,0)),""))</f>
        <v/>
      </c>
      <c r="R711" s="22"/>
      <c r="S711" s="22"/>
      <c r="T711" s="25" t="str">
        <f aca="false">IF(S711="","",IFERROR(INDEX(Empleadores!$B$2:$B$601,MATCH(S711,Empleadores!$A$2:$A$601,0)),"No encontrado"))</f>
        <v/>
      </c>
      <c r="U711" s="25" t="str">
        <f aca="false">IF(C711="","",IF(V711="","No",IF(Config!$C$4-V711&lt;=Config!$C$15,"Sí","No")))</f>
        <v>No</v>
      </c>
      <c r="V711" s="23"/>
      <c r="W711" s="22"/>
      <c r="X711" s="22"/>
      <c r="Y711" s="22"/>
      <c r="Z711" s="27"/>
      <c r="AA711" s="22" t="s">
        <v>3203</v>
      </c>
      <c r="AB711" s="22" t="s">
        <v>1691</v>
      </c>
    </row>
    <row r="712" customFormat="false" ht="15" hidden="false" customHeight="false" outlineLevel="0" collapsed="false">
      <c r="A712" s="22" t="n">
        <v>711</v>
      </c>
      <c r="B712" s="22" t="s">
        <v>3204</v>
      </c>
      <c r="C712" s="22" t="s">
        <v>3205</v>
      </c>
      <c r="D712" s="22" t="s">
        <v>138</v>
      </c>
      <c r="E712" s="22" t="s">
        <v>139</v>
      </c>
      <c r="F712" s="22" t="s">
        <v>106</v>
      </c>
      <c r="G712" s="23" t="n">
        <v>45657</v>
      </c>
      <c r="H712" s="24" t="n">
        <f aca="false">IF(G712="","",ROUND((Config!$C$4-G712)/365.25,2))</f>
        <v>1.75</v>
      </c>
      <c r="I712" s="25" t="str">
        <f aca="false">IF(H712="","",IF(H712&lt;=1,"Tramo 1",IF(H712&lt;=3,"Tramo 2",IF(H712&lt;=5,"Tramo 3","Tramo 4"))))</f>
        <v>Tramo 2</v>
      </c>
      <c r="J712" s="22" t="s">
        <v>140</v>
      </c>
      <c r="K712" s="22"/>
      <c r="L712" s="22" t="s">
        <v>3206</v>
      </c>
      <c r="M712" s="26" t="s">
        <v>3207</v>
      </c>
      <c r="N712" s="22"/>
      <c r="O712" s="22" t="s">
        <v>63</v>
      </c>
      <c r="P712" s="25" t="str">
        <f aca="false">IF(OR(O712="",O712="Sin información"),"",IFERROR(INDEX(Listas!$B$2:$B$9,MATCH(O712,Listas!$A$2:$A$9,0)),""))</f>
        <v/>
      </c>
      <c r="Q712" s="25" t="str">
        <f aca="false">IF(OR(O712="",O712="Sin información"),"",IFERROR(INDEX(Listas!$C$2:$C$9,MATCH(O712,Listas!$A$2:$A$9,0)),""))</f>
        <v/>
      </c>
      <c r="R712" s="22"/>
      <c r="S712" s="22"/>
      <c r="T712" s="25" t="str">
        <f aca="false">IF(S712="","",IFERROR(INDEX(Empleadores!$B$2:$B$601,MATCH(S712,Empleadores!$A$2:$A$601,0)),"No encontrado"))</f>
        <v/>
      </c>
      <c r="U712" s="25" t="str">
        <f aca="false">IF(C712="","",IF(V712="","No",IF(Config!$C$4-V712&lt;=Config!$C$15,"Sí","No")))</f>
        <v>No</v>
      </c>
      <c r="V712" s="23"/>
      <c r="W712" s="22"/>
      <c r="X712" s="22"/>
      <c r="Y712" s="22"/>
      <c r="Z712" s="27"/>
      <c r="AA712" s="22"/>
      <c r="AB712" s="22"/>
    </row>
    <row r="713" customFormat="false" ht="15" hidden="false" customHeight="false" outlineLevel="0" collapsed="false">
      <c r="A713" s="22" t="n">
        <v>712</v>
      </c>
      <c r="B713" s="22" t="s">
        <v>3208</v>
      </c>
      <c r="C713" s="22" t="s">
        <v>3209</v>
      </c>
      <c r="D713" s="22" t="s">
        <v>138</v>
      </c>
      <c r="E713" s="22" t="s">
        <v>139</v>
      </c>
      <c r="F713" s="22" t="s">
        <v>106</v>
      </c>
      <c r="G713" s="23" t="n">
        <v>45657</v>
      </c>
      <c r="H713" s="24" t="n">
        <f aca="false">IF(G713="","",ROUND((Config!$C$4-G713)/365.25,2))</f>
        <v>1.75</v>
      </c>
      <c r="I713" s="25" t="str">
        <f aca="false">IF(H713="","",IF(H713&lt;=1,"Tramo 1",IF(H713&lt;=3,"Tramo 2",IF(H713&lt;=5,"Tramo 3","Tramo 4"))))</f>
        <v>Tramo 2</v>
      </c>
      <c r="J713" s="22" t="s">
        <v>140</v>
      </c>
      <c r="K713" s="22"/>
      <c r="L713" s="22" t="s">
        <v>3210</v>
      </c>
      <c r="M713" s="26" t="s">
        <v>3211</v>
      </c>
      <c r="N713" s="22"/>
      <c r="O713" s="22" t="s">
        <v>63</v>
      </c>
      <c r="P713" s="25" t="str">
        <f aca="false">IF(OR(O713="",O713="Sin información"),"",IFERROR(INDEX(Listas!$B$2:$B$9,MATCH(O713,Listas!$A$2:$A$9,0)),""))</f>
        <v/>
      </c>
      <c r="Q713" s="25" t="str">
        <f aca="false">IF(OR(O713="",O713="Sin información"),"",IFERROR(INDEX(Listas!$C$2:$C$9,MATCH(O713,Listas!$A$2:$A$9,0)),""))</f>
        <v/>
      </c>
      <c r="R713" s="22"/>
      <c r="S713" s="22"/>
      <c r="T713" s="25" t="str">
        <f aca="false">IF(S713="","",IFERROR(INDEX(Empleadores!$B$2:$B$601,MATCH(S713,Empleadores!$A$2:$A$601,0)),"No encontrado"))</f>
        <v/>
      </c>
      <c r="U713" s="25" t="str">
        <f aca="false">IF(C713="","",IF(V713="","No",IF(Config!$C$4-V713&lt;=Config!$C$15,"Sí","No")))</f>
        <v>No</v>
      </c>
      <c r="V713" s="23"/>
      <c r="W713" s="22"/>
      <c r="X713" s="22"/>
      <c r="Y713" s="22"/>
      <c r="Z713" s="27"/>
      <c r="AA713" s="22" t="s">
        <v>3212</v>
      </c>
      <c r="AB713" s="22" t="s">
        <v>1691</v>
      </c>
    </row>
    <row r="714" customFormat="false" ht="15" hidden="false" customHeight="false" outlineLevel="0" collapsed="false">
      <c r="A714" s="22" t="n">
        <v>713</v>
      </c>
      <c r="B714" s="22" t="s">
        <v>3213</v>
      </c>
      <c r="C714" s="22" t="s">
        <v>3214</v>
      </c>
      <c r="D714" s="22" t="s">
        <v>138</v>
      </c>
      <c r="E714" s="22" t="s">
        <v>139</v>
      </c>
      <c r="F714" s="22" t="s">
        <v>106</v>
      </c>
      <c r="G714" s="23" t="n">
        <v>45657</v>
      </c>
      <c r="H714" s="24" t="n">
        <f aca="false">IF(G714="","",ROUND((Config!$C$4-G714)/365.25,2))</f>
        <v>1.75</v>
      </c>
      <c r="I714" s="25" t="str">
        <f aca="false">IF(H714="","",IF(H714&lt;=1,"Tramo 1",IF(H714&lt;=3,"Tramo 2",IF(H714&lt;=5,"Tramo 3","Tramo 4"))))</f>
        <v>Tramo 2</v>
      </c>
      <c r="J714" s="22" t="s">
        <v>140</v>
      </c>
      <c r="K714" s="22"/>
      <c r="L714" s="22" t="s">
        <v>3215</v>
      </c>
      <c r="M714" s="26" t="s">
        <v>3216</v>
      </c>
      <c r="N714" s="22"/>
      <c r="O714" s="22" t="s">
        <v>63</v>
      </c>
      <c r="P714" s="25" t="str">
        <f aca="false">IF(OR(O714="",O714="Sin información"),"",IFERROR(INDEX(Listas!$B$2:$B$9,MATCH(O714,Listas!$A$2:$A$9,0)),""))</f>
        <v/>
      </c>
      <c r="Q714" s="25" t="str">
        <f aca="false">IF(OR(O714="",O714="Sin información"),"",IFERROR(INDEX(Listas!$C$2:$C$9,MATCH(O714,Listas!$A$2:$A$9,0)),""))</f>
        <v/>
      </c>
      <c r="R714" s="22"/>
      <c r="S714" s="22"/>
      <c r="T714" s="25" t="str">
        <f aca="false">IF(S714="","",IFERROR(INDEX(Empleadores!$B$2:$B$601,MATCH(S714,Empleadores!$A$2:$A$601,0)),"No encontrado"))</f>
        <v/>
      </c>
      <c r="U714" s="25" t="str">
        <f aca="false">IF(C714="","",IF(V714="","No",IF(Config!$C$4-V714&lt;=Config!$C$15,"Sí","No")))</f>
        <v>No</v>
      </c>
      <c r="V714" s="23"/>
      <c r="W714" s="22"/>
      <c r="X714" s="22"/>
      <c r="Y714" s="22"/>
      <c r="Z714" s="27"/>
      <c r="AA714" s="22"/>
      <c r="AB714" s="22"/>
    </row>
    <row r="715" customFormat="false" ht="15" hidden="false" customHeight="false" outlineLevel="0" collapsed="false">
      <c r="A715" s="22" t="n">
        <v>714</v>
      </c>
      <c r="B715" s="22" t="s">
        <v>3217</v>
      </c>
      <c r="C715" s="22" t="s">
        <v>3218</v>
      </c>
      <c r="D715" s="22" t="s">
        <v>138</v>
      </c>
      <c r="E715" s="22" t="s">
        <v>139</v>
      </c>
      <c r="F715" s="22" t="s">
        <v>106</v>
      </c>
      <c r="G715" s="23" t="n">
        <v>45657</v>
      </c>
      <c r="H715" s="24" t="n">
        <f aca="false">IF(G715="","",ROUND((Config!$C$4-G715)/365.25,2))</f>
        <v>1.75</v>
      </c>
      <c r="I715" s="25" t="str">
        <f aca="false">IF(H715="","",IF(H715&lt;=1,"Tramo 1",IF(H715&lt;=3,"Tramo 2",IF(H715&lt;=5,"Tramo 3","Tramo 4"))))</f>
        <v>Tramo 2</v>
      </c>
      <c r="J715" s="22" t="s">
        <v>166</v>
      </c>
      <c r="K715" s="22"/>
      <c r="L715" s="22" t="s">
        <v>3219</v>
      </c>
      <c r="M715" s="26" t="s">
        <v>3220</v>
      </c>
      <c r="N715" s="22"/>
      <c r="O715" s="22" t="s">
        <v>90</v>
      </c>
      <c r="P715" s="25" t="str">
        <f aca="false">IF(OR(O715="",O715="Sin información"),"",IFERROR(INDEX(Listas!$B$2:$B$9,MATCH(O715,Listas!$A$2:$A$9,0)),""))</f>
        <v>No</v>
      </c>
      <c r="Q715" s="25" t="str">
        <f aca="false">IF(OR(O715="",O715="Sin información"),"",IFERROR(INDEX(Listas!$C$2:$C$9,MATCH(O715,Listas!$A$2:$A$9,0)),""))</f>
        <v>No</v>
      </c>
      <c r="R715" s="22"/>
      <c r="S715" s="22"/>
      <c r="T715" s="25" t="str">
        <f aca="false">IF(S715="","",IFERROR(INDEX(Empleadores!$B$2:$B$601,MATCH(S715,Empleadores!$A$2:$A$601,0)),"No encontrado"))</f>
        <v/>
      </c>
      <c r="U715" s="25" t="str">
        <f aca="false">IF(C715="","",IF(V715="","No",IF(Config!$C$4-V715&lt;=Config!$C$15,"Sí","No")))</f>
        <v>Sí</v>
      </c>
      <c r="V715" s="23" t="n">
        <v>45967</v>
      </c>
      <c r="W715" s="22"/>
      <c r="X715" s="22"/>
      <c r="Y715" s="22" t="s">
        <v>181</v>
      </c>
      <c r="Z715" s="27" t="s">
        <v>2650</v>
      </c>
      <c r="AA715" s="22"/>
      <c r="AB715" s="22" t="s">
        <v>183</v>
      </c>
    </row>
    <row r="716" customFormat="false" ht="15" hidden="false" customHeight="false" outlineLevel="0" collapsed="false">
      <c r="A716" s="22" t="n">
        <v>715</v>
      </c>
      <c r="B716" s="22" t="s">
        <v>3221</v>
      </c>
      <c r="C716" s="22" t="s">
        <v>3222</v>
      </c>
      <c r="D716" s="22" t="s">
        <v>138</v>
      </c>
      <c r="E716" s="22" t="s">
        <v>139</v>
      </c>
      <c r="F716" s="22" t="s">
        <v>106</v>
      </c>
      <c r="G716" s="23" t="n">
        <v>45657</v>
      </c>
      <c r="H716" s="24" t="n">
        <f aca="false">IF(G716="","",ROUND((Config!$C$4-G716)/365.25,2))</f>
        <v>1.75</v>
      </c>
      <c r="I716" s="25" t="str">
        <f aca="false">IF(H716="","",IF(H716&lt;=1,"Tramo 1",IF(H716&lt;=3,"Tramo 2",IF(H716&lt;=5,"Tramo 3","Tramo 4"))))</f>
        <v>Tramo 2</v>
      </c>
      <c r="J716" s="22" t="s">
        <v>166</v>
      </c>
      <c r="K716" s="22"/>
      <c r="L716" s="22" t="s">
        <v>3223</v>
      </c>
      <c r="M716" s="26" t="s">
        <v>3224</v>
      </c>
      <c r="N716" s="22"/>
      <c r="O716" s="22" t="s">
        <v>63</v>
      </c>
      <c r="P716" s="25" t="str">
        <f aca="false">IF(OR(O716="",O716="Sin información"),"",IFERROR(INDEX(Listas!$B$2:$B$9,MATCH(O716,Listas!$A$2:$A$9,0)),""))</f>
        <v/>
      </c>
      <c r="Q716" s="25" t="str">
        <f aca="false">IF(OR(O716="",O716="Sin información"),"",IFERROR(INDEX(Listas!$C$2:$C$9,MATCH(O716,Listas!$A$2:$A$9,0)),""))</f>
        <v/>
      </c>
      <c r="R716" s="22"/>
      <c r="S716" s="22"/>
      <c r="T716" s="25" t="str">
        <f aca="false">IF(S716="","",IFERROR(INDEX(Empleadores!$B$2:$B$601,MATCH(S716,Empleadores!$A$2:$A$601,0)),"No encontrado"))</f>
        <v/>
      </c>
      <c r="U716" s="25" t="str">
        <f aca="false">IF(C716="","",IF(V716="","No",IF(Config!$C$4-V716&lt;=Config!$C$15,"Sí","No")))</f>
        <v>No</v>
      </c>
      <c r="V716" s="23"/>
      <c r="W716" s="22"/>
      <c r="X716" s="22"/>
      <c r="Y716" s="22"/>
      <c r="Z716" s="27"/>
      <c r="AA716" s="22"/>
      <c r="AB716" s="22"/>
    </row>
    <row r="717" customFormat="false" ht="15" hidden="false" customHeight="false" outlineLevel="0" collapsed="false">
      <c r="A717" s="22" t="n">
        <v>716</v>
      </c>
      <c r="B717" s="22" t="s">
        <v>3225</v>
      </c>
      <c r="C717" s="22" t="s">
        <v>3226</v>
      </c>
      <c r="D717" s="22" t="s">
        <v>149</v>
      </c>
      <c r="E717" s="22" t="s">
        <v>139</v>
      </c>
      <c r="F717" s="22" t="s">
        <v>106</v>
      </c>
      <c r="G717" s="23" t="n">
        <v>45657</v>
      </c>
      <c r="H717" s="24" t="n">
        <f aca="false">IF(G717="","",ROUND((Config!$C$4-G717)/365.25,2))</f>
        <v>1.75</v>
      </c>
      <c r="I717" s="25" t="str">
        <f aca="false">IF(H717="","",IF(H717&lt;=1,"Tramo 1",IF(H717&lt;=3,"Tramo 2",IF(H717&lt;=5,"Tramo 3","Tramo 4"))))</f>
        <v>Tramo 2</v>
      </c>
      <c r="J717" s="22" t="s">
        <v>166</v>
      </c>
      <c r="K717" s="22"/>
      <c r="L717" s="22" t="s">
        <v>3227</v>
      </c>
      <c r="M717" s="26" t="s">
        <v>3228</v>
      </c>
      <c r="N717" s="22"/>
      <c r="O717" s="22" t="s">
        <v>63</v>
      </c>
      <c r="P717" s="25" t="str">
        <f aca="false">IF(OR(O717="",O717="Sin información"),"",IFERROR(INDEX(Listas!$B$2:$B$9,MATCH(O717,Listas!$A$2:$A$9,0)),""))</f>
        <v/>
      </c>
      <c r="Q717" s="25" t="str">
        <f aca="false">IF(OR(O717="",O717="Sin información"),"",IFERROR(INDEX(Listas!$C$2:$C$9,MATCH(O717,Listas!$A$2:$A$9,0)),""))</f>
        <v/>
      </c>
      <c r="R717" s="22"/>
      <c r="S717" s="22"/>
      <c r="T717" s="25" t="str">
        <f aca="false">IF(S717="","",IFERROR(INDEX(Empleadores!$B$2:$B$601,MATCH(S717,Empleadores!$A$2:$A$601,0)),"No encontrado"))</f>
        <v/>
      </c>
      <c r="U717" s="25" t="str">
        <f aca="false">IF(C717="","",IF(V717="","No",IF(Config!$C$4-V717&lt;=Config!$C$15,"Sí","No")))</f>
        <v>No</v>
      </c>
      <c r="V717" s="23"/>
      <c r="W717" s="22"/>
      <c r="X717" s="22"/>
      <c r="Y717" s="22"/>
      <c r="Z717" s="27"/>
      <c r="AA717" s="22"/>
      <c r="AB717" s="22"/>
    </row>
    <row r="718" customFormat="false" ht="15" hidden="false" customHeight="false" outlineLevel="0" collapsed="false">
      <c r="A718" s="22" t="n">
        <v>717</v>
      </c>
      <c r="B718" s="22" t="s">
        <v>3229</v>
      </c>
      <c r="C718" s="22" t="s">
        <v>3230</v>
      </c>
      <c r="D718" s="22" t="s">
        <v>138</v>
      </c>
      <c r="E718" s="22" t="s">
        <v>139</v>
      </c>
      <c r="F718" s="22" t="s">
        <v>106</v>
      </c>
      <c r="G718" s="23" t="n">
        <v>45657</v>
      </c>
      <c r="H718" s="24" t="n">
        <f aca="false">IF(G718="","",ROUND((Config!$C$4-G718)/365.25,2))</f>
        <v>1.75</v>
      </c>
      <c r="I718" s="25" t="str">
        <f aca="false">IF(H718="","",IF(H718&lt;=1,"Tramo 1",IF(H718&lt;=3,"Tramo 2",IF(H718&lt;=5,"Tramo 3","Tramo 4"))))</f>
        <v>Tramo 2</v>
      </c>
      <c r="J718" s="22" t="s">
        <v>166</v>
      </c>
      <c r="K718" s="22"/>
      <c r="L718" s="22" t="s">
        <v>3231</v>
      </c>
      <c r="M718" s="26" t="s">
        <v>3232</v>
      </c>
      <c r="N718" s="22"/>
      <c r="O718" s="22" t="s">
        <v>63</v>
      </c>
      <c r="P718" s="25" t="str">
        <f aca="false">IF(OR(O718="",O718="Sin información"),"",IFERROR(INDEX(Listas!$B$2:$B$9,MATCH(O718,Listas!$A$2:$A$9,0)),""))</f>
        <v/>
      </c>
      <c r="Q718" s="25" t="str">
        <f aca="false">IF(OR(O718="",O718="Sin información"),"",IFERROR(INDEX(Listas!$C$2:$C$9,MATCH(O718,Listas!$A$2:$A$9,0)),""))</f>
        <v/>
      </c>
      <c r="R718" s="22"/>
      <c r="S718" s="22"/>
      <c r="T718" s="25" t="str">
        <f aca="false">IF(S718="","",IFERROR(INDEX(Empleadores!$B$2:$B$601,MATCH(S718,Empleadores!$A$2:$A$601,0)),"No encontrado"))</f>
        <v/>
      </c>
      <c r="U718" s="25" t="str">
        <f aca="false">IF(C718="","",IF(V718="","No",IF(Config!$C$4-V718&lt;=Config!$C$15,"Sí","No")))</f>
        <v>No</v>
      </c>
      <c r="V718" s="23"/>
      <c r="W718" s="22"/>
      <c r="X718" s="22"/>
      <c r="Y718" s="22"/>
      <c r="Z718" s="27"/>
      <c r="AA718" s="22"/>
      <c r="AB718" s="22"/>
    </row>
    <row r="719" customFormat="false" ht="15" hidden="false" customHeight="false" outlineLevel="0" collapsed="false">
      <c r="A719" s="22" t="n">
        <v>718</v>
      </c>
      <c r="B719" s="22" t="s">
        <v>3233</v>
      </c>
      <c r="C719" s="22" t="s">
        <v>3234</v>
      </c>
      <c r="D719" s="22" t="s">
        <v>149</v>
      </c>
      <c r="E719" s="22" t="s">
        <v>139</v>
      </c>
      <c r="F719" s="22" t="s">
        <v>106</v>
      </c>
      <c r="G719" s="23" t="n">
        <v>45657</v>
      </c>
      <c r="H719" s="24" t="n">
        <f aca="false">IF(G719="","",ROUND((Config!$C$4-G719)/365.25,2))</f>
        <v>1.75</v>
      </c>
      <c r="I719" s="25" t="str">
        <f aca="false">IF(H719="","",IF(H719&lt;=1,"Tramo 1",IF(H719&lt;=3,"Tramo 2",IF(H719&lt;=5,"Tramo 3","Tramo 4"))))</f>
        <v>Tramo 2</v>
      </c>
      <c r="J719" s="22" t="s">
        <v>166</v>
      </c>
      <c r="K719" s="22"/>
      <c r="L719" s="22" t="s">
        <v>3235</v>
      </c>
      <c r="M719" s="26" t="s">
        <v>3236</v>
      </c>
      <c r="N719" s="22"/>
      <c r="O719" s="22" t="s">
        <v>90</v>
      </c>
      <c r="P719" s="25" t="str">
        <f aca="false">IF(OR(O719="",O719="Sin información"),"",IFERROR(INDEX(Listas!$B$2:$B$9,MATCH(O719,Listas!$A$2:$A$9,0)),""))</f>
        <v>No</v>
      </c>
      <c r="Q719" s="25" t="str">
        <f aca="false">IF(OR(O719="",O719="Sin información"),"",IFERROR(INDEX(Listas!$C$2:$C$9,MATCH(O719,Listas!$A$2:$A$9,0)),""))</f>
        <v>No</v>
      </c>
      <c r="R719" s="22"/>
      <c r="S719" s="22"/>
      <c r="T719" s="25" t="str">
        <f aca="false">IF(S719="","",IFERROR(INDEX(Empleadores!$B$2:$B$601,MATCH(S719,Empleadores!$A$2:$A$601,0)),"No encontrado"))</f>
        <v/>
      </c>
      <c r="U719" s="25" t="str">
        <f aca="false">IF(C719="","",IF(V719="","No",IF(Config!$C$4-V719&lt;=Config!$C$15,"Sí","No")))</f>
        <v>Sí</v>
      </c>
      <c r="V719" s="23" t="n">
        <v>45974</v>
      </c>
      <c r="W719" s="22"/>
      <c r="X719" s="22"/>
      <c r="Y719" s="22" t="s">
        <v>181</v>
      </c>
      <c r="Z719" s="27" t="s">
        <v>2650</v>
      </c>
      <c r="AA719" s="22"/>
      <c r="AB719" s="22" t="s">
        <v>183</v>
      </c>
    </row>
    <row r="720" customFormat="false" ht="15" hidden="false" customHeight="false" outlineLevel="0" collapsed="false">
      <c r="A720" s="22" t="n">
        <v>719</v>
      </c>
      <c r="B720" s="22" t="s">
        <v>3237</v>
      </c>
      <c r="C720" s="22" t="s">
        <v>3238</v>
      </c>
      <c r="D720" s="22" t="s">
        <v>138</v>
      </c>
      <c r="E720" s="22" t="s">
        <v>139</v>
      </c>
      <c r="F720" s="22" t="s">
        <v>106</v>
      </c>
      <c r="G720" s="23" t="n">
        <v>45657</v>
      </c>
      <c r="H720" s="24" t="n">
        <f aca="false">IF(G720="","",ROUND((Config!$C$4-G720)/365.25,2))</f>
        <v>1.75</v>
      </c>
      <c r="I720" s="25" t="str">
        <f aca="false">IF(H720="","",IF(H720&lt;=1,"Tramo 1",IF(H720&lt;=3,"Tramo 2",IF(H720&lt;=5,"Tramo 3","Tramo 4"))))</f>
        <v>Tramo 2</v>
      </c>
      <c r="J720" s="22" t="s">
        <v>166</v>
      </c>
      <c r="K720" s="22"/>
      <c r="L720" s="22" t="s">
        <v>3239</v>
      </c>
      <c r="M720" s="26" t="s">
        <v>3240</v>
      </c>
      <c r="N720" s="22"/>
      <c r="O720" s="22" t="s">
        <v>63</v>
      </c>
      <c r="P720" s="25" t="str">
        <f aca="false">IF(OR(O720="",O720="Sin información"),"",IFERROR(INDEX(Listas!$B$2:$B$9,MATCH(O720,Listas!$A$2:$A$9,0)),""))</f>
        <v/>
      </c>
      <c r="Q720" s="25" t="str">
        <f aca="false">IF(OR(O720="",O720="Sin información"),"",IFERROR(INDEX(Listas!$C$2:$C$9,MATCH(O720,Listas!$A$2:$A$9,0)),""))</f>
        <v/>
      </c>
      <c r="R720" s="22"/>
      <c r="S720" s="22"/>
      <c r="T720" s="25" t="str">
        <f aca="false">IF(S720="","",IFERROR(INDEX(Empleadores!$B$2:$B$601,MATCH(S720,Empleadores!$A$2:$A$601,0)),"No encontrado"))</f>
        <v/>
      </c>
      <c r="U720" s="25" t="str">
        <f aca="false">IF(C720="","",IF(V720="","No",IF(Config!$C$4-V720&lt;=Config!$C$15,"Sí","No")))</f>
        <v>No</v>
      </c>
      <c r="V720" s="23"/>
      <c r="W720" s="22"/>
      <c r="X720" s="22"/>
      <c r="Y720" s="22"/>
      <c r="Z720" s="27"/>
      <c r="AA720" s="22" t="s">
        <v>3241</v>
      </c>
      <c r="AB720" s="22" t="s">
        <v>1691</v>
      </c>
    </row>
    <row r="721" customFormat="false" ht="15" hidden="false" customHeight="false" outlineLevel="0" collapsed="false">
      <c r="A721" s="22" t="n">
        <v>720</v>
      </c>
      <c r="B721" s="22" t="s">
        <v>3242</v>
      </c>
      <c r="C721" s="22" t="s">
        <v>3243</v>
      </c>
      <c r="D721" s="22" t="s">
        <v>138</v>
      </c>
      <c r="E721" s="22" t="s">
        <v>139</v>
      </c>
      <c r="F721" s="22" t="s">
        <v>106</v>
      </c>
      <c r="G721" s="23" t="n">
        <v>45657</v>
      </c>
      <c r="H721" s="24" t="n">
        <f aca="false">IF(G721="","",ROUND((Config!$C$4-G721)/365.25,2))</f>
        <v>1.75</v>
      </c>
      <c r="I721" s="25" t="str">
        <f aca="false">IF(H721="","",IF(H721&lt;=1,"Tramo 1",IF(H721&lt;=3,"Tramo 2",IF(H721&lt;=5,"Tramo 3","Tramo 4"))))</f>
        <v>Tramo 2</v>
      </c>
      <c r="J721" s="22" t="s">
        <v>166</v>
      </c>
      <c r="K721" s="22"/>
      <c r="L721" s="22" t="s">
        <v>3244</v>
      </c>
      <c r="M721" s="26" t="s">
        <v>3245</v>
      </c>
      <c r="N721" s="22"/>
      <c r="O721" s="22" t="s">
        <v>90</v>
      </c>
      <c r="P721" s="25" t="str">
        <f aca="false">IF(OR(O721="",O721="Sin información"),"",IFERROR(INDEX(Listas!$B$2:$B$9,MATCH(O721,Listas!$A$2:$A$9,0)),""))</f>
        <v>No</v>
      </c>
      <c r="Q721" s="25" t="str">
        <f aca="false">IF(OR(O721="",O721="Sin información"),"",IFERROR(INDEX(Listas!$C$2:$C$9,MATCH(O721,Listas!$A$2:$A$9,0)),""))</f>
        <v>No</v>
      </c>
      <c r="R721" s="22"/>
      <c r="S721" s="22"/>
      <c r="T721" s="25" t="str">
        <f aca="false">IF(S721="","",IFERROR(INDEX(Empleadores!$B$2:$B$601,MATCH(S721,Empleadores!$A$2:$A$601,0)),"No encontrado"))</f>
        <v/>
      </c>
      <c r="U721" s="25" t="str">
        <f aca="false">IF(C721="","",IF(V721="","No",IF(Config!$C$4-V721&lt;=Config!$C$15,"Sí","No")))</f>
        <v>Sí</v>
      </c>
      <c r="V721" s="23" t="n">
        <v>45971</v>
      </c>
      <c r="W721" s="22"/>
      <c r="X721" s="22"/>
      <c r="Y721" s="22" t="s">
        <v>181</v>
      </c>
      <c r="Z721" s="27" t="s">
        <v>2650</v>
      </c>
      <c r="AA721" s="22"/>
      <c r="AB721" s="22" t="s">
        <v>183</v>
      </c>
    </row>
    <row r="722" customFormat="false" ht="15" hidden="false" customHeight="false" outlineLevel="0" collapsed="false">
      <c r="A722" s="22" t="n">
        <v>721</v>
      </c>
      <c r="B722" s="22" t="s">
        <v>3246</v>
      </c>
      <c r="C722" s="22" t="s">
        <v>3247</v>
      </c>
      <c r="D722" s="22" t="s">
        <v>149</v>
      </c>
      <c r="E722" s="22" t="s">
        <v>139</v>
      </c>
      <c r="F722" s="22" t="s">
        <v>106</v>
      </c>
      <c r="G722" s="23" t="n">
        <v>45657</v>
      </c>
      <c r="H722" s="24" t="n">
        <f aca="false">IF(G722="","",ROUND((Config!$C$4-G722)/365.25,2))</f>
        <v>1.75</v>
      </c>
      <c r="I722" s="25" t="str">
        <f aca="false">IF(H722="","",IF(H722&lt;=1,"Tramo 1",IF(H722&lt;=3,"Tramo 2",IF(H722&lt;=5,"Tramo 3","Tramo 4"))))</f>
        <v>Tramo 2</v>
      </c>
      <c r="J722" s="22" t="s">
        <v>166</v>
      </c>
      <c r="K722" s="22"/>
      <c r="L722" s="22" t="s">
        <v>3248</v>
      </c>
      <c r="M722" s="26" t="s">
        <v>3249</v>
      </c>
      <c r="N722" s="22"/>
      <c r="O722" s="22" t="s">
        <v>63</v>
      </c>
      <c r="P722" s="25" t="str">
        <f aca="false">IF(OR(O722="",O722="Sin información"),"",IFERROR(INDEX(Listas!$B$2:$B$9,MATCH(O722,Listas!$A$2:$A$9,0)),""))</f>
        <v/>
      </c>
      <c r="Q722" s="25" t="str">
        <f aca="false">IF(OR(O722="",O722="Sin información"),"",IFERROR(INDEX(Listas!$C$2:$C$9,MATCH(O722,Listas!$A$2:$A$9,0)),""))</f>
        <v/>
      </c>
      <c r="R722" s="22"/>
      <c r="S722" s="22"/>
      <c r="T722" s="25" t="str">
        <f aca="false">IF(S722="","",IFERROR(INDEX(Empleadores!$B$2:$B$601,MATCH(S722,Empleadores!$A$2:$A$601,0)),"No encontrado"))</f>
        <v/>
      </c>
      <c r="U722" s="25" t="str">
        <f aca="false">IF(C722="","",IF(V722="","No",IF(Config!$C$4-V722&lt;=Config!$C$15,"Sí","No")))</f>
        <v>No</v>
      </c>
      <c r="V722" s="23"/>
      <c r="W722" s="22"/>
      <c r="X722" s="22"/>
      <c r="Y722" s="22"/>
      <c r="Z722" s="27"/>
      <c r="AA722" s="22"/>
      <c r="AB722" s="22"/>
    </row>
    <row r="723" customFormat="false" ht="15" hidden="false" customHeight="false" outlineLevel="0" collapsed="false">
      <c r="A723" s="22" t="n">
        <v>722</v>
      </c>
      <c r="B723" s="22" t="s">
        <v>3250</v>
      </c>
      <c r="C723" s="22" t="s">
        <v>3251</v>
      </c>
      <c r="D723" s="22" t="s">
        <v>138</v>
      </c>
      <c r="E723" s="22" t="s">
        <v>139</v>
      </c>
      <c r="F723" s="22" t="s">
        <v>106</v>
      </c>
      <c r="G723" s="23" t="n">
        <v>45657</v>
      </c>
      <c r="H723" s="24" t="n">
        <f aca="false">IF(G723="","",ROUND((Config!$C$4-G723)/365.25,2))</f>
        <v>1.75</v>
      </c>
      <c r="I723" s="25" t="str">
        <f aca="false">IF(H723="","",IF(H723&lt;=1,"Tramo 1",IF(H723&lt;=3,"Tramo 2",IF(H723&lt;=5,"Tramo 3","Tramo 4"))))</f>
        <v>Tramo 2</v>
      </c>
      <c r="J723" s="22" t="s">
        <v>166</v>
      </c>
      <c r="K723" s="22"/>
      <c r="L723" s="22" t="s">
        <v>3252</v>
      </c>
      <c r="M723" s="26" t="s">
        <v>3253</v>
      </c>
      <c r="N723" s="22"/>
      <c r="O723" s="22" t="s">
        <v>63</v>
      </c>
      <c r="P723" s="25" t="str">
        <f aca="false">IF(OR(O723="",O723="Sin información"),"",IFERROR(INDEX(Listas!$B$2:$B$9,MATCH(O723,Listas!$A$2:$A$9,0)),""))</f>
        <v/>
      </c>
      <c r="Q723" s="25" t="str">
        <f aca="false">IF(OR(O723="",O723="Sin información"),"",IFERROR(INDEX(Listas!$C$2:$C$9,MATCH(O723,Listas!$A$2:$A$9,0)),""))</f>
        <v/>
      </c>
      <c r="R723" s="22"/>
      <c r="S723" s="22"/>
      <c r="T723" s="25" t="str">
        <f aca="false">IF(S723="","",IFERROR(INDEX(Empleadores!$B$2:$B$601,MATCH(S723,Empleadores!$A$2:$A$601,0)),"No encontrado"))</f>
        <v/>
      </c>
      <c r="U723" s="25" t="str">
        <f aca="false">IF(C723="","",IF(V723="","No",IF(Config!$C$4-V723&lt;=Config!$C$15,"Sí","No")))</f>
        <v>Sí</v>
      </c>
      <c r="V723" s="23" t="n">
        <v>45948</v>
      </c>
      <c r="W723" s="22"/>
      <c r="X723" s="22"/>
      <c r="Y723" s="22"/>
      <c r="Z723" s="27" t="s">
        <v>3254</v>
      </c>
      <c r="AA723" s="22" t="s">
        <v>2518</v>
      </c>
      <c r="AB723" s="22" t="s">
        <v>2265</v>
      </c>
    </row>
    <row r="724" customFormat="false" ht="15" hidden="false" customHeight="false" outlineLevel="0" collapsed="false">
      <c r="A724" s="22" t="n">
        <v>723</v>
      </c>
      <c r="B724" s="22" t="s">
        <v>3255</v>
      </c>
      <c r="C724" s="22" t="s">
        <v>3256</v>
      </c>
      <c r="D724" s="22" t="s">
        <v>149</v>
      </c>
      <c r="E724" s="22" t="s">
        <v>139</v>
      </c>
      <c r="F724" s="22" t="s">
        <v>106</v>
      </c>
      <c r="G724" s="23" t="n">
        <v>45657</v>
      </c>
      <c r="H724" s="24" t="n">
        <f aca="false">IF(G724="","",ROUND((Config!$C$4-G724)/365.25,2))</f>
        <v>1.75</v>
      </c>
      <c r="I724" s="25" t="str">
        <f aca="false">IF(H724="","",IF(H724&lt;=1,"Tramo 1",IF(H724&lt;=3,"Tramo 2",IF(H724&lt;=5,"Tramo 3","Tramo 4"))))</f>
        <v>Tramo 2</v>
      </c>
      <c r="J724" s="22" t="s">
        <v>166</v>
      </c>
      <c r="K724" s="22"/>
      <c r="L724" s="22" t="s">
        <v>3257</v>
      </c>
      <c r="M724" s="26" t="s">
        <v>3258</v>
      </c>
      <c r="N724" s="22"/>
      <c r="O724" s="22" t="s">
        <v>63</v>
      </c>
      <c r="P724" s="25" t="str">
        <f aca="false">IF(OR(O724="",O724="Sin información"),"",IFERROR(INDEX(Listas!$B$2:$B$9,MATCH(O724,Listas!$A$2:$A$9,0)),""))</f>
        <v/>
      </c>
      <c r="Q724" s="25" t="str">
        <f aca="false">IF(OR(O724="",O724="Sin información"),"",IFERROR(INDEX(Listas!$C$2:$C$9,MATCH(O724,Listas!$A$2:$A$9,0)),""))</f>
        <v/>
      </c>
      <c r="R724" s="22"/>
      <c r="S724" s="22"/>
      <c r="T724" s="25" t="str">
        <f aca="false">IF(S724="","",IFERROR(INDEX(Empleadores!$B$2:$B$601,MATCH(S724,Empleadores!$A$2:$A$601,0)),"No encontrado"))</f>
        <v/>
      </c>
      <c r="U724" s="25" t="str">
        <f aca="false">IF(C724="","",IF(V724="","No",IF(Config!$C$4-V724&lt;=Config!$C$15,"Sí","No")))</f>
        <v>No</v>
      </c>
      <c r="V724" s="23"/>
      <c r="W724" s="22"/>
      <c r="X724" s="22"/>
      <c r="Y724" s="22"/>
      <c r="Z724" s="27"/>
      <c r="AA724" s="22"/>
      <c r="AB724" s="22"/>
    </row>
    <row r="725" customFormat="false" ht="15" hidden="false" customHeight="false" outlineLevel="0" collapsed="false">
      <c r="A725" s="22" t="n">
        <v>724</v>
      </c>
      <c r="B725" s="22" t="s">
        <v>3259</v>
      </c>
      <c r="C725" s="22" t="s">
        <v>3260</v>
      </c>
      <c r="D725" s="22" t="s">
        <v>149</v>
      </c>
      <c r="E725" s="22" t="s">
        <v>139</v>
      </c>
      <c r="F725" s="22" t="s">
        <v>106</v>
      </c>
      <c r="G725" s="23" t="n">
        <v>45657</v>
      </c>
      <c r="H725" s="24" t="n">
        <f aca="false">IF(G725="","",ROUND((Config!$C$4-G725)/365.25,2))</f>
        <v>1.75</v>
      </c>
      <c r="I725" s="25" t="str">
        <f aca="false">IF(H725="","",IF(H725&lt;=1,"Tramo 1",IF(H725&lt;=3,"Tramo 2",IF(H725&lt;=5,"Tramo 3","Tramo 4"))))</f>
        <v>Tramo 2</v>
      </c>
      <c r="J725" s="22" t="s">
        <v>166</v>
      </c>
      <c r="K725" s="22"/>
      <c r="L725" s="22" t="s">
        <v>3261</v>
      </c>
      <c r="M725" s="26" t="s">
        <v>3262</v>
      </c>
      <c r="N725" s="22"/>
      <c r="O725" s="22" t="s">
        <v>63</v>
      </c>
      <c r="P725" s="25" t="str">
        <f aca="false">IF(OR(O725="",O725="Sin información"),"",IFERROR(INDEX(Listas!$B$2:$B$9,MATCH(O725,Listas!$A$2:$A$9,0)),""))</f>
        <v/>
      </c>
      <c r="Q725" s="25" t="str">
        <f aca="false">IF(OR(O725="",O725="Sin información"),"",IFERROR(INDEX(Listas!$C$2:$C$9,MATCH(O725,Listas!$A$2:$A$9,0)),""))</f>
        <v/>
      </c>
      <c r="R725" s="22"/>
      <c r="S725" s="22"/>
      <c r="T725" s="25" t="str">
        <f aca="false">IF(S725="","",IFERROR(INDEX(Empleadores!$B$2:$B$601,MATCH(S725,Empleadores!$A$2:$A$601,0)),"No encontrado"))</f>
        <v/>
      </c>
      <c r="U725" s="25" t="str">
        <f aca="false">IF(C725="","",IF(V725="","No",IF(Config!$C$4-V725&lt;=Config!$C$15,"Sí","No")))</f>
        <v>No</v>
      </c>
      <c r="V725" s="23"/>
      <c r="W725" s="22"/>
      <c r="X725" s="22"/>
      <c r="Y725" s="22"/>
      <c r="Z725" s="27"/>
      <c r="AA725" s="22"/>
      <c r="AB725" s="22"/>
    </row>
    <row r="726" customFormat="false" ht="15" hidden="false" customHeight="false" outlineLevel="0" collapsed="false">
      <c r="A726" s="22" t="n">
        <v>725</v>
      </c>
      <c r="B726" s="22" t="s">
        <v>3263</v>
      </c>
      <c r="C726" s="22" t="s">
        <v>3264</v>
      </c>
      <c r="D726" s="22" t="s">
        <v>138</v>
      </c>
      <c r="E726" s="22" t="s">
        <v>139</v>
      </c>
      <c r="F726" s="22" t="s">
        <v>106</v>
      </c>
      <c r="G726" s="23" t="n">
        <v>45657</v>
      </c>
      <c r="H726" s="24" t="n">
        <f aca="false">IF(G726="","",ROUND((Config!$C$4-G726)/365.25,2))</f>
        <v>1.75</v>
      </c>
      <c r="I726" s="25" t="str">
        <f aca="false">IF(H726="","",IF(H726&lt;=1,"Tramo 1",IF(H726&lt;=3,"Tramo 2",IF(H726&lt;=5,"Tramo 3","Tramo 4"))))</f>
        <v>Tramo 2</v>
      </c>
      <c r="J726" s="22" t="s">
        <v>166</v>
      </c>
      <c r="K726" s="22"/>
      <c r="L726" s="22" t="s">
        <v>3265</v>
      </c>
      <c r="M726" s="26" t="s">
        <v>3266</v>
      </c>
      <c r="N726" s="22"/>
      <c r="O726" s="22" t="s">
        <v>63</v>
      </c>
      <c r="P726" s="25" t="str">
        <f aca="false">IF(OR(O726="",O726="Sin información"),"",IFERROR(INDEX(Listas!$B$2:$B$9,MATCH(O726,Listas!$A$2:$A$9,0)),""))</f>
        <v/>
      </c>
      <c r="Q726" s="25" t="str">
        <f aca="false">IF(OR(O726="",O726="Sin información"),"",IFERROR(INDEX(Listas!$C$2:$C$9,MATCH(O726,Listas!$A$2:$A$9,0)),""))</f>
        <v/>
      </c>
      <c r="R726" s="22"/>
      <c r="S726" s="22"/>
      <c r="T726" s="25" t="str">
        <f aca="false">IF(S726="","",IFERROR(INDEX(Empleadores!$B$2:$B$601,MATCH(S726,Empleadores!$A$2:$A$601,0)),"No encontrado"))</f>
        <v/>
      </c>
      <c r="U726" s="25" t="str">
        <f aca="false">IF(C726="","",IF(V726="","No",IF(Config!$C$4-V726&lt;=Config!$C$15,"Sí","No")))</f>
        <v>No</v>
      </c>
      <c r="V726" s="23"/>
      <c r="W726" s="22"/>
      <c r="X726" s="22"/>
      <c r="Y726" s="22"/>
      <c r="Z726" s="27"/>
      <c r="AA726" s="22" t="s">
        <v>3267</v>
      </c>
      <c r="AB726" s="22" t="s">
        <v>1691</v>
      </c>
    </row>
    <row r="727" customFormat="false" ht="15" hidden="false" customHeight="false" outlineLevel="0" collapsed="false">
      <c r="A727" s="22" t="n">
        <v>726</v>
      </c>
      <c r="B727" s="22" t="s">
        <v>3268</v>
      </c>
      <c r="C727" s="22" t="s">
        <v>3269</v>
      </c>
      <c r="D727" s="22" t="s">
        <v>138</v>
      </c>
      <c r="E727" s="22" t="s">
        <v>139</v>
      </c>
      <c r="F727" s="22" t="s">
        <v>106</v>
      </c>
      <c r="G727" s="23" t="n">
        <v>45657</v>
      </c>
      <c r="H727" s="24" t="n">
        <f aca="false">IF(G727="","",ROUND((Config!$C$4-G727)/365.25,2))</f>
        <v>1.75</v>
      </c>
      <c r="I727" s="25" t="str">
        <f aca="false">IF(H727="","",IF(H727&lt;=1,"Tramo 1",IF(H727&lt;=3,"Tramo 2",IF(H727&lt;=5,"Tramo 3","Tramo 4"))))</f>
        <v>Tramo 2</v>
      </c>
      <c r="J727" s="22" t="s">
        <v>140</v>
      </c>
      <c r="K727" s="22"/>
      <c r="L727" s="22" t="s">
        <v>3270</v>
      </c>
      <c r="M727" s="26" t="s">
        <v>3271</v>
      </c>
      <c r="N727" s="22"/>
      <c r="O727" s="22" t="s">
        <v>63</v>
      </c>
      <c r="P727" s="25" t="str">
        <f aca="false">IF(OR(O727="",O727="Sin información"),"",IFERROR(INDEX(Listas!$B$2:$B$9,MATCH(O727,Listas!$A$2:$A$9,0)),""))</f>
        <v/>
      </c>
      <c r="Q727" s="25" t="str">
        <f aca="false">IF(OR(O727="",O727="Sin información"),"",IFERROR(INDEX(Listas!$C$2:$C$9,MATCH(O727,Listas!$A$2:$A$9,0)),""))</f>
        <v/>
      </c>
      <c r="R727" s="22"/>
      <c r="S727" s="22"/>
      <c r="T727" s="25" t="str">
        <f aca="false">IF(S727="","",IFERROR(INDEX(Empleadores!$B$2:$B$601,MATCH(S727,Empleadores!$A$2:$A$601,0)),"No encontrado"))</f>
        <v/>
      </c>
      <c r="U727" s="25" t="str">
        <f aca="false">IF(C727="","",IF(V727="","No",IF(Config!$C$4-V727&lt;=Config!$C$15,"Sí","No")))</f>
        <v>No</v>
      </c>
      <c r="V727" s="23"/>
      <c r="W727" s="22"/>
      <c r="X727" s="22"/>
      <c r="Y727" s="22"/>
      <c r="Z727" s="27"/>
      <c r="AA727" s="22" t="s">
        <v>3272</v>
      </c>
      <c r="AB727" s="22" t="s">
        <v>1691</v>
      </c>
    </row>
    <row r="728" customFormat="false" ht="15" hidden="false" customHeight="false" outlineLevel="0" collapsed="false">
      <c r="A728" s="22" t="n">
        <v>727</v>
      </c>
      <c r="B728" s="22" t="s">
        <v>3273</v>
      </c>
      <c r="C728" s="22" t="s">
        <v>3274</v>
      </c>
      <c r="D728" s="22" t="s">
        <v>138</v>
      </c>
      <c r="E728" s="22" t="s">
        <v>139</v>
      </c>
      <c r="F728" s="22" t="s">
        <v>106</v>
      </c>
      <c r="G728" s="23" t="n">
        <v>45657</v>
      </c>
      <c r="H728" s="24" t="n">
        <f aca="false">IF(G728="","",ROUND((Config!$C$4-G728)/365.25,2))</f>
        <v>1.75</v>
      </c>
      <c r="I728" s="25" t="str">
        <f aca="false">IF(H728="","",IF(H728&lt;=1,"Tramo 1",IF(H728&lt;=3,"Tramo 2",IF(H728&lt;=5,"Tramo 3","Tramo 4"))))</f>
        <v>Tramo 2</v>
      </c>
      <c r="J728" s="22" t="s">
        <v>166</v>
      </c>
      <c r="K728" s="22"/>
      <c r="L728" s="22" t="s">
        <v>3275</v>
      </c>
      <c r="M728" s="26" t="s">
        <v>3276</v>
      </c>
      <c r="N728" s="22"/>
      <c r="O728" s="22" t="s">
        <v>63</v>
      </c>
      <c r="P728" s="25" t="str">
        <f aca="false">IF(OR(O728="",O728="Sin información"),"",IFERROR(INDEX(Listas!$B$2:$B$9,MATCH(O728,Listas!$A$2:$A$9,0)),""))</f>
        <v/>
      </c>
      <c r="Q728" s="25" t="str">
        <f aca="false">IF(OR(O728="",O728="Sin información"),"",IFERROR(INDEX(Listas!$C$2:$C$9,MATCH(O728,Listas!$A$2:$A$9,0)),""))</f>
        <v/>
      </c>
      <c r="R728" s="22"/>
      <c r="S728" s="22"/>
      <c r="T728" s="25" t="str">
        <f aca="false">IF(S728="","",IFERROR(INDEX(Empleadores!$B$2:$B$601,MATCH(S728,Empleadores!$A$2:$A$601,0)),"No encontrado"))</f>
        <v/>
      </c>
      <c r="U728" s="25" t="str">
        <f aca="false">IF(C728="","",IF(V728="","No",IF(Config!$C$4-V728&lt;=Config!$C$15,"Sí","No")))</f>
        <v>No</v>
      </c>
      <c r="V728" s="23"/>
      <c r="W728" s="22"/>
      <c r="X728" s="22"/>
      <c r="Y728" s="22"/>
      <c r="Z728" s="27"/>
      <c r="AA728" s="22"/>
      <c r="AB728" s="22"/>
    </row>
    <row r="729" customFormat="false" ht="15" hidden="false" customHeight="false" outlineLevel="0" collapsed="false">
      <c r="A729" s="22" t="n">
        <v>728</v>
      </c>
      <c r="B729" s="22" t="s">
        <v>3277</v>
      </c>
      <c r="C729" s="22" t="s">
        <v>3278</v>
      </c>
      <c r="D729" s="22" t="s">
        <v>149</v>
      </c>
      <c r="E729" s="22" t="s">
        <v>139</v>
      </c>
      <c r="F729" s="22" t="s">
        <v>106</v>
      </c>
      <c r="G729" s="23" t="n">
        <v>45657</v>
      </c>
      <c r="H729" s="24" t="n">
        <f aca="false">IF(G729="","",ROUND((Config!$C$4-G729)/365.25,2))</f>
        <v>1.75</v>
      </c>
      <c r="I729" s="25" t="str">
        <f aca="false">IF(H729="","",IF(H729&lt;=1,"Tramo 1",IF(H729&lt;=3,"Tramo 2",IF(H729&lt;=5,"Tramo 3","Tramo 4"))))</f>
        <v>Tramo 2</v>
      </c>
      <c r="J729" s="22" t="s">
        <v>166</v>
      </c>
      <c r="K729" s="22"/>
      <c r="L729" s="22" t="s">
        <v>3279</v>
      </c>
      <c r="M729" s="26" t="s">
        <v>3280</v>
      </c>
      <c r="N729" s="22"/>
      <c r="O729" s="22" t="s">
        <v>63</v>
      </c>
      <c r="P729" s="25" t="str">
        <f aca="false">IF(OR(O729="",O729="Sin información"),"",IFERROR(INDEX(Listas!$B$2:$B$9,MATCH(O729,Listas!$A$2:$A$9,0)),""))</f>
        <v/>
      </c>
      <c r="Q729" s="25" t="str">
        <f aca="false">IF(OR(O729="",O729="Sin información"),"",IFERROR(INDEX(Listas!$C$2:$C$9,MATCH(O729,Listas!$A$2:$A$9,0)),""))</f>
        <v/>
      </c>
      <c r="R729" s="22"/>
      <c r="S729" s="22"/>
      <c r="T729" s="25" t="str">
        <f aca="false">IF(S729="","",IFERROR(INDEX(Empleadores!$B$2:$B$601,MATCH(S729,Empleadores!$A$2:$A$601,0)),"No encontrado"))</f>
        <v/>
      </c>
      <c r="U729" s="25" t="str">
        <f aca="false">IF(C729="","",IF(V729="","No",IF(Config!$C$4-V729&lt;=Config!$C$15,"Sí","No")))</f>
        <v>No</v>
      </c>
      <c r="V729" s="23"/>
      <c r="W729" s="22"/>
      <c r="X729" s="22"/>
      <c r="Y729" s="22"/>
      <c r="Z729" s="27"/>
      <c r="AA729" s="22"/>
      <c r="AB729" s="22"/>
    </row>
    <row r="730" customFormat="false" ht="15" hidden="false" customHeight="false" outlineLevel="0" collapsed="false">
      <c r="A730" s="22" t="n">
        <v>729</v>
      </c>
      <c r="B730" s="22" t="s">
        <v>3281</v>
      </c>
      <c r="C730" s="22" t="s">
        <v>3282</v>
      </c>
      <c r="D730" s="22" t="s">
        <v>138</v>
      </c>
      <c r="E730" s="22" t="s">
        <v>139</v>
      </c>
      <c r="F730" s="22" t="s">
        <v>106</v>
      </c>
      <c r="G730" s="23" t="n">
        <v>45657</v>
      </c>
      <c r="H730" s="24" t="n">
        <f aca="false">IF(G730="","",ROUND((Config!$C$4-G730)/365.25,2))</f>
        <v>1.75</v>
      </c>
      <c r="I730" s="25" t="str">
        <f aca="false">IF(H730="","",IF(H730&lt;=1,"Tramo 1",IF(H730&lt;=3,"Tramo 2",IF(H730&lt;=5,"Tramo 3","Tramo 4"))))</f>
        <v>Tramo 2</v>
      </c>
      <c r="J730" s="22" t="s">
        <v>166</v>
      </c>
      <c r="K730" s="22"/>
      <c r="L730" s="22" t="s">
        <v>3283</v>
      </c>
      <c r="M730" s="26" t="s">
        <v>3284</v>
      </c>
      <c r="N730" s="22"/>
      <c r="O730" s="22" t="s">
        <v>63</v>
      </c>
      <c r="P730" s="25" t="str">
        <f aca="false">IF(OR(O730="",O730="Sin información"),"",IFERROR(INDEX(Listas!$B$2:$B$9,MATCH(O730,Listas!$A$2:$A$9,0)),""))</f>
        <v/>
      </c>
      <c r="Q730" s="25" t="str">
        <f aca="false">IF(OR(O730="",O730="Sin información"),"",IFERROR(INDEX(Listas!$C$2:$C$9,MATCH(O730,Listas!$A$2:$A$9,0)),""))</f>
        <v/>
      </c>
      <c r="R730" s="22"/>
      <c r="S730" s="22"/>
      <c r="T730" s="25" t="str">
        <f aca="false">IF(S730="","",IFERROR(INDEX(Empleadores!$B$2:$B$601,MATCH(S730,Empleadores!$A$2:$A$601,0)),"No encontrado"))</f>
        <v/>
      </c>
      <c r="U730" s="25" t="str">
        <f aca="false">IF(C730="","",IF(V730="","No",IF(Config!$C$4-V730&lt;=Config!$C$15,"Sí","No")))</f>
        <v>No</v>
      </c>
      <c r="V730" s="23"/>
      <c r="W730" s="22"/>
      <c r="X730" s="22"/>
      <c r="Y730" s="22"/>
      <c r="Z730" s="27"/>
      <c r="AA730" s="22"/>
      <c r="AB730" s="22"/>
    </row>
    <row r="731" customFormat="false" ht="15" hidden="false" customHeight="false" outlineLevel="0" collapsed="false">
      <c r="A731" s="22" t="n">
        <v>730</v>
      </c>
      <c r="B731" s="22" t="s">
        <v>3285</v>
      </c>
      <c r="C731" s="22" t="s">
        <v>3286</v>
      </c>
      <c r="D731" s="22" t="s">
        <v>138</v>
      </c>
      <c r="E731" s="22" t="s">
        <v>139</v>
      </c>
      <c r="F731" s="22" t="s">
        <v>106</v>
      </c>
      <c r="G731" s="23" t="n">
        <v>45657</v>
      </c>
      <c r="H731" s="24" t="n">
        <f aca="false">IF(G731="","",ROUND((Config!$C$4-G731)/365.25,2))</f>
        <v>1.75</v>
      </c>
      <c r="I731" s="25" t="str">
        <f aca="false">IF(H731="","",IF(H731&lt;=1,"Tramo 1",IF(H731&lt;=3,"Tramo 2",IF(H731&lt;=5,"Tramo 3","Tramo 4"))))</f>
        <v>Tramo 2</v>
      </c>
      <c r="J731" s="22" t="s">
        <v>140</v>
      </c>
      <c r="K731" s="22"/>
      <c r="L731" s="22" t="s">
        <v>3287</v>
      </c>
      <c r="M731" s="26" t="s">
        <v>3288</v>
      </c>
      <c r="N731" s="22" t="s">
        <v>3289</v>
      </c>
      <c r="O731" s="22" t="s">
        <v>81</v>
      </c>
      <c r="P731" s="25" t="str">
        <f aca="false">IF(OR(O731="",O731="Sin información"),"",IFERROR(INDEX(Listas!$B$2:$B$9,MATCH(O731,Listas!$A$2:$A$9,0)),""))</f>
        <v>Sí</v>
      </c>
      <c r="Q731" s="25" t="str">
        <f aca="false">IF(OR(O731="",O731="Sin información"),"",IFERROR(INDEX(Listas!$C$2:$C$9,MATCH(O731,Listas!$A$2:$A$9,0)),""))</f>
        <v>Sí</v>
      </c>
      <c r="R731" s="22" t="s">
        <v>3290</v>
      </c>
      <c r="S731" s="22" t="s">
        <v>3291</v>
      </c>
      <c r="T731" s="25" t="str">
        <f aca="false">IF(S731="","",IFERROR(INDEX(Empleadores!$B$2:$B$601,MATCH(S731,Empleadores!$A$2:$A$601,0)),"No encontrado"))</f>
        <v>P.S. Santa Rosa – Rocchacc</v>
      </c>
      <c r="U731" s="25" t="str">
        <f aca="false">IF(C731="","",IF(V731="","No",IF(Config!$C$4-V731&lt;=Config!$C$15,"Sí","No")))</f>
        <v>Sí</v>
      </c>
      <c r="V731" s="23" t="n">
        <v>45946</v>
      </c>
      <c r="W731" s="22"/>
      <c r="X731" s="22"/>
      <c r="Y731" s="22"/>
      <c r="Z731" s="27"/>
      <c r="AA731" s="22" t="s">
        <v>3292</v>
      </c>
      <c r="AB731" s="22" t="s">
        <v>2265</v>
      </c>
    </row>
    <row r="732" customFormat="false" ht="15" hidden="false" customHeight="false" outlineLevel="0" collapsed="false">
      <c r="A732" s="22" t="n">
        <v>731</v>
      </c>
      <c r="B732" s="22" t="s">
        <v>3293</v>
      </c>
      <c r="C732" s="22" t="s">
        <v>3294</v>
      </c>
      <c r="D732" s="22" t="s">
        <v>138</v>
      </c>
      <c r="E732" s="22" t="s">
        <v>139</v>
      </c>
      <c r="F732" s="22" t="s">
        <v>106</v>
      </c>
      <c r="G732" s="23" t="n">
        <v>45657</v>
      </c>
      <c r="H732" s="24" t="n">
        <f aca="false">IF(G732="","",ROUND((Config!$C$4-G732)/365.25,2))</f>
        <v>1.75</v>
      </c>
      <c r="I732" s="25" t="str">
        <f aca="false">IF(H732="","",IF(H732&lt;=1,"Tramo 1",IF(H732&lt;=3,"Tramo 2",IF(H732&lt;=5,"Tramo 3","Tramo 4"))))</f>
        <v>Tramo 2</v>
      </c>
      <c r="J732" s="22" t="s">
        <v>166</v>
      </c>
      <c r="K732" s="22"/>
      <c r="L732" s="22" t="s">
        <v>3295</v>
      </c>
      <c r="M732" s="26" t="s">
        <v>3296</v>
      </c>
      <c r="N732" s="22"/>
      <c r="O732" s="22" t="s">
        <v>63</v>
      </c>
      <c r="P732" s="25" t="str">
        <f aca="false">IF(OR(O732="",O732="Sin información"),"",IFERROR(INDEX(Listas!$B$2:$B$9,MATCH(O732,Listas!$A$2:$A$9,0)),""))</f>
        <v/>
      </c>
      <c r="Q732" s="25" t="str">
        <f aca="false">IF(OR(O732="",O732="Sin información"),"",IFERROR(INDEX(Listas!$C$2:$C$9,MATCH(O732,Listas!$A$2:$A$9,0)),""))</f>
        <v/>
      </c>
      <c r="R732" s="22"/>
      <c r="S732" s="22"/>
      <c r="T732" s="25" t="str">
        <f aca="false">IF(S732="","",IFERROR(INDEX(Empleadores!$B$2:$B$601,MATCH(S732,Empleadores!$A$2:$A$601,0)),"No encontrado"))</f>
        <v/>
      </c>
      <c r="U732" s="25" t="str">
        <f aca="false">IF(C732="","",IF(V732="","No",IF(Config!$C$4-V732&lt;=Config!$C$15,"Sí","No")))</f>
        <v>No</v>
      </c>
      <c r="V732" s="23"/>
      <c r="W732" s="22"/>
      <c r="X732" s="22"/>
      <c r="Y732" s="22"/>
      <c r="Z732" s="27"/>
      <c r="AA732" s="22"/>
      <c r="AB732" s="22"/>
    </row>
    <row r="733" customFormat="false" ht="15" hidden="false" customHeight="false" outlineLevel="0" collapsed="false">
      <c r="A733" s="22" t="n">
        <v>732</v>
      </c>
      <c r="B733" s="22" t="s">
        <v>3297</v>
      </c>
      <c r="C733" s="22" t="s">
        <v>3298</v>
      </c>
      <c r="D733" s="22" t="s">
        <v>138</v>
      </c>
      <c r="E733" s="22" t="s">
        <v>139</v>
      </c>
      <c r="F733" s="22" t="s">
        <v>106</v>
      </c>
      <c r="G733" s="23" t="n">
        <v>45657</v>
      </c>
      <c r="H733" s="24" t="n">
        <f aca="false">IF(G733="","",ROUND((Config!$C$4-G733)/365.25,2))</f>
        <v>1.75</v>
      </c>
      <c r="I733" s="25" t="str">
        <f aca="false">IF(H733="","",IF(H733&lt;=1,"Tramo 1",IF(H733&lt;=3,"Tramo 2",IF(H733&lt;=5,"Tramo 3","Tramo 4"))))</f>
        <v>Tramo 2</v>
      </c>
      <c r="J733" s="22" t="s">
        <v>2639</v>
      </c>
      <c r="K733" s="22"/>
      <c r="L733" s="22" t="s">
        <v>3299</v>
      </c>
      <c r="M733" s="26" t="s">
        <v>3300</v>
      </c>
      <c r="N733" s="22"/>
      <c r="O733" s="22" t="s">
        <v>63</v>
      </c>
      <c r="P733" s="25" t="str">
        <f aca="false">IF(OR(O733="",O733="Sin información"),"",IFERROR(INDEX(Listas!$B$2:$B$9,MATCH(O733,Listas!$A$2:$A$9,0)),""))</f>
        <v/>
      </c>
      <c r="Q733" s="25" t="str">
        <f aca="false">IF(OR(O733="",O733="Sin información"),"",IFERROR(INDEX(Listas!$C$2:$C$9,MATCH(O733,Listas!$A$2:$A$9,0)),""))</f>
        <v/>
      </c>
      <c r="R733" s="22"/>
      <c r="S733" s="22"/>
      <c r="T733" s="25" t="str">
        <f aca="false">IF(S733="","",IFERROR(INDEX(Empleadores!$B$2:$B$601,MATCH(S733,Empleadores!$A$2:$A$601,0)),"No encontrado"))</f>
        <v/>
      </c>
      <c r="U733" s="25" t="str">
        <f aca="false">IF(C733="","",IF(V733="","No",IF(Config!$C$4-V733&lt;=Config!$C$15,"Sí","No")))</f>
        <v>No</v>
      </c>
      <c r="V733" s="23"/>
      <c r="W733" s="22"/>
      <c r="X733" s="22"/>
      <c r="Y733" s="22"/>
      <c r="Z733" s="27"/>
      <c r="AA733" s="22"/>
      <c r="AB733" s="22"/>
    </row>
    <row r="734" customFormat="false" ht="15" hidden="false" customHeight="false" outlineLevel="0" collapsed="false">
      <c r="A734" s="22" t="n">
        <v>733</v>
      </c>
      <c r="B734" s="22" t="s">
        <v>3301</v>
      </c>
      <c r="C734" s="22" t="s">
        <v>3302</v>
      </c>
      <c r="D734" s="22" t="s">
        <v>138</v>
      </c>
      <c r="E734" s="22" t="s">
        <v>139</v>
      </c>
      <c r="F734" s="22" t="s">
        <v>106</v>
      </c>
      <c r="G734" s="23" t="n">
        <v>45657</v>
      </c>
      <c r="H734" s="24" t="n">
        <f aca="false">IF(G734="","",ROUND((Config!$C$4-G734)/365.25,2))</f>
        <v>1.75</v>
      </c>
      <c r="I734" s="25" t="str">
        <f aca="false">IF(H734="","",IF(H734&lt;=1,"Tramo 1",IF(H734&lt;=3,"Tramo 2",IF(H734&lt;=5,"Tramo 3","Tramo 4"))))</f>
        <v>Tramo 2</v>
      </c>
      <c r="J734" s="22" t="s">
        <v>166</v>
      </c>
      <c r="K734" s="22"/>
      <c r="L734" s="22" t="s">
        <v>3303</v>
      </c>
      <c r="M734" s="26" t="s">
        <v>3304</v>
      </c>
      <c r="N734" s="22"/>
      <c r="O734" s="22" t="s">
        <v>63</v>
      </c>
      <c r="P734" s="25" t="str">
        <f aca="false">IF(OR(O734="",O734="Sin información"),"",IFERROR(INDEX(Listas!$B$2:$B$9,MATCH(O734,Listas!$A$2:$A$9,0)),""))</f>
        <v/>
      </c>
      <c r="Q734" s="25" t="str">
        <f aca="false">IF(OR(O734="",O734="Sin información"),"",IFERROR(INDEX(Listas!$C$2:$C$9,MATCH(O734,Listas!$A$2:$A$9,0)),""))</f>
        <v/>
      </c>
      <c r="R734" s="22"/>
      <c r="S734" s="22"/>
      <c r="T734" s="25" t="str">
        <f aca="false">IF(S734="","",IFERROR(INDEX(Empleadores!$B$2:$B$601,MATCH(S734,Empleadores!$A$2:$A$601,0)),"No encontrado"))</f>
        <v/>
      </c>
      <c r="U734" s="25" t="str">
        <f aca="false">IF(C734="","",IF(V734="","No",IF(Config!$C$4-V734&lt;=Config!$C$15,"Sí","No")))</f>
        <v>No</v>
      </c>
      <c r="V734" s="23"/>
      <c r="W734" s="22"/>
      <c r="X734" s="22"/>
      <c r="Y734" s="22"/>
      <c r="Z734" s="27"/>
      <c r="AA734" s="22" t="s">
        <v>3305</v>
      </c>
      <c r="AB734" s="22" t="s">
        <v>1691</v>
      </c>
    </row>
    <row r="735" customFormat="false" ht="15" hidden="false" customHeight="false" outlineLevel="0" collapsed="false">
      <c r="A735" s="22" t="n">
        <v>734</v>
      </c>
      <c r="B735" s="22" t="s">
        <v>3306</v>
      </c>
      <c r="C735" s="22" t="s">
        <v>3307</v>
      </c>
      <c r="D735" s="22" t="s">
        <v>138</v>
      </c>
      <c r="E735" s="22" t="s">
        <v>139</v>
      </c>
      <c r="F735" s="22" t="s">
        <v>106</v>
      </c>
      <c r="G735" s="23" t="n">
        <v>45657</v>
      </c>
      <c r="H735" s="24" t="n">
        <f aca="false">IF(G735="","",ROUND((Config!$C$4-G735)/365.25,2))</f>
        <v>1.75</v>
      </c>
      <c r="I735" s="25" t="str">
        <f aca="false">IF(H735="","",IF(H735&lt;=1,"Tramo 1",IF(H735&lt;=3,"Tramo 2",IF(H735&lt;=5,"Tramo 3","Tramo 4"))))</f>
        <v>Tramo 2</v>
      </c>
      <c r="J735" s="22" t="s">
        <v>166</v>
      </c>
      <c r="K735" s="22"/>
      <c r="L735" s="22" t="s">
        <v>3308</v>
      </c>
      <c r="M735" s="26" t="s">
        <v>3309</v>
      </c>
      <c r="N735" s="22"/>
      <c r="O735" s="22" t="s">
        <v>63</v>
      </c>
      <c r="P735" s="25" t="str">
        <f aca="false">IF(OR(O735="",O735="Sin información"),"",IFERROR(INDEX(Listas!$B$2:$B$9,MATCH(O735,Listas!$A$2:$A$9,0)),""))</f>
        <v/>
      </c>
      <c r="Q735" s="25" t="str">
        <f aca="false">IF(OR(O735="",O735="Sin información"),"",IFERROR(INDEX(Listas!$C$2:$C$9,MATCH(O735,Listas!$A$2:$A$9,0)),""))</f>
        <v/>
      </c>
      <c r="R735" s="22"/>
      <c r="S735" s="22"/>
      <c r="T735" s="25" t="str">
        <f aca="false">IF(S735="","",IFERROR(INDEX(Empleadores!$B$2:$B$601,MATCH(S735,Empleadores!$A$2:$A$601,0)),"No encontrado"))</f>
        <v/>
      </c>
      <c r="U735" s="25" t="str">
        <f aca="false">IF(C735="","",IF(V735="","No",IF(Config!$C$4-V735&lt;=Config!$C$15,"Sí","No")))</f>
        <v>No</v>
      </c>
      <c r="V735" s="23"/>
      <c r="W735" s="22"/>
      <c r="X735" s="22"/>
      <c r="Y735" s="22"/>
      <c r="Z735" s="27"/>
      <c r="AA735" s="22"/>
      <c r="AB735" s="22"/>
    </row>
    <row r="736" customFormat="false" ht="15" hidden="false" customHeight="false" outlineLevel="0" collapsed="false">
      <c r="A736" s="22" t="n">
        <v>735</v>
      </c>
      <c r="B736" s="22" t="s">
        <v>3310</v>
      </c>
      <c r="C736" s="22" t="s">
        <v>3311</v>
      </c>
      <c r="D736" s="22" t="s">
        <v>149</v>
      </c>
      <c r="E736" s="22" t="s">
        <v>139</v>
      </c>
      <c r="F736" s="22" t="s">
        <v>106</v>
      </c>
      <c r="G736" s="23" t="n">
        <v>45657</v>
      </c>
      <c r="H736" s="24" t="n">
        <f aca="false">IF(G736="","",ROUND((Config!$C$4-G736)/365.25,2))</f>
        <v>1.75</v>
      </c>
      <c r="I736" s="25" t="str">
        <f aca="false">IF(H736="","",IF(H736&lt;=1,"Tramo 1",IF(H736&lt;=3,"Tramo 2",IF(H736&lt;=5,"Tramo 3","Tramo 4"))))</f>
        <v>Tramo 2</v>
      </c>
      <c r="J736" s="22" t="s">
        <v>166</v>
      </c>
      <c r="K736" s="22"/>
      <c r="L736" s="22" t="s">
        <v>3312</v>
      </c>
      <c r="M736" s="26" t="s">
        <v>3313</v>
      </c>
      <c r="N736" s="22"/>
      <c r="O736" s="22" t="s">
        <v>63</v>
      </c>
      <c r="P736" s="25" t="str">
        <f aca="false">IF(OR(O736="",O736="Sin información"),"",IFERROR(INDEX(Listas!$B$2:$B$9,MATCH(O736,Listas!$A$2:$A$9,0)),""))</f>
        <v/>
      </c>
      <c r="Q736" s="25" t="str">
        <f aca="false">IF(OR(O736="",O736="Sin información"),"",IFERROR(INDEX(Listas!$C$2:$C$9,MATCH(O736,Listas!$A$2:$A$9,0)),""))</f>
        <v/>
      </c>
      <c r="R736" s="22"/>
      <c r="S736" s="22"/>
      <c r="T736" s="25" t="str">
        <f aca="false">IF(S736="","",IFERROR(INDEX(Empleadores!$B$2:$B$601,MATCH(S736,Empleadores!$A$2:$A$601,0)),"No encontrado"))</f>
        <v/>
      </c>
      <c r="U736" s="25" t="str">
        <f aca="false">IF(C736="","",IF(V736="","No",IF(Config!$C$4-V736&lt;=Config!$C$15,"Sí","No")))</f>
        <v>No</v>
      </c>
      <c r="V736" s="23"/>
      <c r="W736" s="22"/>
      <c r="X736" s="22"/>
      <c r="Y736" s="22"/>
      <c r="Z736" s="27"/>
      <c r="AA736" s="22"/>
      <c r="AB736" s="22"/>
    </row>
    <row r="737" customFormat="false" ht="15" hidden="false" customHeight="false" outlineLevel="0" collapsed="false">
      <c r="A737" s="22" t="n">
        <v>736</v>
      </c>
      <c r="B737" s="22" t="s">
        <v>3314</v>
      </c>
      <c r="C737" s="22" t="s">
        <v>3315</v>
      </c>
      <c r="D737" s="22" t="s">
        <v>138</v>
      </c>
      <c r="E737" s="22" t="s">
        <v>139</v>
      </c>
      <c r="F737" s="22" t="s">
        <v>106</v>
      </c>
      <c r="G737" s="23" t="n">
        <v>45657</v>
      </c>
      <c r="H737" s="24" t="n">
        <f aca="false">IF(G737="","",ROUND((Config!$C$4-G737)/365.25,2))</f>
        <v>1.75</v>
      </c>
      <c r="I737" s="25" t="str">
        <f aca="false">IF(H737="","",IF(H737&lt;=1,"Tramo 1",IF(H737&lt;=3,"Tramo 2",IF(H737&lt;=5,"Tramo 3","Tramo 4"))))</f>
        <v>Tramo 2</v>
      </c>
      <c r="J737" s="22" t="s">
        <v>140</v>
      </c>
      <c r="K737" s="22"/>
      <c r="L737" s="22" t="s">
        <v>3316</v>
      </c>
      <c r="M737" s="26" t="s">
        <v>3317</v>
      </c>
      <c r="N737" s="22"/>
      <c r="O737" s="22" t="s">
        <v>63</v>
      </c>
      <c r="P737" s="25" t="str">
        <f aca="false">IF(OR(O737="",O737="Sin información"),"",IFERROR(INDEX(Listas!$B$2:$B$9,MATCH(O737,Listas!$A$2:$A$9,0)),""))</f>
        <v/>
      </c>
      <c r="Q737" s="25" t="str">
        <f aca="false">IF(OR(O737="",O737="Sin información"),"",IFERROR(INDEX(Listas!$C$2:$C$9,MATCH(O737,Listas!$A$2:$A$9,0)),""))</f>
        <v/>
      </c>
      <c r="R737" s="22"/>
      <c r="S737" s="22"/>
      <c r="T737" s="25" t="str">
        <f aca="false">IF(S737="","",IFERROR(INDEX(Empleadores!$B$2:$B$601,MATCH(S737,Empleadores!$A$2:$A$601,0)),"No encontrado"))</f>
        <v/>
      </c>
      <c r="U737" s="25" t="str">
        <f aca="false">IF(C737="","",IF(V737="","No",IF(Config!$C$4-V737&lt;=Config!$C$15,"Sí","No")))</f>
        <v>No</v>
      </c>
      <c r="V737" s="23"/>
      <c r="W737" s="22"/>
      <c r="X737" s="22"/>
      <c r="Y737" s="22"/>
      <c r="Z737" s="27"/>
      <c r="AA737" s="22"/>
      <c r="AB737" s="22"/>
    </row>
    <row r="738" customFormat="false" ht="15" hidden="false" customHeight="false" outlineLevel="0" collapsed="false">
      <c r="A738" s="22" t="n">
        <v>737</v>
      </c>
      <c r="B738" s="22" t="s">
        <v>3318</v>
      </c>
      <c r="C738" s="22" t="s">
        <v>3319</v>
      </c>
      <c r="D738" s="22" t="s">
        <v>138</v>
      </c>
      <c r="E738" s="22" t="s">
        <v>139</v>
      </c>
      <c r="F738" s="22" t="s">
        <v>106</v>
      </c>
      <c r="G738" s="23" t="n">
        <v>45657</v>
      </c>
      <c r="H738" s="24" t="n">
        <f aca="false">IF(G738="","",ROUND((Config!$C$4-G738)/365.25,2))</f>
        <v>1.75</v>
      </c>
      <c r="I738" s="25" t="str">
        <f aca="false">IF(H738="","",IF(H738&lt;=1,"Tramo 1",IF(H738&lt;=3,"Tramo 2",IF(H738&lt;=5,"Tramo 3","Tramo 4"))))</f>
        <v>Tramo 2</v>
      </c>
      <c r="J738" s="22" t="s">
        <v>166</v>
      </c>
      <c r="K738" s="22"/>
      <c r="L738" s="22" t="s">
        <v>2863</v>
      </c>
      <c r="M738" s="26" t="s">
        <v>3320</v>
      </c>
      <c r="N738" s="22"/>
      <c r="O738" s="22" t="s">
        <v>63</v>
      </c>
      <c r="P738" s="25" t="str">
        <f aca="false">IF(OR(O738="",O738="Sin información"),"",IFERROR(INDEX(Listas!$B$2:$B$9,MATCH(O738,Listas!$A$2:$A$9,0)),""))</f>
        <v/>
      </c>
      <c r="Q738" s="25" t="str">
        <f aca="false">IF(OR(O738="",O738="Sin información"),"",IFERROR(INDEX(Listas!$C$2:$C$9,MATCH(O738,Listas!$A$2:$A$9,0)),""))</f>
        <v/>
      </c>
      <c r="R738" s="22"/>
      <c r="S738" s="22"/>
      <c r="T738" s="25" t="str">
        <f aca="false">IF(S738="","",IFERROR(INDEX(Empleadores!$B$2:$B$601,MATCH(S738,Empleadores!$A$2:$A$601,0)),"No encontrado"))</f>
        <v/>
      </c>
      <c r="U738" s="25" t="str">
        <f aca="false">IF(C738="","",IF(V738="","No",IF(Config!$C$4-V738&lt;=Config!$C$15,"Sí","No")))</f>
        <v>No</v>
      </c>
      <c r="V738" s="23"/>
      <c r="W738" s="22"/>
      <c r="X738" s="22"/>
      <c r="Y738" s="22"/>
      <c r="Z738" s="27"/>
      <c r="AA738" s="22"/>
      <c r="AB738" s="22"/>
    </row>
    <row r="739" customFormat="false" ht="15" hidden="false" customHeight="false" outlineLevel="0" collapsed="false">
      <c r="A739" s="22" t="n">
        <v>738</v>
      </c>
      <c r="B739" s="22" t="s">
        <v>3321</v>
      </c>
      <c r="C739" s="22" t="s">
        <v>3322</v>
      </c>
      <c r="D739" s="22" t="s">
        <v>138</v>
      </c>
      <c r="E739" s="22" t="s">
        <v>139</v>
      </c>
      <c r="F739" s="22" t="s">
        <v>106</v>
      </c>
      <c r="G739" s="23" t="n">
        <v>45657</v>
      </c>
      <c r="H739" s="24" t="n">
        <f aca="false">IF(G739="","",ROUND((Config!$C$4-G739)/365.25,2))</f>
        <v>1.75</v>
      </c>
      <c r="I739" s="25" t="str">
        <f aca="false">IF(H739="","",IF(H739&lt;=1,"Tramo 1",IF(H739&lt;=3,"Tramo 2",IF(H739&lt;=5,"Tramo 3","Tramo 4"))))</f>
        <v>Tramo 2</v>
      </c>
      <c r="J739" s="22" t="s">
        <v>166</v>
      </c>
      <c r="K739" s="22"/>
      <c r="L739" s="22" t="s">
        <v>3323</v>
      </c>
      <c r="M739" s="26" t="s">
        <v>3324</v>
      </c>
      <c r="N739" s="22"/>
      <c r="O739" s="22" t="s">
        <v>63</v>
      </c>
      <c r="P739" s="25" t="str">
        <f aca="false">IF(OR(O739="",O739="Sin información"),"",IFERROR(INDEX(Listas!$B$2:$B$9,MATCH(O739,Listas!$A$2:$A$9,0)),""))</f>
        <v/>
      </c>
      <c r="Q739" s="25" t="str">
        <f aca="false">IF(OR(O739="",O739="Sin información"),"",IFERROR(INDEX(Listas!$C$2:$C$9,MATCH(O739,Listas!$A$2:$A$9,0)),""))</f>
        <v/>
      </c>
      <c r="R739" s="22"/>
      <c r="S739" s="22"/>
      <c r="T739" s="25" t="str">
        <f aca="false">IF(S739="","",IFERROR(INDEX(Empleadores!$B$2:$B$601,MATCH(S739,Empleadores!$A$2:$A$601,0)),"No encontrado"))</f>
        <v/>
      </c>
      <c r="U739" s="25" t="str">
        <f aca="false">IF(C739="","",IF(V739="","No",IF(Config!$C$4-V739&lt;=Config!$C$15,"Sí","No")))</f>
        <v>No</v>
      </c>
      <c r="V739" s="23"/>
      <c r="W739" s="22"/>
      <c r="X739" s="22"/>
      <c r="Y739" s="22"/>
      <c r="Z739" s="27"/>
      <c r="AA739" s="22"/>
      <c r="AB739" s="22"/>
    </row>
    <row r="740" customFormat="false" ht="15" hidden="false" customHeight="false" outlineLevel="0" collapsed="false">
      <c r="A740" s="22" t="n">
        <v>739</v>
      </c>
      <c r="B740" s="22" t="s">
        <v>3325</v>
      </c>
      <c r="C740" s="22" t="s">
        <v>3326</v>
      </c>
      <c r="D740" s="22" t="s">
        <v>138</v>
      </c>
      <c r="E740" s="22" t="s">
        <v>139</v>
      </c>
      <c r="F740" s="22" t="s">
        <v>106</v>
      </c>
      <c r="G740" s="23" t="n">
        <v>45657</v>
      </c>
      <c r="H740" s="24" t="n">
        <f aca="false">IF(G740="","",ROUND((Config!$C$4-G740)/365.25,2))</f>
        <v>1.75</v>
      </c>
      <c r="I740" s="25" t="str">
        <f aca="false">IF(H740="","",IF(H740&lt;=1,"Tramo 1",IF(H740&lt;=3,"Tramo 2",IF(H740&lt;=5,"Tramo 3","Tramo 4"))))</f>
        <v>Tramo 2</v>
      </c>
      <c r="J740" s="22" t="s">
        <v>166</v>
      </c>
      <c r="K740" s="22"/>
      <c r="L740" s="22" t="s">
        <v>3327</v>
      </c>
      <c r="M740" s="26" t="s">
        <v>3328</v>
      </c>
      <c r="N740" s="22"/>
      <c r="O740" s="22" t="s">
        <v>63</v>
      </c>
      <c r="P740" s="25" t="str">
        <f aca="false">IF(OR(O740="",O740="Sin información"),"",IFERROR(INDEX(Listas!$B$2:$B$9,MATCH(O740,Listas!$A$2:$A$9,0)),""))</f>
        <v/>
      </c>
      <c r="Q740" s="25" t="str">
        <f aca="false">IF(OR(O740="",O740="Sin información"),"",IFERROR(INDEX(Listas!$C$2:$C$9,MATCH(O740,Listas!$A$2:$A$9,0)),""))</f>
        <v/>
      </c>
      <c r="R740" s="22"/>
      <c r="S740" s="22"/>
      <c r="T740" s="25" t="str">
        <f aca="false">IF(S740="","",IFERROR(INDEX(Empleadores!$B$2:$B$601,MATCH(S740,Empleadores!$A$2:$A$601,0)),"No encontrado"))</f>
        <v/>
      </c>
      <c r="U740" s="25" t="str">
        <f aca="false">IF(C740="","",IF(V740="","No",IF(Config!$C$4-V740&lt;=Config!$C$15,"Sí","No")))</f>
        <v>No</v>
      </c>
      <c r="V740" s="23"/>
      <c r="W740" s="22"/>
      <c r="X740" s="22"/>
      <c r="Y740" s="22"/>
      <c r="Z740" s="27"/>
      <c r="AA740" s="22"/>
      <c r="AB740" s="22"/>
    </row>
    <row r="741" customFormat="false" ht="15" hidden="false" customHeight="false" outlineLevel="0" collapsed="false">
      <c r="A741" s="22" t="n">
        <v>740</v>
      </c>
      <c r="B741" s="22" t="s">
        <v>3329</v>
      </c>
      <c r="C741" s="22" t="s">
        <v>3330</v>
      </c>
      <c r="D741" s="22" t="s">
        <v>138</v>
      </c>
      <c r="E741" s="22" t="s">
        <v>139</v>
      </c>
      <c r="F741" s="22" t="s">
        <v>106</v>
      </c>
      <c r="G741" s="23" t="n">
        <v>45657</v>
      </c>
      <c r="H741" s="24" t="n">
        <f aca="false">IF(G741="","",ROUND((Config!$C$4-G741)/365.25,2))</f>
        <v>1.75</v>
      </c>
      <c r="I741" s="25" t="str">
        <f aca="false">IF(H741="","",IF(H741&lt;=1,"Tramo 1",IF(H741&lt;=3,"Tramo 2",IF(H741&lt;=5,"Tramo 3","Tramo 4"))))</f>
        <v>Tramo 2</v>
      </c>
      <c r="J741" s="22" t="s">
        <v>166</v>
      </c>
      <c r="K741" s="22"/>
      <c r="L741" s="22" t="s">
        <v>3331</v>
      </c>
      <c r="M741" s="26" t="s">
        <v>3332</v>
      </c>
      <c r="N741" s="22"/>
      <c r="O741" s="22" t="s">
        <v>63</v>
      </c>
      <c r="P741" s="25" t="str">
        <f aca="false">IF(OR(O741="",O741="Sin información"),"",IFERROR(INDEX(Listas!$B$2:$B$9,MATCH(O741,Listas!$A$2:$A$9,0)),""))</f>
        <v/>
      </c>
      <c r="Q741" s="25" t="str">
        <f aca="false">IF(OR(O741="",O741="Sin información"),"",IFERROR(INDEX(Listas!$C$2:$C$9,MATCH(O741,Listas!$A$2:$A$9,0)),""))</f>
        <v/>
      </c>
      <c r="R741" s="22"/>
      <c r="S741" s="22"/>
      <c r="T741" s="25" t="str">
        <f aca="false">IF(S741="","",IFERROR(INDEX(Empleadores!$B$2:$B$601,MATCH(S741,Empleadores!$A$2:$A$601,0)),"No encontrado"))</f>
        <v/>
      </c>
      <c r="U741" s="25" t="str">
        <f aca="false">IF(C741="","",IF(V741="","No",IF(Config!$C$4-V741&lt;=Config!$C$15,"Sí","No")))</f>
        <v>No</v>
      </c>
      <c r="V741" s="23"/>
      <c r="W741" s="22"/>
      <c r="X741" s="22"/>
      <c r="Y741" s="22"/>
      <c r="Z741" s="27"/>
      <c r="AA741" s="22"/>
      <c r="AB741" s="22"/>
    </row>
    <row r="742" customFormat="false" ht="15" hidden="false" customHeight="false" outlineLevel="0" collapsed="false">
      <c r="A742" s="22" t="n">
        <v>741</v>
      </c>
      <c r="B742" s="22" t="s">
        <v>3333</v>
      </c>
      <c r="C742" s="22" t="s">
        <v>3334</v>
      </c>
      <c r="D742" s="22" t="s">
        <v>138</v>
      </c>
      <c r="E742" s="22" t="s">
        <v>139</v>
      </c>
      <c r="F742" s="22" t="s">
        <v>106</v>
      </c>
      <c r="G742" s="23" t="n">
        <v>45657</v>
      </c>
      <c r="H742" s="24" t="n">
        <f aca="false">IF(G742="","",ROUND((Config!$C$4-G742)/365.25,2))</f>
        <v>1.75</v>
      </c>
      <c r="I742" s="25" t="str">
        <f aca="false">IF(H742="","",IF(H742&lt;=1,"Tramo 1",IF(H742&lt;=3,"Tramo 2",IF(H742&lt;=5,"Tramo 3","Tramo 4"))))</f>
        <v>Tramo 2</v>
      </c>
      <c r="J742" s="22" t="s">
        <v>166</v>
      </c>
      <c r="K742" s="22"/>
      <c r="L742" s="22" t="s">
        <v>3335</v>
      </c>
      <c r="M742" s="26" t="s">
        <v>3336</v>
      </c>
      <c r="N742" s="22"/>
      <c r="O742" s="22" t="s">
        <v>63</v>
      </c>
      <c r="P742" s="25" t="str">
        <f aca="false">IF(OR(O742="",O742="Sin información"),"",IFERROR(INDEX(Listas!$B$2:$B$9,MATCH(O742,Listas!$A$2:$A$9,0)),""))</f>
        <v/>
      </c>
      <c r="Q742" s="25" t="str">
        <f aca="false">IF(OR(O742="",O742="Sin información"),"",IFERROR(INDEX(Listas!$C$2:$C$9,MATCH(O742,Listas!$A$2:$A$9,0)),""))</f>
        <v/>
      </c>
      <c r="R742" s="22"/>
      <c r="S742" s="22"/>
      <c r="T742" s="25" t="str">
        <f aca="false">IF(S742="","",IFERROR(INDEX(Empleadores!$B$2:$B$601,MATCH(S742,Empleadores!$A$2:$A$601,0)),"No encontrado"))</f>
        <v/>
      </c>
      <c r="U742" s="25" t="str">
        <f aca="false">IF(C742="","",IF(V742="","No",IF(Config!$C$4-V742&lt;=Config!$C$15,"Sí","No")))</f>
        <v>No</v>
      </c>
      <c r="V742" s="23"/>
      <c r="W742" s="22"/>
      <c r="X742" s="22"/>
      <c r="Y742" s="22"/>
      <c r="Z742" s="27"/>
      <c r="AA742" s="22"/>
      <c r="AB742" s="22"/>
    </row>
    <row r="743" customFormat="false" ht="15" hidden="false" customHeight="false" outlineLevel="0" collapsed="false">
      <c r="A743" s="22" t="n">
        <v>742</v>
      </c>
      <c r="B743" s="22" t="s">
        <v>3337</v>
      </c>
      <c r="C743" s="22" t="s">
        <v>3338</v>
      </c>
      <c r="D743" s="22" t="s">
        <v>149</v>
      </c>
      <c r="E743" s="22" t="s">
        <v>139</v>
      </c>
      <c r="F743" s="22" t="s">
        <v>106</v>
      </c>
      <c r="G743" s="23" t="n">
        <v>45657</v>
      </c>
      <c r="H743" s="24" t="n">
        <f aca="false">IF(G743="","",ROUND((Config!$C$4-G743)/365.25,2))</f>
        <v>1.75</v>
      </c>
      <c r="I743" s="25" t="str">
        <f aca="false">IF(H743="","",IF(H743&lt;=1,"Tramo 1",IF(H743&lt;=3,"Tramo 2",IF(H743&lt;=5,"Tramo 3","Tramo 4"))))</f>
        <v>Tramo 2</v>
      </c>
      <c r="J743" s="22" t="s">
        <v>140</v>
      </c>
      <c r="K743" s="22"/>
      <c r="L743" s="22" t="s">
        <v>3339</v>
      </c>
      <c r="M743" s="26" t="s">
        <v>3340</v>
      </c>
      <c r="N743" s="22"/>
      <c r="O743" s="22" t="s">
        <v>63</v>
      </c>
      <c r="P743" s="25" t="str">
        <f aca="false">IF(OR(O743="",O743="Sin información"),"",IFERROR(INDEX(Listas!$B$2:$B$9,MATCH(O743,Listas!$A$2:$A$9,0)),""))</f>
        <v/>
      </c>
      <c r="Q743" s="25" t="str">
        <f aca="false">IF(OR(O743="",O743="Sin información"),"",IFERROR(INDEX(Listas!$C$2:$C$9,MATCH(O743,Listas!$A$2:$A$9,0)),""))</f>
        <v/>
      </c>
      <c r="R743" s="22"/>
      <c r="S743" s="22"/>
      <c r="T743" s="25" t="str">
        <f aca="false">IF(S743="","",IFERROR(INDEX(Empleadores!$B$2:$B$601,MATCH(S743,Empleadores!$A$2:$A$601,0)),"No encontrado"))</f>
        <v/>
      </c>
      <c r="U743" s="25" t="str">
        <f aca="false">IF(C743="","",IF(V743="","No",IF(Config!$C$4-V743&lt;=Config!$C$15,"Sí","No")))</f>
        <v>No</v>
      </c>
      <c r="V743" s="23"/>
      <c r="W743" s="22"/>
      <c r="X743" s="22"/>
      <c r="Y743" s="22"/>
      <c r="Z743" s="27"/>
      <c r="AA743" s="22"/>
      <c r="AB743" s="22"/>
    </row>
    <row r="744" customFormat="false" ht="15" hidden="false" customHeight="false" outlineLevel="0" collapsed="false">
      <c r="A744" s="22" t="n">
        <v>743</v>
      </c>
      <c r="B744" s="22" t="s">
        <v>3341</v>
      </c>
      <c r="C744" s="22" t="s">
        <v>3342</v>
      </c>
      <c r="D744" s="22" t="s">
        <v>149</v>
      </c>
      <c r="E744" s="22" t="s">
        <v>139</v>
      </c>
      <c r="F744" s="22" t="s">
        <v>106</v>
      </c>
      <c r="G744" s="23" t="n">
        <v>45657</v>
      </c>
      <c r="H744" s="24" t="n">
        <f aca="false">IF(G744="","",ROUND((Config!$C$4-G744)/365.25,2))</f>
        <v>1.75</v>
      </c>
      <c r="I744" s="25" t="str">
        <f aca="false">IF(H744="","",IF(H744&lt;=1,"Tramo 1",IF(H744&lt;=3,"Tramo 2",IF(H744&lt;=5,"Tramo 3","Tramo 4"))))</f>
        <v>Tramo 2</v>
      </c>
      <c r="J744" s="22" t="s">
        <v>166</v>
      </c>
      <c r="K744" s="22"/>
      <c r="L744" s="22" t="s">
        <v>3343</v>
      </c>
      <c r="M744" s="26" t="s">
        <v>3344</v>
      </c>
      <c r="N744" s="22"/>
      <c r="O744" s="22" t="s">
        <v>90</v>
      </c>
      <c r="P744" s="25" t="str">
        <f aca="false">IF(OR(O744="",O744="Sin información"),"",IFERROR(INDEX(Listas!$B$2:$B$9,MATCH(O744,Listas!$A$2:$A$9,0)),""))</f>
        <v>No</v>
      </c>
      <c r="Q744" s="25" t="str">
        <f aca="false">IF(OR(O744="",O744="Sin información"),"",IFERROR(INDEX(Listas!$C$2:$C$9,MATCH(O744,Listas!$A$2:$A$9,0)),""))</f>
        <v>No</v>
      </c>
      <c r="R744" s="22"/>
      <c r="S744" s="22"/>
      <c r="T744" s="25" t="str">
        <f aca="false">IF(S744="","",IFERROR(INDEX(Empleadores!$B$2:$B$601,MATCH(S744,Empleadores!$A$2:$A$601,0)),"No encontrado"))</f>
        <v/>
      </c>
      <c r="U744" s="25" t="str">
        <f aca="false">IF(C744="","",IF(V744="","No",IF(Config!$C$4-V744&lt;=Config!$C$15,"Sí","No")))</f>
        <v>Sí</v>
      </c>
      <c r="V744" s="23" t="n">
        <v>45946</v>
      </c>
      <c r="W744" s="22"/>
      <c r="X744" s="22"/>
      <c r="Y744" s="22"/>
      <c r="Z744" s="27" t="s">
        <v>2250</v>
      </c>
      <c r="AA744" s="22" t="s">
        <v>2518</v>
      </c>
      <c r="AB744" s="22" t="s">
        <v>2265</v>
      </c>
    </row>
    <row r="745" customFormat="false" ht="15" hidden="false" customHeight="false" outlineLevel="0" collapsed="false">
      <c r="A745" s="22" t="n">
        <v>744</v>
      </c>
      <c r="B745" s="22" t="s">
        <v>3345</v>
      </c>
      <c r="C745" s="22" t="s">
        <v>3346</v>
      </c>
      <c r="D745" s="22" t="s">
        <v>138</v>
      </c>
      <c r="E745" s="22" t="s">
        <v>139</v>
      </c>
      <c r="F745" s="22" t="s">
        <v>106</v>
      </c>
      <c r="G745" s="23" t="n">
        <v>45657</v>
      </c>
      <c r="H745" s="24" t="n">
        <f aca="false">IF(G745="","",ROUND((Config!$C$4-G745)/365.25,2))</f>
        <v>1.75</v>
      </c>
      <c r="I745" s="25" t="str">
        <f aca="false">IF(H745="","",IF(H745&lt;=1,"Tramo 1",IF(H745&lt;=3,"Tramo 2",IF(H745&lt;=5,"Tramo 3","Tramo 4"))))</f>
        <v>Tramo 2</v>
      </c>
      <c r="J745" s="22" t="s">
        <v>166</v>
      </c>
      <c r="K745" s="22"/>
      <c r="L745" s="22" t="s">
        <v>3347</v>
      </c>
      <c r="M745" s="26" t="s">
        <v>3348</v>
      </c>
      <c r="N745" s="22"/>
      <c r="O745" s="22" t="s">
        <v>63</v>
      </c>
      <c r="P745" s="25" t="str">
        <f aca="false">IF(OR(O745="",O745="Sin información"),"",IFERROR(INDEX(Listas!$B$2:$B$9,MATCH(O745,Listas!$A$2:$A$9,0)),""))</f>
        <v/>
      </c>
      <c r="Q745" s="25" t="str">
        <f aca="false">IF(OR(O745="",O745="Sin información"),"",IFERROR(INDEX(Listas!$C$2:$C$9,MATCH(O745,Listas!$A$2:$A$9,0)),""))</f>
        <v/>
      </c>
      <c r="R745" s="22"/>
      <c r="S745" s="22"/>
      <c r="T745" s="25" t="str">
        <f aca="false">IF(S745="","",IFERROR(INDEX(Empleadores!$B$2:$B$601,MATCH(S745,Empleadores!$A$2:$A$601,0)),"No encontrado"))</f>
        <v/>
      </c>
      <c r="U745" s="25" t="str">
        <f aca="false">IF(C745="","",IF(V745="","No",IF(Config!$C$4-V745&lt;=Config!$C$15,"Sí","No")))</f>
        <v>No</v>
      </c>
      <c r="V745" s="23"/>
      <c r="W745" s="22"/>
      <c r="X745" s="22"/>
      <c r="Y745" s="22"/>
      <c r="Z745" s="27"/>
      <c r="AA745" s="22"/>
      <c r="AB745" s="22"/>
    </row>
    <row r="746" customFormat="false" ht="15" hidden="false" customHeight="false" outlineLevel="0" collapsed="false">
      <c r="A746" s="22" t="n">
        <v>745</v>
      </c>
      <c r="B746" s="22" t="s">
        <v>3349</v>
      </c>
      <c r="C746" s="22" t="s">
        <v>3350</v>
      </c>
      <c r="D746" s="22" t="s">
        <v>149</v>
      </c>
      <c r="E746" s="22" t="s">
        <v>139</v>
      </c>
      <c r="F746" s="22" t="s">
        <v>106</v>
      </c>
      <c r="G746" s="23" t="n">
        <v>45657</v>
      </c>
      <c r="H746" s="24" t="n">
        <f aca="false">IF(G746="","",ROUND((Config!$C$4-G746)/365.25,2))</f>
        <v>1.75</v>
      </c>
      <c r="I746" s="25" t="str">
        <f aca="false">IF(H746="","",IF(H746&lt;=1,"Tramo 1",IF(H746&lt;=3,"Tramo 2",IF(H746&lt;=5,"Tramo 3","Tramo 4"))))</f>
        <v>Tramo 2</v>
      </c>
      <c r="J746" s="22" t="s">
        <v>166</v>
      </c>
      <c r="K746" s="22"/>
      <c r="L746" s="22" t="s">
        <v>3351</v>
      </c>
      <c r="M746" s="26" t="s">
        <v>3352</v>
      </c>
      <c r="N746" s="22"/>
      <c r="O746" s="22" t="s">
        <v>63</v>
      </c>
      <c r="P746" s="25" t="str">
        <f aca="false">IF(OR(O746="",O746="Sin información"),"",IFERROR(INDEX(Listas!$B$2:$B$9,MATCH(O746,Listas!$A$2:$A$9,0)),""))</f>
        <v/>
      </c>
      <c r="Q746" s="25" t="str">
        <f aca="false">IF(OR(O746="",O746="Sin información"),"",IFERROR(INDEX(Listas!$C$2:$C$9,MATCH(O746,Listas!$A$2:$A$9,0)),""))</f>
        <v/>
      </c>
      <c r="R746" s="22"/>
      <c r="S746" s="22"/>
      <c r="T746" s="25" t="str">
        <f aca="false">IF(S746="","",IFERROR(INDEX(Empleadores!$B$2:$B$601,MATCH(S746,Empleadores!$A$2:$A$601,0)),"No encontrado"))</f>
        <v/>
      </c>
      <c r="U746" s="25" t="str">
        <f aca="false">IF(C746="","",IF(V746="","No",IF(Config!$C$4-V746&lt;=Config!$C$15,"Sí","No")))</f>
        <v>No</v>
      </c>
      <c r="V746" s="23"/>
      <c r="W746" s="22"/>
      <c r="X746" s="22"/>
      <c r="Y746" s="22"/>
      <c r="Z746" s="27"/>
      <c r="AA746" s="22" t="s">
        <v>3353</v>
      </c>
      <c r="AB746" s="22" t="s">
        <v>1691</v>
      </c>
    </row>
    <row r="747" customFormat="false" ht="15" hidden="false" customHeight="false" outlineLevel="0" collapsed="false">
      <c r="A747" s="22" t="n">
        <v>746</v>
      </c>
      <c r="B747" s="22" t="s">
        <v>3354</v>
      </c>
      <c r="C747" s="22" t="s">
        <v>3355</v>
      </c>
      <c r="D747" s="22" t="s">
        <v>138</v>
      </c>
      <c r="E747" s="22" t="s">
        <v>139</v>
      </c>
      <c r="F747" s="22" t="s">
        <v>106</v>
      </c>
      <c r="G747" s="23" t="n">
        <v>45657</v>
      </c>
      <c r="H747" s="24" t="n">
        <f aca="false">IF(G747="","",ROUND((Config!$C$4-G747)/365.25,2))</f>
        <v>1.75</v>
      </c>
      <c r="I747" s="25" t="str">
        <f aca="false">IF(H747="","",IF(H747&lt;=1,"Tramo 1",IF(H747&lt;=3,"Tramo 2",IF(H747&lt;=5,"Tramo 3","Tramo 4"))))</f>
        <v>Tramo 2</v>
      </c>
      <c r="J747" s="22" t="s">
        <v>166</v>
      </c>
      <c r="K747" s="22"/>
      <c r="L747" s="22" t="s">
        <v>3356</v>
      </c>
      <c r="M747" s="26" t="s">
        <v>3357</v>
      </c>
      <c r="N747" s="22"/>
      <c r="O747" s="22" t="s">
        <v>63</v>
      </c>
      <c r="P747" s="25" t="str">
        <f aca="false">IF(OR(O747="",O747="Sin información"),"",IFERROR(INDEX(Listas!$B$2:$B$9,MATCH(O747,Listas!$A$2:$A$9,0)),""))</f>
        <v/>
      </c>
      <c r="Q747" s="25" t="str">
        <f aca="false">IF(OR(O747="",O747="Sin información"),"",IFERROR(INDEX(Listas!$C$2:$C$9,MATCH(O747,Listas!$A$2:$A$9,0)),""))</f>
        <v/>
      </c>
      <c r="R747" s="22"/>
      <c r="S747" s="22"/>
      <c r="T747" s="25" t="str">
        <f aca="false">IF(S747="","",IFERROR(INDEX(Empleadores!$B$2:$B$601,MATCH(S747,Empleadores!$A$2:$A$601,0)),"No encontrado"))</f>
        <v/>
      </c>
      <c r="U747" s="25" t="str">
        <f aca="false">IF(C747="","",IF(V747="","No",IF(Config!$C$4-V747&lt;=Config!$C$15,"Sí","No")))</f>
        <v>No</v>
      </c>
      <c r="V747" s="23"/>
      <c r="W747" s="22"/>
      <c r="X747" s="22"/>
      <c r="Y747" s="22"/>
      <c r="Z747" s="27"/>
      <c r="AA747" s="22"/>
      <c r="AB747" s="22"/>
    </row>
    <row r="748" customFormat="false" ht="15" hidden="false" customHeight="false" outlineLevel="0" collapsed="false">
      <c r="A748" s="22" t="n">
        <v>747</v>
      </c>
      <c r="B748" s="22" t="s">
        <v>3358</v>
      </c>
      <c r="C748" s="22" t="s">
        <v>3359</v>
      </c>
      <c r="D748" s="22" t="s">
        <v>149</v>
      </c>
      <c r="E748" s="22" t="s">
        <v>139</v>
      </c>
      <c r="F748" s="22" t="s">
        <v>106</v>
      </c>
      <c r="G748" s="23" t="n">
        <v>45657</v>
      </c>
      <c r="H748" s="24" t="n">
        <f aca="false">IF(G748="","",ROUND((Config!$C$4-G748)/365.25,2))</f>
        <v>1.75</v>
      </c>
      <c r="I748" s="25" t="str">
        <f aca="false">IF(H748="","",IF(H748&lt;=1,"Tramo 1",IF(H748&lt;=3,"Tramo 2",IF(H748&lt;=5,"Tramo 3","Tramo 4"))))</f>
        <v>Tramo 2</v>
      </c>
      <c r="J748" s="22" t="s">
        <v>166</v>
      </c>
      <c r="K748" s="22"/>
      <c r="L748" s="22" t="s">
        <v>3360</v>
      </c>
      <c r="M748" s="26" t="s">
        <v>3361</v>
      </c>
      <c r="N748" s="22"/>
      <c r="O748" s="22" t="s">
        <v>90</v>
      </c>
      <c r="P748" s="25" t="str">
        <f aca="false">IF(OR(O748="",O748="Sin información"),"",IFERROR(INDEX(Listas!$B$2:$B$9,MATCH(O748,Listas!$A$2:$A$9,0)),""))</f>
        <v>No</v>
      </c>
      <c r="Q748" s="25" t="str">
        <f aca="false">IF(OR(O748="",O748="Sin información"),"",IFERROR(INDEX(Listas!$C$2:$C$9,MATCH(O748,Listas!$A$2:$A$9,0)),""))</f>
        <v>No</v>
      </c>
      <c r="R748" s="22"/>
      <c r="S748" s="22"/>
      <c r="T748" s="25" t="str">
        <f aca="false">IF(S748="","",IFERROR(INDEX(Empleadores!$B$2:$B$601,MATCH(S748,Empleadores!$A$2:$A$601,0)),"No encontrado"))</f>
        <v/>
      </c>
      <c r="U748" s="25" t="str">
        <f aca="false">IF(C748="","",IF(V748="","No",IF(Config!$C$4-V748&lt;=Config!$C$15,"Sí","No")))</f>
        <v>Sí</v>
      </c>
      <c r="V748" s="23" t="n">
        <v>45967</v>
      </c>
      <c r="W748" s="22"/>
      <c r="X748" s="22"/>
      <c r="Y748" s="22" t="s">
        <v>181</v>
      </c>
      <c r="Z748" s="27" t="s">
        <v>2650</v>
      </c>
      <c r="AA748" s="22"/>
      <c r="AB748" s="22" t="s">
        <v>183</v>
      </c>
    </row>
    <row r="749" customFormat="false" ht="15" hidden="false" customHeight="false" outlineLevel="0" collapsed="false">
      <c r="A749" s="22" t="n">
        <v>748</v>
      </c>
      <c r="B749" s="22" t="s">
        <v>3362</v>
      </c>
      <c r="C749" s="22" t="s">
        <v>3363</v>
      </c>
      <c r="D749" s="22" t="s">
        <v>138</v>
      </c>
      <c r="E749" s="22" t="s">
        <v>139</v>
      </c>
      <c r="F749" s="22" t="s">
        <v>106</v>
      </c>
      <c r="G749" s="23" t="n">
        <v>45657</v>
      </c>
      <c r="H749" s="24" t="n">
        <f aca="false">IF(G749="","",ROUND((Config!$C$4-G749)/365.25,2))</f>
        <v>1.75</v>
      </c>
      <c r="I749" s="25" t="str">
        <f aca="false">IF(H749="","",IF(H749&lt;=1,"Tramo 1",IF(H749&lt;=3,"Tramo 2",IF(H749&lt;=5,"Tramo 3","Tramo 4"))))</f>
        <v>Tramo 2</v>
      </c>
      <c r="J749" s="22" t="s">
        <v>140</v>
      </c>
      <c r="K749" s="22"/>
      <c r="L749" s="22" t="s">
        <v>3364</v>
      </c>
      <c r="M749" s="26" t="s">
        <v>3365</v>
      </c>
      <c r="N749" s="22"/>
      <c r="O749" s="22" t="s">
        <v>63</v>
      </c>
      <c r="P749" s="25" t="str">
        <f aca="false">IF(OR(O749="",O749="Sin información"),"",IFERROR(INDEX(Listas!$B$2:$B$9,MATCH(O749,Listas!$A$2:$A$9,0)),""))</f>
        <v/>
      </c>
      <c r="Q749" s="25" t="str">
        <f aca="false">IF(OR(O749="",O749="Sin información"),"",IFERROR(INDEX(Listas!$C$2:$C$9,MATCH(O749,Listas!$A$2:$A$9,0)),""))</f>
        <v/>
      </c>
      <c r="R749" s="22"/>
      <c r="S749" s="22"/>
      <c r="T749" s="25" t="str">
        <f aca="false">IF(S749="","",IFERROR(INDEX(Empleadores!$B$2:$B$601,MATCH(S749,Empleadores!$A$2:$A$601,0)),"No encontrado"))</f>
        <v/>
      </c>
      <c r="U749" s="25" t="str">
        <f aca="false">IF(C749="","",IF(V749="","No",IF(Config!$C$4-V749&lt;=Config!$C$15,"Sí","No")))</f>
        <v>No</v>
      </c>
      <c r="V749" s="23"/>
      <c r="W749" s="22"/>
      <c r="X749" s="22"/>
      <c r="Y749" s="22"/>
      <c r="Z749" s="27"/>
      <c r="AA749" s="22"/>
      <c r="AB749" s="22"/>
    </row>
    <row r="750" customFormat="false" ht="15" hidden="false" customHeight="false" outlineLevel="0" collapsed="false">
      <c r="A750" s="22" t="n">
        <v>749</v>
      </c>
      <c r="B750" s="22" t="s">
        <v>3366</v>
      </c>
      <c r="C750" s="22" t="s">
        <v>3367</v>
      </c>
      <c r="D750" s="22" t="s">
        <v>149</v>
      </c>
      <c r="E750" s="22" t="s">
        <v>139</v>
      </c>
      <c r="F750" s="22" t="s">
        <v>106</v>
      </c>
      <c r="G750" s="23" t="n">
        <v>45657</v>
      </c>
      <c r="H750" s="24" t="n">
        <f aca="false">IF(G750="","",ROUND((Config!$C$4-G750)/365.25,2))</f>
        <v>1.75</v>
      </c>
      <c r="I750" s="25" t="str">
        <f aca="false">IF(H750="","",IF(H750&lt;=1,"Tramo 1",IF(H750&lt;=3,"Tramo 2",IF(H750&lt;=5,"Tramo 3","Tramo 4"))))</f>
        <v>Tramo 2</v>
      </c>
      <c r="J750" s="22" t="s">
        <v>166</v>
      </c>
      <c r="K750" s="22"/>
      <c r="L750" s="22" t="s">
        <v>3368</v>
      </c>
      <c r="M750" s="26" t="s">
        <v>3369</v>
      </c>
      <c r="N750" s="22"/>
      <c r="O750" s="22" t="s">
        <v>90</v>
      </c>
      <c r="P750" s="25" t="str">
        <f aca="false">IF(OR(O750="",O750="Sin información"),"",IFERROR(INDEX(Listas!$B$2:$B$9,MATCH(O750,Listas!$A$2:$A$9,0)),""))</f>
        <v>No</v>
      </c>
      <c r="Q750" s="25" t="str">
        <f aca="false">IF(OR(O750="",O750="Sin información"),"",IFERROR(INDEX(Listas!$C$2:$C$9,MATCH(O750,Listas!$A$2:$A$9,0)),""))</f>
        <v>No</v>
      </c>
      <c r="R750" s="22"/>
      <c r="S750" s="22"/>
      <c r="T750" s="25" t="str">
        <f aca="false">IF(S750="","",IFERROR(INDEX(Empleadores!$B$2:$B$601,MATCH(S750,Empleadores!$A$2:$A$601,0)),"No encontrado"))</f>
        <v/>
      </c>
      <c r="U750" s="25" t="str">
        <f aca="false">IF(C750="","",IF(V750="","No",IF(Config!$C$4-V750&lt;=Config!$C$15,"Sí","No")))</f>
        <v>Sí</v>
      </c>
      <c r="V750" s="23" t="n">
        <v>45967</v>
      </c>
      <c r="W750" s="22"/>
      <c r="X750" s="22"/>
      <c r="Y750" s="22" t="s">
        <v>181</v>
      </c>
      <c r="Z750" s="27" t="s">
        <v>2650</v>
      </c>
      <c r="AA750" s="22"/>
      <c r="AB750" s="22" t="s">
        <v>183</v>
      </c>
    </row>
    <row r="751" customFormat="false" ht="15" hidden="false" customHeight="false" outlineLevel="0" collapsed="false">
      <c r="A751" s="22" t="n">
        <v>750</v>
      </c>
      <c r="B751" s="22" t="s">
        <v>3370</v>
      </c>
      <c r="C751" s="22" t="s">
        <v>3371</v>
      </c>
      <c r="D751" s="22" t="s">
        <v>149</v>
      </c>
      <c r="E751" s="22" t="s">
        <v>139</v>
      </c>
      <c r="F751" s="22" t="s">
        <v>106</v>
      </c>
      <c r="G751" s="23" t="n">
        <v>45657</v>
      </c>
      <c r="H751" s="24" t="n">
        <f aca="false">IF(G751="","",ROUND((Config!$C$4-G751)/365.25,2))</f>
        <v>1.75</v>
      </c>
      <c r="I751" s="25" t="str">
        <f aca="false">IF(H751="","",IF(H751&lt;=1,"Tramo 1",IF(H751&lt;=3,"Tramo 2",IF(H751&lt;=5,"Tramo 3","Tramo 4"))))</f>
        <v>Tramo 2</v>
      </c>
      <c r="J751" s="22" t="s">
        <v>166</v>
      </c>
      <c r="K751" s="22"/>
      <c r="L751" s="22" t="s">
        <v>3372</v>
      </c>
      <c r="M751" s="26" t="s">
        <v>3373</v>
      </c>
      <c r="N751" s="22"/>
      <c r="O751" s="22" t="s">
        <v>63</v>
      </c>
      <c r="P751" s="25" t="str">
        <f aca="false">IF(OR(O751="",O751="Sin información"),"",IFERROR(INDEX(Listas!$B$2:$B$9,MATCH(O751,Listas!$A$2:$A$9,0)),""))</f>
        <v/>
      </c>
      <c r="Q751" s="25" t="str">
        <f aca="false">IF(OR(O751="",O751="Sin información"),"",IFERROR(INDEX(Listas!$C$2:$C$9,MATCH(O751,Listas!$A$2:$A$9,0)),""))</f>
        <v/>
      </c>
      <c r="R751" s="22"/>
      <c r="S751" s="22"/>
      <c r="T751" s="25" t="str">
        <f aca="false">IF(S751="","",IFERROR(INDEX(Empleadores!$B$2:$B$601,MATCH(S751,Empleadores!$A$2:$A$601,0)),"No encontrado"))</f>
        <v/>
      </c>
      <c r="U751" s="25" t="str">
        <f aca="false">IF(C751="","",IF(V751="","No",IF(Config!$C$4-V751&lt;=Config!$C$15,"Sí","No")))</f>
        <v>No</v>
      </c>
      <c r="V751" s="23"/>
      <c r="W751" s="22"/>
      <c r="X751" s="22"/>
      <c r="Y751" s="22"/>
      <c r="Z751" s="27"/>
      <c r="AA751" s="22" t="s">
        <v>3374</v>
      </c>
      <c r="AB751" s="22" t="s">
        <v>1691</v>
      </c>
    </row>
    <row r="752" customFormat="false" ht="15" hidden="false" customHeight="false" outlineLevel="0" collapsed="false">
      <c r="A752" s="22" t="n">
        <v>751</v>
      </c>
      <c r="B752" s="22" t="s">
        <v>3375</v>
      </c>
      <c r="C752" s="22" t="s">
        <v>3376</v>
      </c>
      <c r="D752" s="22" t="s">
        <v>138</v>
      </c>
      <c r="E752" s="22" t="s">
        <v>139</v>
      </c>
      <c r="F752" s="22" t="s">
        <v>106</v>
      </c>
      <c r="G752" s="23" t="n">
        <v>45657</v>
      </c>
      <c r="H752" s="24" t="n">
        <f aca="false">IF(G752="","",ROUND((Config!$C$4-G752)/365.25,2))</f>
        <v>1.75</v>
      </c>
      <c r="I752" s="25" t="str">
        <f aca="false">IF(H752="","",IF(H752&lt;=1,"Tramo 1",IF(H752&lt;=3,"Tramo 2",IF(H752&lt;=5,"Tramo 3","Tramo 4"))))</f>
        <v>Tramo 2</v>
      </c>
      <c r="J752" s="22" t="s">
        <v>166</v>
      </c>
      <c r="K752" s="22"/>
      <c r="L752" s="22" t="s">
        <v>3377</v>
      </c>
      <c r="M752" s="26" t="s">
        <v>3378</v>
      </c>
      <c r="N752" s="22"/>
      <c r="O752" s="22" t="s">
        <v>90</v>
      </c>
      <c r="P752" s="25" t="str">
        <f aca="false">IF(OR(O752="",O752="Sin información"),"",IFERROR(INDEX(Listas!$B$2:$B$9,MATCH(O752,Listas!$A$2:$A$9,0)),""))</f>
        <v>No</v>
      </c>
      <c r="Q752" s="25" t="str">
        <f aca="false">IF(OR(O752="",O752="Sin información"),"",IFERROR(INDEX(Listas!$C$2:$C$9,MATCH(O752,Listas!$A$2:$A$9,0)),""))</f>
        <v>No</v>
      </c>
      <c r="R752" s="22"/>
      <c r="S752" s="22"/>
      <c r="T752" s="25" t="str">
        <f aca="false">IF(S752="","",IFERROR(INDEX(Empleadores!$B$2:$B$601,MATCH(S752,Empleadores!$A$2:$A$601,0)),"No encontrado"))</f>
        <v/>
      </c>
      <c r="U752" s="25" t="str">
        <f aca="false">IF(C752="","",IF(V752="","No",IF(Config!$C$4-V752&lt;=Config!$C$15,"Sí","No")))</f>
        <v>Sí</v>
      </c>
      <c r="V752" s="23" t="n">
        <v>45967</v>
      </c>
      <c r="W752" s="22"/>
      <c r="X752" s="22"/>
      <c r="Y752" s="22" t="s">
        <v>181</v>
      </c>
      <c r="Z752" s="27" t="s">
        <v>2650</v>
      </c>
      <c r="AA752" s="22" t="s">
        <v>3379</v>
      </c>
      <c r="AB752" s="22" t="s">
        <v>1553</v>
      </c>
    </row>
    <row r="753" customFormat="false" ht="15" hidden="false" customHeight="false" outlineLevel="0" collapsed="false">
      <c r="A753" s="22" t="n">
        <v>752</v>
      </c>
      <c r="B753" s="22" t="s">
        <v>3380</v>
      </c>
      <c r="C753" s="22" t="s">
        <v>3381</v>
      </c>
      <c r="D753" s="22" t="s">
        <v>138</v>
      </c>
      <c r="E753" s="22" t="s">
        <v>139</v>
      </c>
      <c r="F753" s="22" t="s">
        <v>106</v>
      </c>
      <c r="G753" s="23" t="n">
        <v>45657</v>
      </c>
      <c r="H753" s="24" t="n">
        <f aca="false">IF(G753="","",ROUND((Config!$C$4-G753)/365.25,2))</f>
        <v>1.75</v>
      </c>
      <c r="I753" s="25" t="str">
        <f aca="false">IF(H753="","",IF(H753&lt;=1,"Tramo 1",IF(H753&lt;=3,"Tramo 2",IF(H753&lt;=5,"Tramo 3","Tramo 4"))))</f>
        <v>Tramo 2</v>
      </c>
      <c r="J753" s="22" t="s">
        <v>166</v>
      </c>
      <c r="K753" s="22"/>
      <c r="L753" s="22" t="s">
        <v>3382</v>
      </c>
      <c r="M753" s="26" t="s">
        <v>3383</v>
      </c>
      <c r="N753" s="22"/>
      <c r="O753" s="22" t="s">
        <v>90</v>
      </c>
      <c r="P753" s="25" t="str">
        <f aca="false">IF(OR(O753="",O753="Sin información"),"",IFERROR(INDEX(Listas!$B$2:$B$9,MATCH(O753,Listas!$A$2:$A$9,0)),""))</f>
        <v>No</v>
      </c>
      <c r="Q753" s="25" t="str">
        <f aca="false">IF(OR(O753="",O753="Sin información"),"",IFERROR(INDEX(Listas!$C$2:$C$9,MATCH(O753,Listas!$A$2:$A$9,0)),""))</f>
        <v>No</v>
      </c>
      <c r="R753" s="22"/>
      <c r="S753" s="22"/>
      <c r="T753" s="25" t="str">
        <f aca="false">IF(S753="","",IFERROR(INDEX(Empleadores!$B$2:$B$601,MATCH(S753,Empleadores!$A$2:$A$601,0)),"No encontrado"))</f>
        <v/>
      </c>
      <c r="U753" s="25" t="str">
        <f aca="false">IF(C753="","",IF(V753="","No",IF(Config!$C$4-V753&lt;=Config!$C$15,"Sí","No")))</f>
        <v>Sí</v>
      </c>
      <c r="V753" s="23" t="n">
        <v>45974</v>
      </c>
      <c r="W753" s="22"/>
      <c r="X753" s="22"/>
      <c r="Y753" s="22" t="s">
        <v>181</v>
      </c>
      <c r="Z753" s="27"/>
      <c r="AA753" s="22"/>
      <c r="AB753" s="22" t="s">
        <v>183</v>
      </c>
    </row>
    <row r="754" customFormat="false" ht="15" hidden="false" customHeight="false" outlineLevel="0" collapsed="false">
      <c r="A754" s="22" t="n">
        <v>753</v>
      </c>
      <c r="B754" s="22" t="s">
        <v>3384</v>
      </c>
      <c r="C754" s="22" t="s">
        <v>3385</v>
      </c>
      <c r="D754" s="22" t="s">
        <v>138</v>
      </c>
      <c r="E754" s="22" t="s">
        <v>139</v>
      </c>
      <c r="F754" s="22" t="s">
        <v>106</v>
      </c>
      <c r="G754" s="23" t="n">
        <v>45657</v>
      </c>
      <c r="H754" s="24" t="n">
        <f aca="false">IF(G754="","",ROUND((Config!$C$4-G754)/365.25,2))</f>
        <v>1.75</v>
      </c>
      <c r="I754" s="25" t="str">
        <f aca="false">IF(H754="","",IF(H754&lt;=1,"Tramo 1",IF(H754&lt;=3,"Tramo 2",IF(H754&lt;=5,"Tramo 3","Tramo 4"))))</f>
        <v>Tramo 2</v>
      </c>
      <c r="J754" s="22" t="s">
        <v>166</v>
      </c>
      <c r="K754" s="22"/>
      <c r="L754" s="22" t="s">
        <v>3386</v>
      </c>
      <c r="M754" s="26" t="s">
        <v>3387</v>
      </c>
      <c r="N754" s="22"/>
      <c r="O754" s="22" t="s">
        <v>85</v>
      </c>
      <c r="P754" s="25" t="str">
        <f aca="false">IF(OR(O754="",O754="Sin información"),"",IFERROR(INDEX(Listas!$B$2:$B$9,MATCH(O754,Listas!$A$2:$A$9,0)),""))</f>
        <v>Sí</v>
      </c>
      <c r="Q754" s="25" t="str">
        <f aca="false">IF(OR(O754="",O754="Sin información"),"",IFERROR(INDEX(Listas!$C$2:$C$9,MATCH(O754,Listas!$A$2:$A$9,0)),""))</f>
        <v>Sí</v>
      </c>
      <c r="R754" s="22"/>
      <c r="S754" s="22"/>
      <c r="T754" s="25" t="str">
        <f aca="false">IF(S754="","",IFERROR(INDEX(Empleadores!$B$2:$B$601,MATCH(S754,Empleadores!$A$2:$A$601,0)),"No encontrado"))</f>
        <v/>
      </c>
      <c r="U754" s="25" t="str">
        <f aca="false">IF(C754="","",IF(V754="","No",IF(Config!$C$4-V754&lt;=Config!$C$15,"Sí","No")))</f>
        <v>Sí</v>
      </c>
      <c r="V754" s="23" t="n">
        <v>45968</v>
      </c>
      <c r="W754" s="22"/>
      <c r="X754" s="22"/>
      <c r="Y754" s="22" t="s">
        <v>181</v>
      </c>
      <c r="Z754" s="27" t="s">
        <v>3388</v>
      </c>
      <c r="AA754" s="22" t="s">
        <v>3389</v>
      </c>
      <c r="AB754" s="22" t="s">
        <v>1553</v>
      </c>
    </row>
    <row r="755" customFormat="false" ht="15" hidden="false" customHeight="false" outlineLevel="0" collapsed="false">
      <c r="A755" s="22" t="n">
        <v>754</v>
      </c>
      <c r="B755" s="22" t="s">
        <v>3390</v>
      </c>
      <c r="C755" s="22" t="s">
        <v>3391</v>
      </c>
      <c r="D755" s="22" t="s">
        <v>149</v>
      </c>
      <c r="E755" s="22" t="s">
        <v>139</v>
      </c>
      <c r="F755" s="22" t="s">
        <v>106</v>
      </c>
      <c r="G755" s="23" t="n">
        <v>45657</v>
      </c>
      <c r="H755" s="24" t="n">
        <f aca="false">IF(G755="","",ROUND((Config!$C$4-G755)/365.25,2))</f>
        <v>1.75</v>
      </c>
      <c r="I755" s="25" t="str">
        <f aca="false">IF(H755="","",IF(H755&lt;=1,"Tramo 1",IF(H755&lt;=3,"Tramo 2",IF(H755&lt;=5,"Tramo 3","Tramo 4"))))</f>
        <v>Tramo 2</v>
      </c>
      <c r="J755" s="22" t="s">
        <v>166</v>
      </c>
      <c r="K755" s="22"/>
      <c r="L755" s="22" t="s">
        <v>3392</v>
      </c>
      <c r="M755" s="26" t="s">
        <v>3393</v>
      </c>
      <c r="N755" s="22"/>
      <c r="O755" s="22" t="s">
        <v>63</v>
      </c>
      <c r="P755" s="25" t="str">
        <f aca="false">IF(OR(O755="",O755="Sin información"),"",IFERROR(INDEX(Listas!$B$2:$B$9,MATCH(O755,Listas!$A$2:$A$9,0)),""))</f>
        <v/>
      </c>
      <c r="Q755" s="25" t="str">
        <f aca="false">IF(OR(O755="",O755="Sin información"),"",IFERROR(INDEX(Listas!$C$2:$C$9,MATCH(O755,Listas!$A$2:$A$9,0)),""))</f>
        <v/>
      </c>
      <c r="R755" s="22"/>
      <c r="S755" s="22"/>
      <c r="T755" s="25" t="str">
        <f aca="false">IF(S755="","",IFERROR(INDEX(Empleadores!$B$2:$B$601,MATCH(S755,Empleadores!$A$2:$A$601,0)),"No encontrado"))</f>
        <v/>
      </c>
      <c r="U755" s="25" t="str">
        <f aca="false">IF(C755="","",IF(V755="","No",IF(Config!$C$4-V755&lt;=Config!$C$15,"Sí","No")))</f>
        <v>No</v>
      </c>
      <c r="V755" s="23"/>
      <c r="W755" s="22"/>
      <c r="X755" s="22"/>
      <c r="Y755" s="22"/>
      <c r="Z755" s="27"/>
      <c r="AA755" s="22" t="s">
        <v>3394</v>
      </c>
      <c r="AB755" s="22" t="s">
        <v>1691</v>
      </c>
    </row>
    <row r="756" customFormat="false" ht="15" hidden="false" customHeight="false" outlineLevel="0" collapsed="false">
      <c r="A756" s="22" t="n">
        <v>755</v>
      </c>
      <c r="B756" s="22" t="s">
        <v>3395</v>
      </c>
      <c r="C756" s="22" t="s">
        <v>3396</v>
      </c>
      <c r="D756" s="22" t="s">
        <v>149</v>
      </c>
      <c r="E756" s="22" t="s">
        <v>139</v>
      </c>
      <c r="F756" s="22" t="s">
        <v>106</v>
      </c>
      <c r="G756" s="23" t="n">
        <v>45657</v>
      </c>
      <c r="H756" s="24" t="n">
        <f aca="false">IF(G756="","",ROUND((Config!$C$4-G756)/365.25,2))</f>
        <v>1.75</v>
      </c>
      <c r="I756" s="25" t="str">
        <f aca="false">IF(H756="","",IF(H756&lt;=1,"Tramo 1",IF(H756&lt;=3,"Tramo 2",IF(H756&lt;=5,"Tramo 3","Tramo 4"))))</f>
        <v>Tramo 2</v>
      </c>
      <c r="J756" s="22" t="s">
        <v>166</v>
      </c>
      <c r="K756" s="22"/>
      <c r="L756" s="22" t="s">
        <v>3397</v>
      </c>
      <c r="M756" s="26" t="s">
        <v>3398</v>
      </c>
      <c r="N756" s="22"/>
      <c r="O756" s="22" t="s">
        <v>63</v>
      </c>
      <c r="P756" s="25" t="str">
        <f aca="false">IF(OR(O756="",O756="Sin información"),"",IFERROR(INDEX(Listas!$B$2:$B$9,MATCH(O756,Listas!$A$2:$A$9,0)),""))</f>
        <v/>
      </c>
      <c r="Q756" s="25" t="str">
        <f aca="false">IF(OR(O756="",O756="Sin información"),"",IFERROR(INDEX(Listas!$C$2:$C$9,MATCH(O756,Listas!$A$2:$A$9,0)),""))</f>
        <v/>
      </c>
      <c r="R756" s="22"/>
      <c r="S756" s="22"/>
      <c r="T756" s="25" t="str">
        <f aca="false">IF(S756="","",IFERROR(INDEX(Empleadores!$B$2:$B$601,MATCH(S756,Empleadores!$A$2:$A$601,0)),"No encontrado"))</f>
        <v/>
      </c>
      <c r="U756" s="25" t="str">
        <f aca="false">IF(C756="","",IF(V756="","No",IF(Config!$C$4-V756&lt;=Config!$C$15,"Sí","No")))</f>
        <v>No</v>
      </c>
      <c r="V756" s="23"/>
      <c r="W756" s="22"/>
      <c r="X756" s="22"/>
      <c r="Y756" s="22"/>
      <c r="Z756" s="27"/>
      <c r="AA756" s="22"/>
      <c r="AB756" s="22"/>
    </row>
    <row r="757" customFormat="false" ht="15" hidden="false" customHeight="false" outlineLevel="0" collapsed="false">
      <c r="A757" s="22" t="n">
        <v>756</v>
      </c>
      <c r="B757" s="22" t="s">
        <v>3399</v>
      </c>
      <c r="C757" s="22" t="s">
        <v>3400</v>
      </c>
      <c r="D757" s="22" t="s">
        <v>138</v>
      </c>
      <c r="E757" s="22" t="s">
        <v>139</v>
      </c>
      <c r="F757" s="22" t="s">
        <v>106</v>
      </c>
      <c r="G757" s="23" t="n">
        <v>45657</v>
      </c>
      <c r="H757" s="24" t="n">
        <f aca="false">IF(G757="","",ROUND((Config!$C$4-G757)/365.25,2))</f>
        <v>1.75</v>
      </c>
      <c r="I757" s="25" t="str">
        <f aca="false">IF(H757="","",IF(H757&lt;=1,"Tramo 1",IF(H757&lt;=3,"Tramo 2",IF(H757&lt;=5,"Tramo 3","Tramo 4"))))</f>
        <v>Tramo 2</v>
      </c>
      <c r="J757" s="22" t="s">
        <v>140</v>
      </c>
      <c r="K757" s="22"/>
      <c r="L757" s="22" t="s">
        <v>3401</v>
      </c>
      <c r="M757" s="26" t="s">
        <v>3402</v>
      </c>
      <c r="N757" s="22"/>
      <c r="O757" s="22" t="s">
        <v>63</v>
      </c>
      <c r="P757" s="25" t="str">
        <f aca="false">IF(OR(O757="",O757="Sin información"),"",IFERROR(INDEX(Listas!$B$2:$B$9,MATCH(O757,Listas!$A$2:$A$9,0)),""))</f>
        <v/>
      </c>
      <c r="Q757" s="25" t="str">
        <f aca="false">IF(OR(O757="",O757="Sin información"),"",IFERROR(INDEX(Listas!$C$2:$C$9,MATCH(O757,Listas!$A$2:$A$9,0)),""))</f>
        <v/>
      </c>
      <c r="R757" s="22"/>
      <c r="S757" s="22"/>
      <c r="T757" s="25" t="str">
        <f aca="false">IF(S757="","",IFERROR(INDEX(Empleadores!$B$2:$B$601,MATCH(S757,Empleadores!$A$2:$A$601,0)),"No encontrado"))</f>
        <v/>
      </c>
      <c r="U757" s="25" t="str">
        <f aca="false">IF(C757="","",IF(V757="","No",IF(Config!$C$4-V757&lt;=Config!$C$15,"Sí","No")))</f>
        <v>No</v>
      </c>
      <c r="V757" s="23"/>
      <c r="W757" s="22"/>
      <c r="X757" s="22"/>
      <c r="Y757" s="22"/>
      <c r="Z757" s="27"/>
      <c r="AA757" s="22"/>
      <c r="AB757" s="22"/>
    </row>
    <row r="758" customFormat="false" ht="15" hidden="false" customHeight="false" outlineLevel="0" collapsed="false">
      <c r="A758" s="22" t="n">
        <v>757</v>
      </c>
      <c r="B758" s="22" t="s">
        <v>3403</v>
      </c>
      <c r="C758" s="22" t="s">
        <v>3404</v>
      </c>
      <c r="D758" s="22" t="s">
        <v>149</v>
      </c>
      <c r="E758" s="22" t="s">
        <v>139</v>
      </c>
      <c r="F758" s="22" t="s">
        <v>106</v>
      </c>
      <c r="G758" s="23" t="n">
        <v>45657</v>
      </c>
      <c r="H758" s="24" t="n">
        <f aca="false">IF(G758="","",ROUND((Config!$C$4-G758)/365.25,2))</f>
        <v>1.75</v>
      </c>
      <c r="I758" s="25" t="str">
        <f aca="false">IF(H758="","",IF(H758&lt;=1,"Tramo 1",IF(H758&lt;=3,"Tramo 2",IF(H758&lt;=5,"Tramo 3","Tramo 4"))))</f>
        <v>Tramo 2</v>
      </c>
      <c r="J758" s="22" t="s">
        <v>140</v>
      </c>
      <c r="K758" s="22"/>
      <c r="L758" s="22" t="s">
        <v>3405</v>
      </c>
      <c r="M758" s="26" t="s">
        <v>3406</v>
      </c>
      <c r="N758" s="22"/>
      <c r="O758" s="22" t="s">
        <v>63</v>
      </c>
      <c r="P758" s="25" t="str">
        <f aca="false">IF(OR(O758="",O758="Sin información"),"",IFERROR(INDEX(Listas!$B$2:$B$9,MATCH(O758,Listas!$A$2:$A$9,0)),""))</f>
        <v/>
      </c>
      <c r="Q758" s="25" t="str">
        <f aca="false">IF(OR(O758="",O758="Sin información"),"",IFERROR(INDEX(Listas!$C$2:$C$9,MATCH(O758,Listas!$A$2:$A$9,0)),""))</f>
        <v/>
      </c>
      <c r="R758" s="22"/>
      <c r="S758" s="22"/>
      <c r="T758" s="25" t="str">
        <f aca="false">IF(S758="","",IFERROR(INDEX(Empleadores!$B$2:$B$601,MATCH(S758,Empleadores!$A$2:$A$601,0)),"No encontrado"))</f>
        <v/>
      </c>
      <c r="U758" s="25" t="str">
        <f aca="false">IF(C758="","",IF(V758="","No",IF(Config!$C$4-V758&lt;=Config!$C$15,"Sí","No")))</f>
        <v>No</v>
      </c>
      <c r="V758" s="23"/>
      <c r="W758" s="22"/>
      <c r="X758" s="22"/>
      <c r="Y758" s="22"/>
      <c r="Z758" s="27"/>
      <c r="AA758" s="22"/>
      <c r="AB758" s="22"/>
    </row>
    <row r="759" customFormat="false" ht="15" hidden="false" customHeight="false" outlineLevel="0" collapsed="false">
      <c r="A759" s="22" t="n">
        <v>758</v>
      </c>
      <c r="B759" s="22" t="s">
        <v>3407</v>
      </c>
      <c r="C759" s="22" t="s">
        <v>3408</v>
      </c>
      <c r="D759" s="22" t="s">
        <v>138</v>
      </c>
      <c r="E759" s="22" t="s">
        <v>139</v>
      </c>
      <c r="F759" s="22" t="s">
        <v>106</v>
      </c>
      <c r="G759" s="23" t="n">
        <v>45657</v>
      </c>
      <c r="H759" s="24" t="n">
        <f aca="false">IF(G759="","",ROUND((Config!$C$4-G759)/365.25,2))</f>
        <v>1.75</v>
      </c>
      <c r="I759" s="25" t="str">
        <f aca="false">IF(H759="","",IF(H759&lt;=1,"Tramo 1",IF(H759&lt;=3,"Tramo 2",IF(H759&lt;=5,"Tramo 3","Tramo 4"))))</f>
        <v>Tramo 2</v>
      </c>
      <c r="J759" s="22" t="s">
        <v>166</v>
      </c>
      <c r="K759" s="22"/>
      <c r="L759" s="22" t="s">
        <v>3409</v>
      </c>
      <c r="M759" s="26" t="s">
        <v>3410</v>
      </c>
      <c r="N759" s="22"/>
      <c r="O759" s="22" t="s">
        <v>90</v>
      </c>
      <c r="P759" s="25" t="str">
        <f aca="false">IF(OR(O759="",O759="Sin información"),"",IFERROR(INDEX(Listas!$B$2:$B$9,MATCH(O759,Listas!$A$2:$A$9,0)),""))</f>
        <v>No</v>
      </c>
      <c r="Q759" s="25" t="str">
        <f aca="false">IF(OR(O759="",O759="Sin información"),"",IFERROR(INDEX(Listas!$C$2:$C$9,MATCH(O759,Listas!$A$2:$A$9,0)),""))</f>
        <v>No</v>
      </c>
      <c r="R759" s="22"/>
      <c r="S759" s="22"/>
      <c r="T759" s="25" t="str">
        <f aca="false">IF(S759="","",IFERROR(INDEX(Empleadores!$B$2:$B$601,MATCH(S759,Empleadores!$A$2:$A$601,0)),"No encontrado"))</f>
        <v/>
      </c>
      <c r="U759" s="25" t="str">
        <f aca="false">IF(C759="","",IF(V759="","No",IF(Config!$C$4-V759&lt;=Config!$C$15,"Sí","No")))</f>
        <v>Sí</v>
      </c>
      <c r="V759" s="23" t="n">
        <v>45951</v>
      </c>
      <c r="W759" s="22"/>
      <c r="X759" s="22"/>
      <c r="Y759" s="22"/>
      <c r="Z759" s="27" t="s">
        <v>2250</v>
      </c>
      <c r="AA759" s="22" t="s">
        <v>2518</v>
      </c>
      <c r="AB759" s="22" t="s">
        <v>2265</v>
      </c>
    </row>
    <row r="760" customFormat="false" ht="15" hidden="false" customHeight="false" outlineLevel="0" collapsed="false">
      <c r="A760" s="22" t="n">
        <v>759</v>
      </c>
      <c r="B760" s="22" t="s">
        <v>3411</v>
      </c>
      <c r="C760" s="22" t="s">
        <v>3412</v>
      </c>
      <c r="D760" s="22" t="s">
        <v>149</v>
      </c>
      <c r="E760" s="22" t="s">
        <v>139</v>
      </c>
      <c r="F760" s="22" t="s">
        <v>106</v>
      </c>
      <c r="G760" s="23" t="n">
        <v>45657</v>
      </c>
      <c r="H760" s="24" t="n">
        <f aca="false">IF(G760="","",ROUND((Config!$C$4-G760)/365.25,2))</f>
        <v>1.75</v>
      </c>
      <c r="I760" s="25" t="str">
        <f aca="false">IF(H760="","",IF(H760&lt;=1,"Tramo 1",IF(H760&lt;=3,"Tramo 2",IF(H760&lt;=5,"Tramo 3","Tramo 4"))))</f>
        <v>Tramo 2</v>
      </c>
      <c r="J760" s="22" t="s">
        <v>166</v>
      </c>
      <c r="K760" s="22"/>
      <c r="L760" s="22" t="s">
        <v>3413</v>
      </c>
      <c r="M760" s="26" t="s">
        <v>3414</v>
      </c>
      <c r="N760" s="22"/>
      <c r="O760" s="22" t="s">
        <v>63</v>
      </c>
      <c r="P760" s="25" t="str">
        <f aca="false">IF(OR(O760="",O760="Sin información"),"",IFERROR(INDEX(Listas!$B$2:$B$9,MATCH(O760,Listas!$A$2:$A$9,0)),""))</f>
        <v/>
      </c>
      <c r="Q760" s="25" t="str">
        <f aca="false">IF(OR(O760="",O760="Sin información"),"",IFERROR(INDEX(Listas!$C$2:$C$9,MATCH(O760,Listas!$A$2:$A$9,0)),""))</f>
        <v/>
      </c>
      <c r="R760" s="22"/>
      <c r="S760" s="22"/>
      <c r="T760" s="25" t="str">
        <f aca="false">IF(S760="","",IFERROR(INDEX(Empleadores!$B$2:$B$601,MATCH(S760,Empleadores!$A$2:$A$601,0)),"No encontrado"))</f>
        <v/>
      </c>
      <c r="U760" s="25" t="str">
        <f aca="false">IF(C760="","",IF(V760="","No",IF(Config!$C$4-V760&lt;=Config!$C$15,"Sí","No")))</f>
        <v>No</v>
      </c>
      <c r="V760" s="23"/>
      <c r="W760" s="22"/>
      <c r="X760" s="22"/>
      <c r="Y760" s="22"/>
      <c r="Z760" s="27"/>
      <c r="AA760" s="22" t="s">
        <v>3415</v>
      </c>
      <c r="AB760" s="22" t="s">
        <v>1691</v>
      </c>
    </row>
    <row r="761" customFormat="false" ht="15" hidden="false" customHeight="false" outlineLevel="0" collapsed="false">
      <c r="A761" s="22" t="n">
        <v>760</v>
      </c>
      <c r="B761" s="22" t="s">
        <v>3416</v>
      </c>
      <c r="C761" s="22" t="s">
        <v>3417</v>
      </c>
      <c r="D761" s="22" t="s">
        <v>138</v>
      </c>
      <c r="E761" s="22" t="s">
        <v>139</v>
      </c>
      <c r="F761" s="22" t="s">
        <v>106</v>
      </c>
      <c r="G761" s="23" t="n">
        <v>45657</v>
      </c>
      <c r="H761" s="24" t="n">
        <f aca="false">IF(G761="","",ROUND((Config!$C$4-G761)/365.25,2))</f>
        <v>1.75</v>
      </c>
      <c r="I761" s="25" t="str">
        <f aca="false">IF(H761="","",IF(H761&lt;=1,"Tramo 1",IF(H761&lt;=3,"Tramo 2",IF(H761&lt;=5,"Tramo 3","Tramo 4"))))</f>
        <v>Tramo 2</v>
      </c>
      <c r="J761" s="22" t="s">
        <v>166</v>
      </c>
      <c r="K761" s="22"/>
      <c r="L761" s="22" t="s">
        <v>3418</v>
      </c>
      <c r="M761" s="26" t="s">
        <v>3419</v>
      </c>
      <c r="N761" s="22"/>
      <c r="O761" s="22" t="s">
        <v>63</v>
      </c>
      <c r="P761" s="25" t="str">
        <f aca="false">IF(OR(O761="",O761="Sin información"),"",IFERROR(INDEX(Listas!$B$2:$B$9,MATCH(O761,Listas!$A$2:$A$9,0)),""))</f>
        <v/>
      </c>
      <c r="Q761" s="25" t="str">
        <f aca="false">IF(OR(O761="",O761="Sin información"),"",IFERROR(INDEX(Listas!$C$2:$C$9,MATCH(O761,Listas!$A$2:$A$9,0)),""))</f>
        <v/>
      </c>
      <c r="R761" s="22"/>
      <c r="S761" s="22"/>
      <c r="T761" s="25" t="str">
        <f aca="false">IF(S761="","",IFERROR(INDEX(Empleadores!$B$2:$B$601,MATCH(S761,Empleadores!$A$2:$A$601,0)),"No encontrado"))</f>
        <v/>
      </c>
      <c r="U761" s="25" t="str">
        <f aca="false">IF(C761="","",IF(V761="","No",IF(Config!$C$4-V761&lt;=Config!$C$15,"Sí","No")))</f>
        <v>No</v>
      </c>
      <c r="V761" s="23"/>
      <c r="W761" s="22"/>
      <c r="X761" s="22"/>
      <c r="Y761" s="22"/>
      <c r="Z761" s="27"/>
      <c r="AA761" s="22"/>
      <c r="AB761" s="22"/>
    </row>
    <row r="762" customFormat="false" ht="15" hidden="false" customHeight="false" outlineLevel="0" collapsed="false">
      <c r="A762" s="22" t="n">
        <v>761</v>
      </c>
      <c r="B762" s="22" t="s">
        <v>3420</v>
      </c>
      <c r="C762" s="22" t="s">
        <v>3421</v>
      </c>
      <c r="D762" s="22" t="s">
        <v>138</v>
      </c>
      <c r="E762" s="22" t="s">
        <v>139</v>
      </c>
      <c r="F762" s="22" t="s">
        <v>106</v>
      </c>
      <c r="G762" s="23" t="n">
        <v>45657</v>
      </c>
      <c r="H762" s="24" t="n">
        <f aca="false">IF(G762="","",ROUND((Config!$C$4-G762)/365.25,2))</f>
        <v>1.75</v>
      </c>
      <c r="I762" s="25" t="str">
        <f aca="false">IF(H762="","",IF(H762&lt;=1,"Tramo 1",IF(H762&lt;=3,"Tramo 2",IF(H762&lt;=5,"Tramo 3","Tramo 4"))))</f>
        <v>Tramo 2</v>
      </c>
      <c r="J762" s="22" t="s">
        <v>166</v>
      </c>
      <c r="K762" s="22"/>
      <c r="L762" s="22" t="s">
        <v>3422</v>
      </c>
      <c r="M762" s="26" t="s">
        <v>3423</v>
      </c>
      <c r="N762" s="22"/>
      <c r="O762" s="22" t="s">
        <v>63</v>
      </c>
      <c r="P762" s="25" t="str">
        <f aca="false">IF(OR(O762="",O762="Sin información"),"",IFERROR(INDEX(Listas!$B$2:$B$9,MATCH(O762,Listas!$A$2:$A$9,0)),""))</f>
        <v/>
      </c>
      <c r="Q762" s="25" t="str">
        <f aca="false">IF(OR(O762="",O762="Sin información"),"",IFERROR(INDEX(Listas!$C$2:$C$9,MATCH(O762,Listas!$A$2:$A$9,0)),""))</f>
        <v/>
      </c>
      <c r="R762" s="22"/>
      <c r="S762" s="22"/>
      <c r="T762" s="25" t="str">
        <f aca="false">IF(S762="","",IFERROR(INDEX(Empleadores!$B$2:$B$601,MATCH(S762,Empleadores!$A$2:$A$601,0)),"No encontrado"))</f>
        <v/>
      </c>
      <c r="U762" s="25" t="str">
        <f aca="false">IF(C762="","",IF(V762="","No",IF(Config!$C$4-V762&lt;=Config!$C$15,"Sí","No")))</f>
        <v>No</v>
      </c>
      <c r="V762" s="23"/>
      <c r="W762" s="22"/>
      <c r="X762" s="22"/>
      <c r="Y762" s="22"/>
      <c r="Z762" s="27"/>
      <c r="AA762" s="22"/>
      <c r="AB762" s="22"/>
    </row>
    <row r="763" customFormat="false" ht="15" hidden="false" customHeight="false" outlineLevel="0" collapsed="false">
      <c r="A763" s="22" t="n">
        <v>762</v>
      </c>
      <c r="B763" s="22" t="s">
        <v>3424</v>
      </c>
      <c r="C763" s="22" t="s">
        <v>3425</v>
      </c>
      <c r="D763" s="22" t="s">
        <v>149</v>
      </c>
      <c r="E763" s="22" t="s">
        <v>139</v>
      </c>
      <c r="F763" s="22" t="s">
        <v>106</v>
      </c>
      <c r="G763" s="23" t="n">
        <v>45657</v>
      </c>
      <c r="H763" s="24" t="n">
        <f aca="false">IF(G763="","",ROUND((Config!$C$4-G763)/365.25,2))</f>
        <v>1.75</v>
      </c>
      <c r="I763" s="25" t="str">
        <f aca="false">IF(H763="","",IF(H763&lt;=1,"Tramo 1",IF(H763&lt;=3,"Tramo 2",IF(H763&lt;=5,"Tramo 3","Tramo 4"))))</f>
        <v>Tramo 2</v>
      </c>
      <c r="J763" s="22" t="s">
        <v>140</v>
      </c>
      <c r="K763" s="22"/>
      <c r="L763" s="22" t="s">
        <v>3426</v>
      </c>
      <c r="M763" s="26" t="s">
        <v>3427</v>
      </c>
      <c r="N763" s="22"/>
      <c r="O763" s="22" t="s">
        <v>63</v>
      </c>
      <c r="P763" s="25" t="str">
        <f aca="false">IF(OR(O763="",O763="Sin información"),"",IFERROR(INDEX(Listas!$B$2:$B$9,MATCH(O763,Listas!$A$2:$A$9,0)),""))</f>
        <v/>
      </c>
      <c r="Q763" s="25" t="str">
        <f aca="false">IF(OR(O763="",O763="Sin información"),"",IFERROR(INDEX(Listas!$C$2:$C$9,MATCH(O763,Listas!$A$2:$A$9,0)),""))</f>
        <v/>
      </c>
      <c r="R763" s="22"/>
      <c r="S763" s="22"/>
      <c r="T763" s="25" t="str">
        <f aca="false">IF(S763="","",IFERROR(INDEX(Empleadores!$B$2:$B$601,MATCH(S763,Empleadores!$A$2:$A$601,0)),"No encontrado"))</f>
        <v/>
      </c>
      <c r="U763" s="25" t="str">
        <f aca="false">IF(C763="","",IF(V763="","No",IF(Config!$C$4-V763&lt;=Config!$C$15,"Sí","No")))</f>
        <v>No</v>
      </c>
      <c r="V763" s="23"/>
      <c r="W763" s="22"/>
      <c r="X763" s="22"/>
      <c r="Y763" s="22"/>
      <c r="Z763" s="27"/>
      <c r="AA763" s="22" t="s">
        <v>3428</v>
      </c>
      <c r="AB763" s="22" t="s">
        <v>1691</v>
      </c>
    </row>
    <row r="764" customFormat="false" ht="15" hidden="false" customHeight="false" outlineLevel="0" collapsed="false">
      <c r="A764" s="22" t="n">
        <v>763</v>
      </c>
      <c r="B764" s="22" t="s">
        <v>3429</v>
      </c>
      <c r="C764" s="22" t="s">
        <v>3430</v>
      </c>
      <c r="D764" s="22" t="s">
        <v>138</v>
      </c>
      <c r="E764" s="22" t="s">
        <v>139</v>
      </c>
      <c r="F764" s="22" t="s">
        <v>106</v>
      </c>
      <c r="G764" s="23" t="n">
        <v>45657</v>
      </c>
      <c r="H764" s="24" t="n">
        <f aca="false">IF(G764="","",ROUND((Config!$C$4-G764)/365.25,2))</f>
        <v>1.75</v>
      </c>
      <c r="I764" s="25" t="str">
        <f aca="false">IF(H764="","",IF(H764&lt;=1,"Tramo 1",IF(H764&lt;=3,"Tramo 2",IF(H764&lt;=5,"Tramo 3","Tramo 4"))))</f>
        <v>Tramo 2</v>
      </c>
      <c r="J764" s="22" t="s">
        <v>166</v>
      </c>
      <c r="K764" s="22"/>
      <c r="L764" s="22" t="s">
        <v>3431</v>
      </c>
      <c r="M764" s="26" t="s">
        <v>3432</v>
      </c>
      <c r="N764" s="22"/>
      <c r="O764" s="22" t="s">
        <v>63</v>
      </c>
      <c r="P764" s="25" t="str">
        <f aca="false">IF(OR(O764="",O764="Sin información"),"",IFERROR(INDEX(Listas!$B$2:$B$9,MATCH(O764,Listas!$A$2:$A$9,0)),""))</f>
        <v/>
      </c>
      <c r="Q764" s="25" t="str">
        <f aca="false">IF(OR(O764="",O764="Sin información"),"",IFERROR(INDEX(Listas!$C$2:$C$9,MATCH(O764,Listas!$A$2:$A$9,0)),""))</f>
        <v/>
      </c>
      <c r="R764" s="22"/>
      <c r="S764" s="22"/>
      <c r="T764" s="25" t="str">
        <f aca="false">IF(S764="","",IFERROR(INDEX(Empleadores!$B$2:$B$601,MATCH(S764,Empleadores!$A$2:$A$601,0)),"No encontrado"))</f>
        <v/>
      </c>
      <c r="U764" s="25" t="str">
        <f aca="false">IF(C764="","",IF(V764="","No",IF(Config!$C$4-V764&lt;=Config!$C$15,"Sí","No")))</f>
        <v>No</v>
      </c>
      <c r="V764" s="23"/>
      <c r="W764" s="22"/>
      <c r="X764" s="22"/>
      <c r="Y764" s="22"/>
      <c r="Z764" s="27"/>
      <c r="AA764" s="22"/>
      <c r="AB764" s="22"/>
    </row>
    <row r="765" customFormat="false" ht="15" hidden="false" customHeight="false" outlineLevel="0" collapsed="false">
      <c r="A765" s="22" t="n">
        <v>764</v>
      </c>
      <c r="B765" s="22" t="s">
        <v>3433</v>
      </c>
      <c r="C765" s="22" t="s">
        <v>3434</v>
      </c>
      <c r="D765" s="22" t="s">
        <v>138</v>
      </c>
      <c r="E765" s="22" t="s">
        <v>139</v>
      </c>
      <c r="F765" s="22" t="s">
        <v>106</v>
      </c>
      <c r="G765" s="23" t="n">
        <v>45657</v>
      </c>
      <c r="H765" s="24" t="n">
        <f aca="false">IF(G765="","",ROUND((Config!$C$4-G765)/365.25,2))</f>
        <v>1.75</v>
      </c>
      <c r="I765" s="25" t="str">
        <f aca="false">IF(H765="","",IF(H765&lt;=1,"Tramo 1",IF(H765&lt;=3,"Tramo 2",IF(H765&lt;=5,"Tramo 3","Tramo 4"))))</f>
        <v>Tramo 2</v>
      </c>
      <c r="J765" s="22" t="s">
        <v>166</v>
      </c>
      <c r="K765" s="22"/>
      <c r="L765" s="22" t="s">
        <v>3435</v>
      </c>
      <c r="M765" s="26" t="s">
        <v>3436</v>
      </c>
      <c r="N765" s="22"/>
      <c r="O765" s="22" t="s">
        <v>63</v>
      </c>
      <c r="P765" s="25" t="str">
        <f aca="false">IF(OR(O765="",O765="Sin información"),"",IFERROR(INDEX(Listas!$B$2:$B$9,MATCH(O765,Listas!$A$2:$A$9,0)),""))</f>
        <v/>
      </c>
      <c r="Q765" s="25" t="str">
        <f aca="false">IF(OR(O765="",O765="Sin información"),"",IFERROR(INDEX(Listas!$C$2:$C$9,MATCH(O765,Listas!$A$2:$A$9,0)),""))</f>
        <v/>
      </c>
      <c r="R765" s="22"/>
      <c r="S765" s="22"/>
      <c r="T765" s="25" t="str">
        <f aca="false">IF(S765="","",IFERROR(INDEX(Empleadores!$B$2:$B$601,MATCH(S765,Empleadores!$A$2:$A$601,0)),"No encontrado"))</f>
        <v/>
      </c>
      <c r="U765" s="25" t="str">
        <f aca="false">IF(C765="","",IF(V765="","No",IF(Config!$C$4-V765&lt;=Config!$C$15,"Sí","No")))</f>
        <v>No</v>
      </c>
      <c r="V765" s="23"/>
      <c r="W765" s="22"/>
      <c r="X765" s="22"/>
      <c r="Y765" s="22"/>
      <c r="Z765" s="27"/>
      <c r="AA765" s="22"/>
      <c r="AB765" s="22"/>
    </row>
    <row r="766" customFormat="false" ht="15" hidden="false" customHeight="false" outlineLevel="0" collapsed="false">
      <c r="A766" s="22" t="n">
        <v>765</v>
      </c>
      <c r="B766" s="22" t="s">
        <v>3437</v>
      </c>
      <c r="C766" s="22" t="s">
        <v>3438</v>
      </c>
      <c r="D766" s="22" t="s">
        <v>138</v>
      </c>
      <c r="E766" s="22" t="s">
        <v>139</v>
      </c>
      <c r="F766" s="22" t="s">
        <v>107</v>
      </c>
      <c r="G766" s="23" t="n">
        <v>45838</v>
      </c>
      <c r="H766" s="24" t="n">
        <f aca="false">IF(G766="","",ROUND((Config!$C$4-G766)/365.25,2))</f>
        <v>1.25</v>
      </c>
      <c r="I766" s="25" t="str">
        <f aca="false">IF(H766="","",IF(H766&lt;=1,"Tramo 1",IF(H766&lt;=3,"Tramo 2",IF(H766&lt;=5,"Tramo 3","Tramo 4"))))</f>
        <v>Tramo 2</v>
      </c>
      <c r="J766" s="22" t="s">
        <v>2639</v>
      </c>
      <c r="K766" s="22"/>
      <c r="L766" s="22" t="s">
        <v>3439</v>
      </c>
      <c r="M766" s="26" t="s">
        <v>3440</v>
      </c>
      <c r="N766" s="22"/>
      <c r="O766" s="22" t="s">
        <v>63</v>
      </c>
      <c r="P766" s="25" t="str">
        <f aca="false">IF(OR(O766="",O766="Sin información"),"",IFERROR(INDEX(Listas!$B$2:$B$9,MATCH(O766,Listas!$A$2:$A$9,0)),""))</f>
        <v/>
      </c>
      <c r="Q766" s="25" t="str">
        <f aca="false">IF(OR(O766="",O766="Sin información"),"",IFERROR(INDEX(Listas!$C$2:$C$9,MATCH(O766,Listas!$A$2:$A$9,0)),""))</f>
        <v/>
      </c>
      <c r="R766" s="22"/>
      <c r="S766" s="22"/>
      <c r="T766" s="25" t="str">
        <f aca="false">IF(S766="","",IFERROR(INDEX(Empleadores!$B$2:$B$601,MATCH(S766,Empleadores!$A$2:$A$601,0)),"No encontrado"))</f>
        <v/>
      </c>
      <c r="U766" s="25" t="str">
        <f aca="false">IF(C766="","",IF(V766="","No",IF(Config!$C$4-V766&lt;=Config!$C$15,"Sí","No")))</f>
        <v>No</v>
      </c>
      <c r="V766" s="23"/>
      <c r="W766" s="22"/>
      <c r="X766" s="22"/>
      <c r="Y766" s="22"/>
      <c r="Z766" s="27"/>
      <c r="AA766" s="22" t="s">
        <v>3441</v>
      </c>
      <c r="AB766" s="22" t="s">
        <v>1691</v>
      </c>
    </row>
    <row r="767" customFormat="false" ht="15" hidden="false" customHeight="false" outlineLevel="0" collapsed="false">
      <c r="A767" s="22" t="n">
        <v>766</v>
      </c>
      <c r="B767" s="22" t="s">
        <v>3442</v>
      </c>
      <c r="C767" s="22" t="s">
        <v>3443</v>
      </c>
      <c r="D767" s="22" t="s">
        <v>149</v>
      </c>
      <c r="E767" s="22" t="s">
        <v>139</v>
      </c>
      <c r="F767" s="22" t="s">
        <v>107</v>
      </c>
      <c r="G767" s="23" t="n">
        <v>45838</v>
      </c>
      <c r="H767" s="24" t="n">
        <f aca="false">IF(G767="","",ROUND((Config!$C$4-G767)/365.25,2))</f>
        <v>1.25</v>
      </c>
      <c r="I767" s="25" t="str">
        <f aca="false">IF(H767="","",IF(H767&lt;=1,"Tramo 1",IF(H767&lt;=3,"Tramo 2",IF(H767&lt;=5,"Tramo 3","Tramo 4"))))</f>
        <v>Tramo 2</v>
      </c>
      <c r="J767" s="22" t="s">
        <v>166</v>
      </c>
      <c r="K767" s="22"/>
      <c r="L767" s="22" t="s">
        <v>3444</v>
      </c>
      <c r="M767" s="26" t="s">
        <v>3445</v>
      </c>
      <c r="N767" s="22"/>
      <c r="O767" s="22" t="s">
        <v>90</v>
      </c>
      <c r="P767" s="25" t="str">
        <f aca="false">IF(OR(O767="",O767="Sin información"),"",IFERROR(INDEX(Listas!$B$2:$B$9,MATCH(O767,Listas!$A$2:$A$9,0)),""))</f>
        <v>No</v>
      </c>
      <c r="Q767" s="25" t="str">
        <f aca="false">IF(OR(O767="",O767="Sin información"),"",IFERROR(INDEX(Listas!$C$2:$C$9,MATCH(O767,Listas!$A$2:$A$9,0)),""))</f>
        <v>No</v>
      </c>
      <c r="R767" s="22"/>
      <c r="S767" s="22"/>
      <c r="T767" s="25" t="str">
        <f aca="false">IF(S767="","",IFERROR(INDEX(Empleadores!$B$2:$B$601,MATCH(S767,Empleadores!$A$2:$A$601,0)),"No encontrado"))</f>
        <v/>
      </c>
      <c r="U767" s="25" t="str">
        <f aca="false">IF(C767="","",IF(V767="","No",IF(Config!$C$4-V767&lt;=Config!$C$15,"Sí","No")))</f>
        <v>Sí</v>
      </c>
      <c r="V767" s="23" t="n">
        <v>45967</v>
      </c>
      <c r="W767" s="22"/>
      <c r="X767" s="22"/>
      <c r="Y767" s="22" t="s">
        <v>181</v>
      </c>
      <c r="Z767" s="27" t="s">
        <v>2650</v>
      </c>
      <c r="AA767" s="22" t="s">
        <v>3446</v>
      </c>
      <c r="AB767" s="22" t="s">
        <v>1553</v>
      </c>
    </row>
    <row r="768" customFormat="false" ht="15" hidden="false" customHeight="false" outlineLevel="0" collapsed="false">
      <c r="A768" s="22" t="n">
        <v>767</v>
      </c>
      <c r="B768" s="22" t="s">
        <v>3447</v>
      </c>
      <c r="C768" s="22" t="s">
        <v>3448</v>
      </c>
      <c r="D768" s="22" t="s">
        <v>149</v>
      </c>
      <c r="E768" s="22" t="s">
        <v>139</v>
      </c>
      <c r="F768" s="22" t="s">
        <v>107</v>
      </c>
      <c r="G768" s="23" t="n">
        <v>45838</v>
      </c>
      <c r="H768" s="24" t="n">
        <f aca="false">IF(G768="","",ROUND((Config!$C$4-G768)/365.25,2))</f>
        <v>1.25</v>
      </c>
      <c r="I768" s="25" t="str">
        <f aca="false">IF(H768="","",IF(H768&lt;=1,"Tramo 1",IF(H768&lt;=3,"Tramo 2",IF(H768&lt;=5,"Tramo 3","Tramo 4"))))</f>
        <v>Tramo 2</v>
      </c>
      <c r="J768" s="22" t="s">
        <v>2639</v>
      </c>
      <c r="K768" s="22"/>
      <c r="L768" s="22" t="s">
        <v>3449</v>
      </c>
      <c r="M768" s="26" t="s">
        <v>3450</v>
      </c>
      <c r="N768" s="22"/>
      <c r="O768" s="22" t="s">
        <v>63</v>
      </c>
      <c r="P768" s="25" t="str">
        <f aca="false">IF(OR(O768="",O768="Sin información"),"",IFERROR(INDEX(Listas!$B$2:$B$9,MATCH(O768,Listas!$A$2:$A$9,0)),""))</f>
        <v/>
      </c>
      <c r="Q768" s="25" t="str">
        <f aca="false">IF(OR(O768="",O768="Sin información"),"",IFERROR(INDEX(Listas!$C$2:$C$9,MATCH(O768,Listas!$A$2:$A$9,0)),""))</f>
        <v/>
      </c>
      <c r="R768" s="22"/>
      <c r="S768" s="22"/>
      <c r="T768" s="25" t="str">
        <f aca="false">IF(S768="","",IFERROR(INDEX(Empleadores!$B$2:$B$601,MATCH(S768,Empleadores!$A$2:$A$601,0)),"No encontrado"))</f>
        <v/>
      </c>
      <c r="U768" s="25" t="str">
        <f aca="false">IF(C768="","",IF(V768="","No",IF(Config!$C$4-V768&lt;=Config!$C$15,"Sí","No")))</f>
        <v>No</v>
      </c>
      <c r="V768" s="23"/>
      <c r="W768" s="22"/>
      <c r="X768" s="22"/>
      <c r="Y768" s="22"/>
      <c r="Z768" s="27"/>
      <c r="AA768" s="22"/>
      <c r="AB768" s="22"/>
    </row>
    <row r="769" customFormat="false" ht="15" hidden="false" customHeight="false" outlineLevel="0" collapsed="false">
      <c r="A769" s="22" t="n">
        <v>768</v>
      </c>
      <c r="B769" s="22" t="s">
        <v>3451</v>
      </c>
      <c r="C769" s="22" t="s">
        <v>3452</v>
      </c>
      <c r="D769" s="22" t="s">
        <v>149</v>
      </c>
      <c r="E769" s="22" t="s">
        <v>139</v>
      </c>
      <c r="F769" s="22" t="s">
        <v>107</v>
      </c>
      <c r="G769" s="23" t="n">
        <v>45838</v>
      </c>
      <c r="H769" s="24" t="n">
        <f aca="false">IF(G769="","",ROUND((Config!$C$4-G769)/365.25,2))</f>
        <v>1.25</v>
      </c>
      <c r="I769" s="25" t="str">
        <f aca="false">IF(H769="","",IF(H769&lt;=1,"Tramo 1",IF(H769&lt;=3,"Tramo 2",IF(H769&lt;=5,"Tramo 3","Tramo 4"))))</f>
        <v>Tramo 2</v>
      </c>
      <c r="J769" s="22" t="s">
        <v>166</v>
      </c>
      <c r="K769" s="22"/>
      <c r="L769" s="22" t="s">
        <v>3453</v>
      </c>
      <c r="M769" s="26" t="s">
        <v>3454</v>
      </c>
      <c r="N769" s="22" t="s">
        <v>3455</v>
      </c>
      <c r="O769" s="22" t="s">
        <v>90</v>
      </c>
      <c r="P769" s="25" t="str">
        <f aca="false">IF(OR(O769="",O769="Sin información"),"",IFERROR(INDEX(Listas!$B$2:$B$9,MATCH(O769,Listas!$A$2:$A$9,0)),""))</f>
        <v>No</v>
      </c>
      <c r="Q769" s="25" t="str">
        <f aca="false">IF(OR(O769="",O769="Sin información"),"",IFERROR(INDEX(Listas!$C$2:$C$9,MATCH(O769,Listas!$A$2:$A$9,0)),""))</f>
        <v>No</v>
      </c>
      <c r="R769" s="22"/>
      <c r="S769" s="22"/>
      <c r="T769" s="25" t="str">
        <f aca="false">IF(S769="","",IFERROR(INDEX(Empleadores!$B$2:$B$601,MATCH(S769,Empleadores!$A$2:$A$601,0)),"No encontrado"))</f>
        <v/>
      </c>
      <c r="U769" s="25" t="str">
        <f aca="false">IF(C769="","",IF(V769="","No",IF(Config!$C$4-V769&lt;=Config!$C$15,"Sí","No")))</f>
        <v>Sí</v>
      </c>
      <c r="V769" s="23" t="n">
        <v>45952</v>
      </c>
      <c r="W769" s="22"/>
      <c r="X769" s="22"/>
      <c r="Y769" s="22"/>
      <c r="Z769" s="27" t="s">
        <v>2517</v>
      </c>
      <c r="AA769" s="22" t="s">
        <v>3456</v>
      </c>
      <c r="AB769" s="22" t="s">
        <v>2252</v>
      </c>
    </row>
    <row r="770" customFormat="false" ht="15" hidden="false" customHeight="false" outlineLevel="0" collapsed="false">
      <c r="A770" s="22" t="n">
        <v>769</v>
      </c>
      <c r="B770" s="22" t="s">
        <v>3457</v>
      </c>
      <c r="C770" s="22" t="s">
        <v>3458</v>
      </c>
      <c r="D770" s="22" t="s">
        <v>149</v>
      </c>
      <c r="E770" s="22" t="s">
        <v>139</v>
      </c>
      <c r="F770" s="22" t="s">
        <v>107</v>
      </c>
      <c r="G770" s="23" t="n">
        <v>45838</v>
      </c>
      <c r="H770" s="24" t="n">
        <f aca="false">IF(G770="","",ROUND((Config!$C$4-G770)/365.25,2))</f>
        <v>1.25</v>
      </c>
      <c r="I770" s="25" t="str">
        <f aca="false">IF(H770="","",IF(H770&lt;=1,"Tramo 1",IF(H770&lt;=3,"Tramo 2",IF(H770&lt;=5,"Tramo 3","Tramo 4"))))</f>
        <v>Tramo 2</v>
      </c>
      <c r="J770" s="22" t="s">
        <v>2639</v>
      </c>
      <c r="K770" s="22"/>
      <c r="L770" s="22" t="s">
        <v>3459</v>
      </c>
      <c r="M770" s="26" t="s">
        <v>3460</v>
      </c>
      <c r="N770" s="22"/>
      <c r="O770" s="22" t="s">
        <v>63</v>
      </c>
      <c r="P770" s="25" t="str">
        <f aca="false">IF(OR(O770="",O770="Sin información"),"",IFERROR(INDEX(Listas!$B$2:$B$9,MATCH(O770,Listas!$A$2:$A$9,0)),""))</f>
        <v/>
      </c>
      <c r="Q770" s="25" t="str">
        <f aca="false">IF(OR(O770="",O770="Sin información"),"",IFERROR(INDEX(Listas!$C$2:$C$9,MATCH(O770,Listas!$A$2:$A$9,0)),""))</f>
        <v/>
      </c>
      <c r="R770" s="22"/>
      <c r="S770" s="22"/>
      <c r="T770" s="25" t="str">
        <f aca="false">IF(S770="","",IFERROR(INDEX(Empleadores!$B$2:$B$601,MATCH(S770,Empleadores!$A$2:$A$601,0)),"No encontrado"))</f>
        <v/>
      </c>
      <c r="U770" s="25" t="str">
        <f aca="false">IF(C770="","",IF(V770="","No",IF(Config!$C$4-V770&lt;=Config!$C$15,"Sí","No")))</f>
        <v>No</v>
      </c>
      <c r="V770" s="23"/>
      <c r="W770" s="22"/>
      <c r="X770" s="22"/>
      <c r="Y770" s="22"/>
      <c r="Z770" s="27"/>
      <c r="AA770" s="22" t="s">
        <v>3461</v>
      </c>
      <c r="AB770" s="22" t="s">
        <v>1691</v>
      </c>
    </row>
    <row r="771" customFormat="false" ht="15" hidden="false" customHeight="false" outlineLevel="0" collapsed="false">
      <c r="A771" s="22" t="n">
        <v>770</v>
      </c>
      <c r="B771" s="22" t="s">
        <v>3462</v>
      </c>
      <c r="C771" s="22" t="s">
        <v>3463</v>
      </c>
      <c r="D771" s="22" t="s">
        <v>138</v>
      </c>
      <c r="E771" s="22" t="s">
        <v>139</v>
      </c>
      <c r="F771" s="22" t="s">
        <v>107</v>
      </c>
      <c r="G771" s="23" t="n">
        <v>45838</v>
      </c>
      <c r="H771" s="24" t="n">
        <f aca="false">IF(G771="","",ROUND((Config!$C$4-G771)/365.25,2))</f>
        <v>1.25</v>
      </c>
      <c r="I771" s="25" t="str">
        <f aca="false">IF(H771="","",IF(H771&lt;=1,"Tramo 1",IF(H771&lt;=3,"Tramo 2",IF(H771&lt;=5,"Tramo 3","Tramo 4"))))</f>
        <v>Tramo 2</v>
      </c>
      <c r="J771" s="22" t="s">
        <v>140</v>
      </c>
      <c r="K771" s="22"/>
      <c r="L771" s="22" t="s">
        <v>3464</v>
      </c>
      <c r="M771" s="26" t="s">
        <v>3465</v>
      </c>
      <c r="N771" s="22"/>
      <c r="O771" s="22" t="s">
        <v>90</v>
      </c>
      <c r="P771" s="25" t="str">
        <f aca="false">IF(OR(O771="",O771="Sin información"),"",IFERROR(INDEX(Listas!$B$2:$B$9,MATCH(O771,Listas!$A$2:$A$9,0)),""))</f>
        <v>No</v>
      </c>
      <c r="Q771" s="25" t="str">
        <f aca="false">IF(OR(O771="",O771="Sin información"),"",IFERROR(INDEX(Listas!$C$2:$C$9,MATCH(O771,Listas!$A$2:$A$9,0)),""))</f>
        <v>No</v>
      </c>
      <c r="R771" s="22"/>
      <c r="S771" s="22"/>
      <c r="T771" s="25" t="str">
        <f aca="false">IF(S771="","",IFERROR(INDEX(Empleadores!$B$2:$B$601,MATCH(S771,Empleadores!$A$2:$A$601,0)),"No encontrado"))</f>
        <v/>
      </c>
      <c r="U771" s="25" t="str">
        <f aca="false">IF(C771="","",IF(V771="","No",IF(Config!$C$4-V771&lt;=Config!$C$15,"Sí","No")))</f>
        <v>Sí</v>
      </c>
      <c r="V771" s="23" t="n">
        <v>45980</v>
      </c>
      <c r="W771" s="22" t="s">
        <v>181</v>
      </c>
      <c r="X771" s="22" t="n">
        <v>4</v>
      </c>
      <c r="Y771" s="22"/>
      <c r="Z771" s="27"/>
      <c r="AA771" s="22" t="s">
        <v>3466</v>
      </c>
      <c r="AB771" s="22" t="s">
        <v>3467</v>
      </c>
    </row>
    <row r="772" customFormat="false" ht="15" hidden="false" customHeight="false" outlineLevel="0" collapsed="false">
      <c r="A772" s="22" t="n">
        <v>771</v>
      </c>
      <c r="B772" s="22" t="s">
        <v>3468</v>
      </c>
      <c r="C772" s="22" t="s">
        <v>3469</v>
      </c>
      <c r="D772" s="22" t="s">
        <v>149</v>
      </c>
      <c r="E772" s="22" t="s">
        <v>139</v>
      </c>
      <c r="F772" s="22" t="s">
        <v>107</v>
      </c>
      <c r="G772" s="23" t="n">
        <v>45838</v>
      </c>
      <c r="H772" s="24" t="n">
        <f aca="false">IF(G772="","",ROUND((Config!$C$4-G772)/365.25,2))</f>
        <v>1.25</v>
      </c>
      <c r="I772" s="25" t="str">
        <f aca="false">IF(H772="","",IF(H772&lt;=1,"Tramo 1",IF(H772&lt;=3,"Tramo 2",IF(H772&lt;=5,"Tramo 3","Tramo 4"))))</f>
        <v>Tramo 2</v>
      </c>
      <c r="J772" s="22" t="s">
        <v>2639</v>
      </c>
      <c r="K772" s="22"/>
      <c r="L772" s="22" t="s">
        <v>3470</v>
      </c>
      <c r="M772" s="26" t="s">
        <v>3471</v>
      </c>
      <c r="N772" s="22"/>
      <c r="O772" s="22" t="s">
        <v>63</v>
      </c>
      <c r="P772" s="25" t="str">
        <f aca="false">IF(OR(O772="",O772="Sin información"),"",IFERROR(INDEX(Listas!$B$2:$B$9,MATCH(O772,Listas!$A$2:$A$9,0)),""))</f>
        <v/>
      </c>
      <c r="Q772" s="25" t="str">
        <f aca="false">IF(OR(O772="",O772="Sin información"),"",IFERROR(INDEX(Listas!$C$2:$C$9,MATCH(O772,Listas!$A$2:$A$9,0)),""))</f>
        <v/>
      </c>
      <c r="R772" s="22"/>
      <c r="S772" s="22"/>
      <c r="T772" s="25" t="str">
        <f aca="false">IF(S772="","",IFERROR(INDEX(Empleadores!$B$2:$B$601,MATCH(S772,Empleadores!$A$2:$A$601,0)),"No encontrado"))</f>
        <v/>
      </c>
      <c r="U772" s="25" t="str">
        <f aca="false">IF(C772="","",IF(V772="","No",IF(Config!$C$4-V772&lt;=Config!$C$15,"Sí","No")))</f>
        <v>No</v>
      </c>
      <c r="V772" s="23"/>
      <c r="W772" s="22"/>
      <c r="X772" s="22"/>
      <c r="Y772" s="22"/>
      <c r="Z772" s="27"/>
      <c r="AA772" s="22" t="s">
        <v>3472</v>
      </c>
      <c r="AB772" s="22" t="s">
        <v>1691</v>
      </c>
    </row>
    <row r="773" customFormat="false" ht="15" hidden="false" customHeight="false" outlineLevel="0" collapsed="false">
      <c r="A773" s="22" t="n">
        <v>772</v>
      </c>
      <c r="B773" s="22" t="s">
        <v>3473</v>
      </c>
      <c r="C773" s="22" t="s">
        <v>3474</v>
      </c>
      <c r="D773" s="22" t="s">
        <v>138</v>
      </c>
      <c r="E773" s="22" t="s">
        <v>139</v>
      </c>
      <c r="F773" s="22" t="s">
        <v>107</v>
      </c>
      <c r="G773" s="23" t="n">
        <v>45838</v>
      </c>
      <c r="H773" s="24" t="n">
        <f aca="false">IF(G773="","",ROUND((Config!$C$4-G773)/365.25,2))</f>
        <v>1.25</v>
      </c>
      <c r="I773" s="25" t="str">
        <f aca="false">IF(H773="","",IF(H773&lt;=1,"Tramo 1",IF(H773&lt;=3,"Tramo 2",IF(H773&lt;=5,"Tramo 3","Tramo 4"))))</f>
        <v>Tramo 2</v>
      </c>
      <c r="J773" s="22" t="s">
        <v>2639</v>
      </c>
      <c r="K773" s="22"/>
      <c r="L773" s="22" t="s">
        <v>3475</v>
      </c>
      <c r="M773" s="26" t="s">
        <v>3476</v>
      </c>
      <c r="N773" s="22"/>
      <c r="O773" s="22" t="s">
        <v>63</v>
      </c>
      <c r="P773" s="25" t="str">
        <f aca="false">IF(OR(O773="",O773="Sin información"),"",IFERROR(INDEX(Listas!$B$2:$B$9,MATCH(O773,Listas!$A$2:$A$9,0)),""))</f>
        <v/>
      </c>
      <c r="Q773" s="25" t="str">
        <f aca="false">IF(OR(O773="",O773="Sin información"),"",IFERROR(INDEX(Listas!$C$2:$C$9,MATCH(O773,Listas!$A$2:$A$9,0)),""))</f>
        <v/>
      </c>
      <c r="R773" s="22"/>
      <c r="S773" s="22"/>
      <c r="T773" s="25" t="str">
        <f aca="false">IF(S773="","",IFERROR(INDEX(Empleadores!$B$2:$B$601,MATCH(S773,Empleadores!$A$2:$A$601,0)),"No encontrado"))</f>
        <v/>
      </c>
      <c r="U773" s="25" t="str">
        <f aca="false">IF(C773="","",IF(V773="","No",IF(Config!$C$4-V773&lt;=Config!$C$15,"Sí","No")))</f>
        <v>No</v>
      </c>
      <c r="V773" s="23"/>
      <c r="W773" s="22"/>
      <c r="X773" s="22"/>
      <c r="Y773" s="22"/>
      <c r="Z773" s="27"/>
      <c r="AA773" s="22" t="s">
        <v>3477</v>
      </c>
      <c r="AB773" s="22" t="s">
        <v>1691</v>
      </c>
    </row>
    <row r="774" customFormat="false" ht="15" hidden="false" customHeight="false" outlineLevel="0" collapsed="false">
      <c r="A774" s="22" t="n">
        <v>773</v>
      </c>
      <c r="B774" s="22" t="s">
        <v>3478</v>
      </c>
      <c r="C774" s="22" t="s">
        <v>3479</v>
      </c>
      <c r="D774" s="22" t="s">
        <v>138</v>
      </c>
      <c r="E774" s="22" t="s">
        <v>139</v>
      </c>
      <c r="F774" s="22" t="s">
        <v>107</v>
      </c>
      <c r="G774" s="23" t="n">
        <v>45838</v>
      </c>
      <c r="H774" s="24" t="n">
        <f aca="false">IF(G774="","",ROUND((Config!$C$4-G774)/365.25,2))</f>
        <v>1.25</v>
      </c>
      <c r="I774" s="25" t="str">
        <f aca="false">IF(H774="","",IF(H774&lt;=1,"Tramo 1",IF(H774&lt;=3,"Tramo 2",IF(H774&lt;=5,"Tramo 3","Tramo 4"))))</f>
        <v>Tramo 2</v>
      </c>
      <c r="J774" s="22" t="s">
        <v>166</v>
      </c>
      <c r="K774" s="22"/>
      <c r="L774" s="22" t="s">
        <v>3480</v>
      </c>
      <c r="M774" s="26" t="s">
        <v>3481</v>
      </c>
      <c r="N774" s="22"/>
      <c r="O774" s="22" t="s">
        <v>63</v>
      </c>
      <c r="P774" s="25" t="str">
        <f aca="false">IF(OR(O774="",O774="Sin información"),"",IFERROR(INDEX(Listas!$B$2:$B$9,MATCH(O774,Listas!$A$2:$A$9,0)),""))</f>
        <v/>
      </c>
      <c r="Q774" s="25" t="str">
        <f aca="false">IF(OR(O774="",O774="Sin información"),"",IFERROR(INDEX(Listas!$C$2:$C$9,MATCH(O774,Listas!$A$2:$A$9,0)),""))</f>
        <v/>
      </c>
      <c r="R774" s="22"/>
      <c r="S774" s="22"/>
      <c r="T774" s="25" t="str">
        <f aca="false">IF(S774="","",IFERROR(INDEX(Empleadores!$B$2:$B$601,MATCH(S774,Empleadores!$A$2:$A$601,0)),"No encontrado"))</f>
        <v/>
      </c>
      <c r="U774" s="25" t="str">
        <f aca="false">IF(C774="","",IF(V774="","No",IF(Config!$C$4-V774&lt;=Config!$C$15,"Sí","No")))</f>
        <v>No</v>
      </c>
      <c r="V774" s="23"/>
      <c r="W774" s="22"/>
      <c r="X774" s="22"/>
      <c r="Y774" s="22"/>
      <c r="Z774" s="27"/>
      <c r="AA774" s="22"/>
      <c r="AB774" s="22"/>
    </row>
    <row r="775" customFormat="false" ht="15" hidden="false" customHeight="false" outlineLevel="0" collapsed="false">
      <c r="A775" s="22" t="n">
        <v>774</v>
      </c>
      <c r="B775" s="22" t="s">
        <v>3482</v>
      </c>
      <c r="C775" s="22" t="s">
        <v>3483</v>
      </c>
      <c r="D775" s="22" t="s">
        <v>149</v>
      </c>
      <c r="E775" s="22" t="s">
        <v>139</v>
      </c>
      <c r="F775" s="22" t="s">
        <v>107</v>
      </c>
      <c r="G775" s="23" t="n">
        <v>45838</v>
      </c>
      <c r="H775" s="24" t="n">
        <f aca="false">IF(G775="","",ROUND((Config!$C$4-G775)/365.25,2))</f>
        <v>1.25</v>
      </c>
      <c r="I775" s="25" t="str">
        <f aca="false">IF(H775="","",IF(H775&lt;=1,"Tramo 1",IF(H775&lt;=3,"Tramo 2",IF(H775&lt;=5,"Tramo 3","Tramo 4"))))</f>
        <v>Tramo 2</v>
      </c>
      <c r="J775" s="22" t="s">
        <v>2639</v>
      </c>
      <c r="K775" s="22"/>
      <c r="L775" s="22" t="s">
        <v>3484</v>
      </c>
      <c r="M775" s="26" t="s">
        <v>3485</v>
      </c>
      <c r="N775" s="22"/>
      <c r="O775" s="22" t="s">
        <v>63</v>
      </c>
      <c r="P775" s="25" t="str">
        <f aca="false">IF(OR(O775="",O775="Sin información"),"",IFERROR(INDEX(Listas!$B$2:$B$9,MATCH(O775,Listas!$A$2:$A$9,0)),""))</f>
        <v/>
      </c>
      <c r="Q775" s="25" t="str">
        <f aca="false">IF(OR(O775="",O775="Sin información"),"",IFERROR(INDEX(Listas!$C$2:$C$9,MATCH(O775,Listas!$A$2:$A$9,0)),""))</f>
        <v/>
      </c>
      <c r="R775" s="22"/>
      <c r="S775" s="22"/>
      <c r="T775" s="25" t="str">
        <f aca="false">IF(S775="","",IFERROR(INDEX(Empleadores!$B$2:$B$601,MATCH(S775,Empleadores!$A$2:$A$601,0)),"No encontrado"))</f>
        <v/>
      </c>
      <c r="U775" s="25" t="str">
        <f aca="false">IF(C775="","",IF(V775="","No",IF(Config!$C$4-V775&lt;=Config!$C$15,"Sí","No")))</f>
        <v>No</v>
      </c>
      <c r="V775" s="23"/>
      <c r="W775" s="22"/>
      <c r="X775" s="22"/>
      <c r="Y775" s="22"/>
      <c r="Z775" s="27"/>
      <c r="AA775" s="22" t="s">
        <v>3486</v>
      </c>
      <c r="AB775" s="22" t="s">
        <v>1691</v>
      </c>
    </row>
    <row r="776" customFormat="false" ht="15" hidden="false" customHeight="false" outlineLevel="0" collapsed="false">
      <c r="A776" s="22" t="n">
        <v>775</v>
      </c>
      <c r="B776" s="22" t="s">
        <v>3487</v>
      </c>
      <c r="C776" s="22" t="s">
        <v>3488</v>
      </c>
      <c r="D776" s="22" t="s">
        <v>138</v>
      </c>
      <c r="E776" s="22" t="s">
        <v>139</v>
      </c>
      <c r="F776" s="22" t="s">
        <v>107</v>
      </c>
      <c r="G776" s="23" t="n">
        <v>45838</v>
      </c>
      <c r="H776" s="24" t="n">
        <f aca="false">IF(G776="","",ROUND((Config!$C$4-G776)/365.25,2))</f>
        <v>1.25</v>
      </c>
      <c r="I776" s="25" t="str">
        <f aca="false">IF(H776="","",IF(H776&lt;=1,"Tramo 1",IF(H776&lt;=3,"Tramo 2",IF(H776&lt;=5,"Tramo 3","Tramo 4"))))</f>
        <v>Tramo 2</v>
      </c>
      <c r="J776" s="22" t="s">
        <v>140</v>
      </c>
      <c r="K776" s="22"/>
      <c r="L776" s="22" t="s">
        <v>3489</v>
      </c>
      <c r="M776" s="26" t="s">
        <v>3490</v>
      </c>
      <c r="N776" s="22"/>
      <c r="O776" s="22" t="s">
        <v>90</v>
      </c>
      <c r="P776" s="25" t="str">
        <f aca="false">IF(OR(O776="",O776="Sin información"),"",IFERROR(INDEX(Listas!$B$2:$B$9,MATCH(O776,Listas!$A$2:$A$9,0)),""))</f>
        <v>No</v>
      </c>
      <c r="Q776" s="25" t="str">
        <f aca="false">IF(OR(O776="",O776="Sin información"),"",IFERROR(INDEX(Listas!$C$2:$C$9,MATCH(O776,Listas!$A$2:$A$9,0)),""))</f>
        <v>No</v>
      </c>
      <c r="R776" s="22"/>
      <c r="S776" s="22"/>
      <c r="T776" s="25" t="str">
        <f aca="false">IF(S776="","",IFERROR(INDEX(Empleadores!$B$2:$B$601,MATCH(S776,Empleadores!$A$2:$A$601,0)),"No encontrado"))</f>
        <v/>
      </c>
      <c r="U776" s="25" t="str">
        <f aca="false">IF(C776="","",IF(V776="","No",IF(Config!$C$4-V776&lt;=Config!$C$15,"Sí","No")))</f>
        <v>Sí</v>
      </c>
      <c r="V776" s="23" t="n">
        <v>45974</v>
      </c>
      <c r="W776" s="22" t="s">
        <v>181</v>
      </c>
      <c r="X776" s="22" t="n">
        <v>5</v>
      </c>
      <c r="Y776" s="22" t="s">
        <v>181</v>
      </c>
      <c r="Z776" s="27"/>
      <c r="AA776" s="22" t="s">
        <v>3491</v>
      </c>
      <c r="AB776" s="22" t="s">
        <v>3492</v>
      </c>
    </row>
    <row r="777" customFormat="false" ht="15" hidden="false" customHeight="false" outlineLevel="0" collapsed="false">
      <c r="A777" s="22" t="n">
        <v>776</v>
      </c>
      <c r="B777" s="22" t="s">
        <v>3493</v>
      </c>
      <c r="C777" s="22" t="s">
        <v>3494</v>
      </c>
      <c r="D777" s="22" t="s">
        <v>138</v>
      </c>
      <c r="E777" s="22" t="s">
        <v>139</v>
      </c>
      <c r="F777" s="22" t="s">
        <v>107</v>
      </c>
      <c r="G777" s="23" t="n">
        <v>45838</v>
      </c>
      <c r="H777" s="24" t="n">
        <f aca="false">IF(G777="","",ROUND((Config!$C$4-G777)/365.25,2))</f>
        <v>1.25</v>
      </c>
      <c r="I777" s="25" t="str">
        <f aca="false">IF(H777="","",IF(H777&lt;=1,"Tramo 1",IF(H777&lt;=3,"Tramo 2",IF(H777&lt;=5,"Tramo 3","Tramo 4"))))</f>
        <v>Tramo 2</v>
      </c>
      <c r="J777" s="22" t="s">
        <v>2639</v>
      </c>
      <c r="K777" s="22"/>
      <c r="L777" s="22" t="s">
        <v>3495</v>
      </c>
      <c r="M777" s="26" t="s">
        <v>3496</v>
      </c>
      <c r="N777" s="22"/>
      <c r="O777" s="22" t="s">
        <v>90</v>
      </c>
      <c r="P777" s="25" t="str">
        <f aca="false">IF(OR(O777="",O777="Sin información"),"",IFERROR(INDEX(Listas!$B$2:$B$9,MATCH(O777,Listas!$A$2:$A$9,0)),""))</f>
        <v>No</v>
      </c>
      <c r="Q777" s="25" t="str">
        <f aca="false">IF(OR(O777="",O777="Sin información"),"",IFERROR(INDEX(Listas!$C$2:$C$9,MATCH(O777,Listas!$A$2:$A$9,0)),""))</f>
        <v>No</v>
      </c>
      <c r="R777" s="22"/>
      <c r="S777" s="22"/>
      <c r="T777" s="25" t="str">
        <f aca="false">IF(S777="","",IFERROR(INDEX(Empleadores!$B$2:$B$601,MATCH(S777,Empleadores!$A$2:$A$601,0)),"No encontrado"))</f>
        <v/>
      </c>
      <c r="U777" s="25" t="str">
        <f aca="false">IF(C777="","",IF(V777="","No",IF(Config!$C$4-V777&lt;=Config!$C$15,"Sí","No")))</f>
        <v>Sí</v>
      </c>
      <c r="V777" s="23" t="n">
        <v>46000</v>
      </c>
      <c r="W777" s="22" t="s">
        <v>181</v>
      </c>
      <c r="X777" s="22" t="n">
        <v>3</v>
      </c>
      <c r="Y777" s="22"/>
      <c r="Z777" s="27"/>
      <c r="AA777" s="22" t="s">
        <v>3491</v>
      </c>
      <c r="AB777" s="22" t="s">
        <v>3497</v>
      </c>
    </row>
    <row r="778" customFormat="false" ht="15" hidden="false" customHeight="false" outlineLevel="0" collapsed="false">
      <c r="A778" s="22" t="n">
        <v>777</v>
      </c>
      <c r="B778" s="22" t="s">
        <v>3498</v>
      </c>
      <c r="C778" s="22" t="s">
        <v>3499</v>
      </c>
      <c r="D778" s="22" t="s">
        <v>138</v>
      </c>
      <c r="E778" s="22" t="s">
        <v>139</v>
      </c>
      <c r="F778" s="22" t="s">
        <v>107</v>
      </c>
      <c r="G778" s="23" t="n">
        <v>45838</v>
      </c>
      <c r="H778" s="24" t="n">
        <f aca="false">IF(G778="","",ROUND((Config!$C$4-G778)/365.25,2))</f>
        <v>1.25</v>
      </c>
      <c r="I778" s="25" t="str">
        <f aca="false">IF(H778="","",IF(H778&lt;=1,"Tramo 1",IF(H778&lt;=3,"Tramo 2",IF(H778&lt;=5,"Tramo 3","Tramo 4"))))</f>
        <v>Tramo 2</v>
      </c>
      <c r="J778" s="22" t="s">
        <v>166</v>
      </c>
      <c r="K778" s="22"/>
      <c r="L778" s="22" t="s">
        <v>3500</v>
      </c>
      <c r="M778" s="26" t="s">
        <v>3501</v>
      </c>
      <c r="N778" s="22"/>
      <c r="O778" s="22" t="s">
        <v>63</v>
      </c>
      <c r="P778" s="25" t="str">
        <f aca="false">IF(OR(O778="",O778="Sin información"),"",IFERROR(INDEX(Listas!$B$2:$B$9,MATCH(O778,Listas!$A$2:$A$9,0)),""))</f>
        <v/>
      </c>
      <c r="Q778" s="25" t="str">
        <f aca="false">IF(OR(O778="",O778="Sin información"),"",IFERROR(INDEX(Listas!$C$2:$C$9,MATCH(O778,Listas!$A$2:$A$9,0)),""))</f>
        <v/>
      </c>
      <c r="R778" s="22"/>
      <c r="S778" s="22"/>
      <c r="T778" s="25" t="str">
        <f aca="false">IF(S778="","",IFERROR(INDEX(Empleadores!$B$2:$B$601,MATCH(S778,Empleadores!$A$2:$A$601,0)),"No encontrado"))</f>
        <v/>
      </c>
      <c r="U778" s="25" t="str">
        <f aca="false">IF(C778="","",IF(V778="","No",IF(Config!$C$4-V778&lt;=Config!$C$15,"Sí","No")))</f>
        <v>No</v>
      </c>
      <c r="V778" s="23"/>
      <c r="W778" s="22"/>
      <c r="X778" s="22"/>
      <c r="Y778" s="22"/>
      <c r="Z778" s="27"/>
      <c r="AA778" s="22" t="s">
        <v>3502</v>
      </c>
      <c r="AB778" s="22" t="s">
        <v>1691</v>
      </c>
    </row>
    <row r="779" customFormat="false" ht="15" hidden="false" customHeight="false" outlineLevel="0" collapsed="false">
      <c r="A779" s="22" t="n">
        <v>778</v>
      </c>
      <c r="B779" s="22" t="s">
        <v>3503</v>
      </c>
      <c r="C779" s="22" t="s">
        <v>3504</v>
      </c>
      <c r="D779" s="22" t="s">
        <v>138</v>
      </c>
      <c r="E779" s="22" t="s">
        <v>139</v>
      </c>
      <c r="F779" s="22" t="s">
        <v>107</v>
      </c>
      <c r="G779" s="23" t="n">
        <v>45838</v>
      </c>
      <c r="H779" s="24" t="n">
        <f aca="false">IF(G779="","",ROUND((Config!$C$4-G779)/365.25,2))</f>
        <v>1.25</v>
      </c>
      <c r="I779" s="25" t="str">
        <f aca="false">IF(H779="","",IF(H779&lt;=1,"Tramo 1",IF(H779&lt;=3,"Tramo 2",IF(H779&lt;=5,"Tramo 3","Tramo 4"))))</f>
        <v>Tramo 2</v>
      </c>
      <c r="J779" s="22" t="s">
        <v>166</v>
      </c>
      <c r="K779" s="22"/>
      <c r="L779" s="22" t="s">
        <v>3505</v>
      </c>
      <c r="M779" s="26" t="s">
        <v>3506</v>
      </c>
      <c r="N779" s="22"/>
      <c r="O779" s="22" t="s">
        <v>63</v>
      </c>
      <c r="P779" s="25" t="str">
        <f aca="false">IF(OR(O779="",O779="Sin información"),"",IFERROR(INDEX(Listas!$B$2:$B$9,MATCH(O779,Listas!$A$2:$A$9,0)),""))</f>
        <v/>
      </c>
      <c r="Q779" s="25" t="str">
        <f aca="false">IF(OR(O779="",O779="Sin información"),"",IFERROR(INDEX(Listas!$C$2:$C$9,MATCH(O779,Listas!$A$2:$A$9,0)),""))</f>
        <v/>
      </c>
      <c r="R779" s="22"/>
      <c r="S779" s="22"/>
      <c r="T779" s="25" t="str">
        <f aca="false">IF(S779="","",IFERROR(INDEX(Empleadores!$B$2:$B$601,MATCH(S779,Empleadores!$A$2:$A$601,0)),"No encontrado"))</f>
        <v/>
      </c>
      <c r="U779" s="25" t="str">
        <f aca="false">IF(C779="","",IF(V779="","No",IF(Config!$C$4-V779&lt;=Config!$C$15,"Sí","No")))</f>
        <v>No</v>
      </c>
      <c r="V779" s="23"/>
      <c r="W779" s="22"/>
      <c r="X779" s="22"/>
      <c r="Y779" s="22"/>
      <c r="Z779" s="27"/>
      <c r="AA779" s="22"/>
      <c r="AB779" s="22"/>
    </row>
    <row r="780" customFormat="false" ht="15" hidden="false" customHeight="false" outlineLevel="0" collapsed="false">
      <c r="A780" s="22" t="n">
        <v>779</v>
      </c>
      <c r="B780" s="22" t="s">
        <v>3507</v>
      </c>
      <c r="C780" s="22" t="s">
        <v>3508</v>
      </c>
      <c r="D780" s="22" t="s">
        <v>149</v>
      </c>
      <c r="E780" s="22" t="s">
        <v>139</v>
      </c>
      <c r="F780" s="22" t="s">
        <v>107</v>
      </c>
      <c r="G780" s="23" t="n">
        <v>45838</v>
      </c>
      <c r="H780" s="24" t="n">
        <f aca="false">IF(G780="","",ROUND((Config!$C$4-G780)/365.25,2))</f>
        <v>1.25</v>
      </c>
      <c r="I780" s="25" t="str">
        <f aca="false">IF(H780="","",IF(H780&lt;=1,"Tramo 1",IF(H780&lt;=3,"Tramo 2",IF(H780&lt;=5,"Tramo 3","Tramo 4"))))</f>
        <v>Tramo 2</v>
      </c>
      <c r="J780" s="22" t="s">
        <v>166</v>
      </c>
      <c r="K780" s="22"/>
      <c r="L780" s="22" t="s">
        <v>3509</v>
      </c>
      <c r="M780" s="26" t="s">
        <v>3510</v>
      </c>
      <c r="N780" s="22"/>
      <c r="O780" s="22" t="s">
        <v>90</v>
      </c>
      <c r="P780" s="25" t="str">
        <f aca="false">IF(OR(O780="",O780="Sin información"),"",IFERROR(INDEX(Listas!$B$2:$B$9,MATCH(O780,Listas!$A$2:$A$9,0)),""))</f>
        <v>No</v>
      </c>
      <c r="Q780" s="25" t="str">
        <f aca="false">IF(OR(O780="",O780="Sin información"),"",IFERROR(INDEX(Listas!$C$2:$C$9,MATCH(O780,Listas!$A$2:$A$9,0)),""))</f>
        <v>No</v>
      </c>
      <c r="R780" s="22"/>
      <c r="S780" s="22"/>
      <c r="T780" s="25" t="str">
        <f aca="false">IF(S780="","",IFERROR(INDEX(Empleadores!$B$2:$B$601,MATCH(S780,Empleadores!$A$2:$A$601,0)),"No encontrado"))</f>
        <v/>
      </c>
      <c r="U780" s="25" t="str">
        <f aca="false">IF(C780="","",IF(V780="","No",IF(Config!$C$4-V780&lt;=Config!$C$15,"Sí","No")))</f>
        <v>Sí</v>
      </c>
      <c r="V780" s="23" t="n">
        <v>46000</v>
      </c>
      <c r="W780" s="22" t="s">
        <v>181</v>
      </c>
      <c r="X780" s="22" t="n">
        <v>4</v>
      </c>
      <c r="Y780" s="22"/>
      <c r="Z780" s="27"/>
      <c r="AA780" s="22" t="s">
        <v>3511</v>
      </c>
      <c r="AB780" s="22" t="s">
        <v>3467</v>
      </c>
    </row>
    <row r="781" customFormat="false" ht="15" hidden="false" customHeight="false" outlineLevel="0" collapsed="false">
      <c r="A781" s="22" t="n">
        <v>780</v>
      </c>
      <c r="B781" s="22" t="s">
        <v>3512</v>
      </c>
      <c r="C781" s="22" t="s">
        <v>3513</v>
      </c>
      <c r="D781" s="22" t="s">
        <v>138</v>
      </c>
      <c r="E781" s="22" t="s">
        <v>139</v>
      </c>
      <c r="F781" s="22" t="s">
        <v>107</v>
      </c>
      <c r="G781" s="23" t="n">
        <v>45838</v>
      </c>
      <c r="H781" s="24" t="n">
        <f aca="false">IF(G781="","",ROUND((Config!$C$4-G781)/365.25,2))</f>
        <v>1.25</v>
      </c>
      <c r="I781" s="25" t="str">
        <f aca="false">IF(H781="","",IF(H781&lt;=1,"Tramo 1",IF(H781&lt;=3,"Tramo 2",IF(H781&lt;=5,"Tramo 3","Tramo 4"))))</f>
        <v>Tramo 2</v>
      </c>
      <c r="J781" s="22" t="s">
        <v>2639</v>
      </c>
      <c r="K781" s="22"/>
      <c r="L781" s="22" t="s">
        <v>3514</v>
      </c>
      <c r="M781" s="26" t="s">
        <v>3515</v>
      </c>
      <c r="N781" s="22"/>
      <c r="O781" s="22" t="s">
        <v>63</v>
      </c>
      <c r="P781" s="25" t="str">
        <f aca="false">IF(OR(O781="",O781="Sin información"),"",IFERROR(INDEX(Listas!$B$2:$B$9,MATCH(O781,Listas!$A$2:$A$9,0)),""))</f>
        <v/>
      </c>
      <c r="Q781" s="25" t="str">
        <f aca="false">IF(OR(O781="",O781="Sin información"),"",IFERROR(INDEX(Listas!$C$2:$C$9,MATCH(O781,Listas!$A$2:$A$9,0)),""))</f>
        <v/>
      </c>
      <c r="R781" s="22"/>
      <c r="S781" s="22"/>
      <c r="T781" s="25" t="str">
        <f aca="false">IF(S781="","",IFERROR(INDEX(Empleadores!$B$2:$B$601,MATCH(S781,Empleadores!$A$2:$A$601,0)),"No encontrado"))</f>
        <v/>
      </c>
      <c r="U781" s="25" t="str">
        <f aca="false">IF(C781="","",IF(V781="","No",IF(Config!$C$4-V781&lt;=Config!$C$15,"Sí","No")))</f>
        <v>No</v>
      </c>
      <c r="V781" s="23"/>
      <c r="W781" s="22"/>
      <c r="X781" s="22"/>
      <c r="Y781" s="22"/>
      <c r="Z781" s="27"/>
      <c r="AA781" s="22" t="s">
        <v>3516</v>
      </c>
      <c r="AB781" s="22" t="s">
        <v>1691</v>
      </c>
    </row>
    <row r="782" customFormat="false" ht="15" hidden="false" customHeight="false" outlineLevel="0" collapsed="false">
      <c r="A782" s="22" t="n">
        <v>781</v>
      </c>
      <c r="B782" s="22" t="s">
        <v>3517</v>
      </c>
      <c r="C782" s="22" t="s">
        <v>3518</v>
      </c>
      <c r="D782" s="22" t="s">
        <v>138</v>
      </c>
      <c r="E782" s="22" t="s">
        <v>139</v>
      </c>
      <c r="F782" s="22" t="s">
        <v>107</v>
      </c>
      <c r="G782" s="23" t="n">
        <v>45838</v>
      </c>
      <c r="H782" s="24" t="n">
        <f aca="false">IF(G782="","",ROUND((Config!$C$4-G782)/365.25,2))</f>
        <v>1.25</v>
      </c>
      <c r="I782" s="25" t="str">
        <f aca="false">IF(H782="","",IF(H782&lt;=1,"Tramo 1",IF(H782&lt;=3,"Tramo 2",IF(H782&lt;=5,"Tramo 3","Tramo 4"))))</f>
        <v>Tramo 2</v>
      </c>
      <c r="J782" s="22" t="s">
        <v>166</v>
      </c>
      <c r="K782" s="22"/>
      <c r="L782" s="22" t="s">
        <v>3519</v>
      </c>
      <c r="M782" s="26" t="s">
        <v>3520</v>
      </c>
      <c r="N782" s="22"/>
      <c r="O782" s="22" t="s">
        <v>63</v>
      </c>
      <c r="P782" s="25" t="str">
        <f aca="false">IF(OR(O782="",O782="Sin información"),"",IFERROR(INDEX(Listas!$B$2:$B$9,MATCH(O782,Listas!$A$2:$A$9,0)),""))</f>
        <v/>
      </c>
      <c r="Q782" s="25" t="str">
        <f aca="false">IF(OR(O782="",O782="Sin información"),"",IFERROR(INDEX(Listas!$C$2:$C$9,MATCH(O782,Listas!$A$2:$A$9,0)),""))</f>
        <v/>
      </c>
      <c r="R782" s="22"/>
      <c r="S782" s="22"/>
      <c r="T782" s="25" t="str">
        <f aca="false">IF(S782="","",IFERROR(INDEX(Empleadores!$B$2:$B$601,MATCH(S782,Empleadores!$A$2:$A$601,0)),"No encontrado"))</f>
        <v/>
      </c>
      <c r="U782" s="25" t="str">
        <f aca="false">IF(C782="","",IF(V782="","No",IF(Config!$C$4-V782&lt;=Config!$C$15,"Sí","No")))</f>
        <v>No</v>
      </c>
      <c r="V782" s="23"/>
      <c r="W782" s="22"/>
      <c r="X782" s="22"/>
      <c r="Y782" s="22"/>
      <c r="Z782" s="27"/>
      <c r="AA782" s="22" t="s">
        <v>3521</v>
      </c>
      <c r="AB782" s="22" t="s">
        <v>1691</v>
      </c>
    </row>
    <row r="783" customFormat="false" ht="15" hidden="false" customHeight="false" outlineLevel="0" collapsed="false">
      <c r="A783" s="22" t="n">
        <v>782</v>
      </c>
      <c r="B783" s="22" t="s">
        <v>3522</v>
      </c>
      <c r="C783" s="22" t="s">
        <v>3523</v>
      </c>
      <c r="D783" s="22" t="s">
        <v>149</v>
      </c>
      <c r="E783" s="22" t="s">
        <v>139</v>
      </c>
      <c r="F783" s="22" t="s">
        <v>107</v>
      </c>
      <c r="G783" s="23" t="n">
        <v>45838</v>
      </c>
      <c r="H783" s="24" t="n">
        <f aca="false">IF(G783="","",ROUND((Config!$C$4-G783)/365.25,2))</f>
        <v>1.25</v>
      </c>
      <c r="I783" s="25" t="str">
        <f aca="false">IF(H783="","",IF(H783&lt;=1,"Tramo 1",IF(H783&lt;=3,"Tramo 2",IF(H783&lt;=5,"Tramo 3","Tramo 4"))))</f>
        <v>Tramo 2</v>
      </c>
      <c r="J783" s="22" t="s">
        <v>2639</v>
      </c>
      <c r="K783" s="22"/>
      <c r="L783" s="22" t="s">
        <v>3524</v>
      </c>
      <c r="M783" s="26" t="s">
        <v>3525</v>
      </c>
      <c r="N783" s="22"/>
      <c r="O783" s="22" t="s">
        <v>63</v>
      </c>
      <c r="P783" s="25" t="str">
        <f aca="false">IF(OR(O783="",O783="Sin información"),"",IFERROR(INDEX(Listas!$B$2:$B$9,MATCH(O783,Listas!$A$2:$A$9,0)),""))</f>
        <v/>
      </c>
      <c r="Q783" s="25" t="str">
        <f aca="false">IF(OR(O783="",O783="Sin información"),"",IFERROR(INDEX(Listas!$C$2:$C$9,MATCH(O783,Listas!$A$2:$A$9,0)),""))</f>
        <v/>
      </c>
      <c r="R783" s="22"/>
      <c r="S783" s="22"/>
      <c r="T783" s="25" t="str">
        <f aca="false">IF(S783="","",IFERROR(INDEX(Empleadores!$B$2:$B$601,MATCH(S783,Empleadores!$A$2:$A$601,0)),"No encontrado"))</f>
        <v/>
      </c>
      <c r="U783" s="25" t="str">
        <f aca="false">IF(C783="","",IF(V783="","No",IF(Config!$C$4-V783&lt;=Config!$C$15,"Sí","No")))</f>
        <v>No</v>
      </c>
      <c r="V783" s="23"/>
      <c r="W783" s="22"/>
      <c r="X783" s="22"/>
      <c r="Y783" s="22"/>
      <c r="Z783" s="27"/>
      <c r="AA783" s="22"/>
      <c r="AB783" s="22"/>
    </row>
    <row r="784" customFormat="false" ht="15" hidden="false" customHeight="false" outlineLevel="0" collapsed="false">
      <c r="A784" s="22" t="n">
        <v>783</v>
      </c>
      <c r="B784" s="22" t="s">
        <v>3526</v>
      </c>
      <c r="C784" s="22" t="s">
        <v>3527</v>
      </c>
      <c r="D784" s="22" t="s">
        <v>138</v>
      </c>
      <c r="E784" s="22" t="s">
        <v>139</v>
      </c>
      <c r="F784" s="22" t="s">
        <v>107</v>
      </c>
      <c r="G784" s="23" t="n">
        <v>45838</v>
      </c>
      <c r="H784" s="24" t="n">
        <f aca="false">IF(G784="","",ROUND((Config!$C$4-G784)/365.25,2))</f>
        <v>1.25</v>
      </c>
      <c r="I784" s="25" t="str">
        <f aca="false">IF(H784="","",IF(H784&lt;=1,"Tramo 1",IF(H784&lt;=3,"Tramo 2",IF(H784&lt;=5,"Tramo 3","Tramo 4"))))</f>
        <v>Tramo 2</v>
      </c>
      <c r="J784" s="22" t="s">
        <v>2639</v>
      </c>
      <c r="K784" s="22"/>
      <c r="L784" s="22" t="s">
        <v>3528</v>
      </c>
      <c r="M784" s="26" t="s">
        <v>3529</v>
      </c>
      <c r="N784" s="22" t="s">
        <v>139</v>
      </c>
      <c r="O784" s="22" t="s">
        <v>90</v>
      </c>
      <c r="P784" s="25" t="str">
        <f aca="false">IF(OR(O784="",O784="Sin información"),"",IFERROR(INDEX(Listas!$B$2:$B$9,MATCH(O784,Listas!$A$2:$A$9,0)),""))</f>
        <v>No</v>
      </c>
      <c r="Q784" s="25" t="str">
        <f aca="false">IF(OR(O784="",O784="Sin información"),"",IFERROR(INDEX(Listas!$C$2:$C$9,MATCH(O784,Listas!$A$2:$A$9,0)),""))</f>
        <v>No</v>
      </c>
      <c r="R784" s="22"/>
      <c r="S784" s="22"/>
      <c r="T784" s="25" t="str">
        <f aca="false">IF(S784="","",IFERROR(INDEX(Empleadores!$B$2:$B$601,MATCH(S784,Empleadores!$A$2:$A$601,0)),"No encontrado"))</f>
        <v/>
      </c>
      <c r="U784" s="25" t="str">
        <f aca="false">IF(C784="","",IF(V784="","No",IF(Config!$C$4-V784&lt;=Config!$C$15,"Sí","No")))</f>
        <v>Sí</v>
      </c>
      <c r="V784" s="23" t="n">
        <v>46000</v>
      </c>
      <c r="W784" s="22" t="s">
        <v>181</v>
      </c>
      <c r="X784" s="22" t="n">
        <v>4</v>
      </c>
      <c r="Y784" s="22" t="s">
        <v>181</v>
      </c>
      <c r="Z784" s="27" t="s">
        <v>3530</v>
      </c>
      <c r="AA784" s="22" t="s">
        <v>3531</v>
      </c>
      <c r="AB784" s="22" t="s">
        <v>3532</v>
      </c>
    </row>
    <row r="785" customFormat="false" ht="15" hidden="false" customHeight="false" outlineLevel="0" collapsed="false">
      <c r="A785" s="22" t="n">
        <v>784</v>
      </c>
      <c r="B785" s="22" t="s">
        <v>3533</v>
      </c>
      <c r="C785" s="22" t="s">
        <v>3534</v>
      </c>
      <c r="D785" s="22" t="s">
        <v>138</v>
      </c>
      <c r="E785" s="22" t="s">
        <v>139</v>
      </c>
      <c r="F785" s="22" t="s">
        <v>107</v>
      </c>
      <c r="G785" s="23" t="n">
        <v>45838</v>
      </c>
      <c r="H785" s="24" t="n">
        <f aca="false">IF(G785="","",ROUND((Config!$C$4-G785)/365.25,2))</f>
        <v>1.25</v>
      </c>
      <c r="I785" s="25" t="str">
        <f aca="false">IF(H785="","",IF(H785&lt;=1,"Tramo 1",IF(H785&lt;=3,"Tramo 2",IF(H785&lt;=5,"Tramo 3","Tramo 4"))))</f>
        <v>Tramo 2</v>
      </c>
      <c r="J785" s="22" t="s">
        <v>166</v>
      </c>
      <c r="K785" s="22"/>
      <c r="L785" s="22" t="s">
        <v>3535</v>
      </c>
      <c r="M785" s="26" t="s">
        <v>3536</v>
      </c>
      <c r="N785" s="22"/>
      <c r="O785" s="22" t="s">
        <v>90</v>
      </c>
      <c r="P785" s="25" t="str">
        <f aca="false">IF(OR(O785="",O785="Sin información"),"",IFERROR(INDEX(Listas!$B$2:$B$9,MATCH(O785,Listas!$A$2:$A$9,0)),""))</f>
        <v>No</v>
      </c>
      <c r="Q785" s="25" t="str">
        <f aca="false">IF(OR(O785="",O785="Sin información"),"",IFERROR(INDEX(Listas!$C$2:$C$9,MATCH(O785,Listas!$A$2:$A$9,0)),""))</f>
        <v>No</v>
      </c>
      <c r="R785" s="22"/>
      <c r="S785" s="22"/>
      <c r="T785" s="25" t="str">
        <f aca="false">IF(S785="","",IFERROR(INDEX(Empleadores!$B$2:$B$601,MATCH(S785,Empleadores!$A$2:$A$601,0)),"No encontrado"))</f>
        <v/>
      </c>
      <c r="U785" s="25" t="str">
        <f aca="false">IF(C785="","",IF(V785="","No",IF(Config!$C$4-V785&lt;=Config!$C$15,"Sí","No")))</f>
        <v>Sí</v>
      </c>
      <c r="V785" s="23" t="n">
        <v>45968</v>
      </c>
      <c r="W785" s="22"/>
      <c r="X785" s="22"/>
      <c r="Y785" s="22" t="s">
        <v>181</v>
      </c>
      <c r="Z785" s="27" t="s">
        <v>2650</v>
      </c>
      <c r="AA785" s="22" t="s">
        <v>2594</v>
      </c>
      <c r="AB785" s="22" t="s">
        <v>2667</v>
      </c>
    </row>
    <row r="786" customFormat="false" ht="15" hidden="false" customHeight="false" outlineLevel="0" collapsed="false">
      <c r="A786" s="22" t="n">
        <v>785</v>
      </c>
      <c r="B786" s="22" t="s">
        <v>3537</v>
      </c>
      <c r="C786" s="22" t="s">
        <v>3538</v>
      </c>
      <c r="D786" s="22" t="s">
        <v>138</v>
      </c>
      <c r="E786" s="22" t="s">
        <v>139</v>
      </c>
      <c r="F786" s="22" t="s">
        <v>107</v>
      </c>
      <c r="G786" s="23" t="n">
        <v>45838</v>
      </c>
      <c r="H786" s="24" t="n">
        <f aca="false">IF(G786="","",ROUND((Config!$C$4-G786)/365.25,2))</f>
        <v>1.25</v>
      </c>
      <c r="I786" s="25" t="str">
        <f aca="false">IF(H786="","",IF(H786&lt;=1,"Tramo 1",IF(H786&lt;=3,"Tramo 2",IF(H786&lt;=5,"Tramo 3","Tramo 4"))))</f>
        <v>Tramo 2</v>
      </c>
      <c r="J786" s="22" t="s">
        <v>166</v>
      </c>
      <c r="K786" s="22"/>
      <c r="L786" s="22" t="s">
        <v>3539</v>
      </c>
      <c r="M786" s="26" t="s">
        <v>3540</v>
      </c>
      <c r="N786" s="22"/>
      <c r="O786" s="22" t="s">
        <v>63</v>
      </c>
      <c r="P786" s="25" t="str">
        <f aca="false">IF(OR(O786="",O786="Sin información"),"",IFERROR(INDEX(Listas!$B$2:$B$9,MATCH(O786,Listas!$A$2:$A$9,0)),""))</f>
        <v/>
      </c>
      <c r="Q786" s="25" t="str">
        <f aca="false">IF(OR(O786="",O786="Sin información"),"",IFERROR(INDEX(Listas!$C$2:$C$9,MATCH(O786,Listas!$A$2:$A$9,0)),""))</f>
        <v/>
      </c>
      <c r="R786" s="22"/>
      <c r="S786" s="22"/>
      <c r="T786" s="25" t="str">
        <f aca="false">IF(S786="","",IFERROR(INDEX(Empleadores!$B$2:$B$601,MATCH(S786,Empleadores!$A$2:$A$601,0)),"No encontrado"))</f>
        <v/>
      </c>
      <c r="U786" s="25" t="str">
        <f aca="false">IF(C786="","",IF(V786="","No",IF(Config!$C$4-V786&lt;=Config!$C$15,"Sí","No")))</f>
        <v>No</v>
      </c>
      <c r="V786" s="23"/>
      <c r="W786" s="22"/>
      <c r="X786" s="22"/>
      <c r="Y786" s="22"/>
      <c r="Z786" s="27"/>
      <c r="AA786" s="22" t="s">
        <v>3541</v>
      </c>
      <c r="AB786" s="22" t="s">
        <v>1691</v>
      </c>
    </row>
    <row r="787" customFormat="false" ht="15" hidden="false" customHeight="false" outlineLevel="0" collapsed="false">
      <c r="A787" s="22" t="n">
        <v>786</v>
      </c>
      <c r="B787" s="22" t="s">
        <v>3542</v>
      </c>
      <c r="C787" s="22" t="s">
        <v>3543</v>
      </c>
      <c r="D787" s="22" t="s">
        <v>138</v>
      </c>
      <c r="E787" s="22" t="s">
        <v>139</v>
      </c>
      <c r="F787" s="22" t="s">
        <v>107</v>
      </c>
      <c r="G787" s="23" t="n">
        <v>45838</v>
      </c>
      <c r="H787" s="24" t="n">
        <f aca="false">IF(G787="","",ROUND((Config!$C$4-G787)/365.25,2))</f>
        <v>1.25</v>
      </c>
      <c r="I787" s="25" t="str">
        <f aca="false">IF(H787="","",IF(H787&lt;=1,"Tramo 1",IF(H787&lt;=3,"Tramo 2",IF(H787&lt;=5,"Tramo 3","Tramo 4"))))</f>
        <v>Tramo 2</v>
      </c>
      <c r="J787" s="22" t="s">
        <v>2639</v>
      </c>
      <c r="K787" s="22"/>
      <c r="L787" s="22" t="s">
        <v>3544</v>
      </c>
      <c r="M787" s="26" t="s">
        <v>3545</v>
      </c>
      <c r="N787" s="22"/>
      <c r="O787" s="22" t="s">
        <v>63</v>
      </c>
      <c r="P787" s="25" t="str">
        <f aca="false">IF(OR(O787="",O787="Sin información"),"",IFERROR(INDEX(Listas!$B$2:$B$9,MATCH(O787,Listas!$A$2:$A$9,0)),""))</f>
        <v/>
      </c>
      <c r="Q787" s="25" t="str">
        <f aca="false">IF(OR(O787="",O787="Sin información"),"",IFERROR(INDEX(Listas!$C$2:$C$9,MATCH(O787,Listas!$A$2:$A$9,0)),""))</f>
        <v/>
      </c>
      <c r="R787" s="22"/>
      <c r="S787" s="22"/>
      <c r="T787" s="25" t="str">
        <f aca="false">IF(S787="","",IFERROR(INDEX(Empleadores!$B$2:$B$601,MATCH(S787,Empleadores!$A$2:$A$601,0)),"No encontrado"))</f>
        <v/>
      </c>
      <c r="U787" s="25" t="str">
        <f aca="false">IF(C787="","",IF(V787="","No",IF(Config!$C$4-V787&lt;=Config!$C$15,"Sí","No")))</f>
        <v>No</v>
      </c>
      <c r="V787" s="23"/>
      <c r="W787" s="22"/>
      <c r="X787" s="22"/>
      <c r="Y787" s="22"/>
      <c r="Z787" s="27"/>
      <c r="AA787" s="22"/>
      <c r="AB787" s="22"/>
    </row>
    <row r="788" customFormat="false" ht="15" hidden="false" customHeight="false" outlineLevel="0" collapsed="false">
      <c r="A788" s="22" t="n">
        <v>787</v>
      </c>
      <c r="B788" s="22" t="s">
        <v>3546</v>
      </c>
      <c r="C788" s="22" t="s">
        <v>3547</v>
      </c>
      <c r="D788" s="22" t="s">
        <v>149</v>
      </c>
      <c r="E788" s="22" t="s">
        <v>139</v>
      </c>
      <c r="F788" s="22" t="s">
        <v>107</v>
      </c>
      <c r="G788" s="23" t="n">
        <v>45838</v>
      </c>
      <c r="H788" s="24" t="n">
        <f aca="false">IF(G788="","",ROUND((Config!$C$4-G788)/365.25,2))</f>
        <v>1.25</v>
      </c>
      <c r="I788" s="25" t="str">
        <f aca="false">IF(H788="","",IF(H788&lt;=1,"Tramo 1",IF(H788&lt;=3,"Tramo 2",IF(H788&lt;=5,"Tramo 3","Tramo 4"))))</f>
        <v>Tramo 2</v>
      </c>
      <c r="J788" s="22" t="s">
        <v>2639</v>
      </c>
      <c r="K788" s="22"/>
      <c r="L788" s="22" t="s">
        <v>3548</v>
      </c>
      <c r="M788" s="26" t="s">
        <v>3549</v>
      </c>
      <c r="N788" s="22"/>
      <c r="O788" s="22" t="s">
        <v>63</v>
      </c>
      <c r="P788" s="25" t="str">
        <f aca="false">IF(OR(O788="",O788="Sin información"),"",IFERROR(INDEX(Listas!$B$2:$B$9,MATCH(O788,Listas!$A$2:$A$9,0)),""))</f>
        <v/>
      </c>
      <c r="Q788" s="25" t="str">
        <f aca="false">IF(OR(O788="",O788="Sin información"),"",IFERROR(INDEX(Listas!$C$2:$C$9,MATCH(O788,Listas!$A$2:$A$9,0)),""))</f>
        <v/>
      </c>
      <c r="R788" s="22"/>
      <c r="S788" s="22"/>
      <c r="T788" s="25" t="str">
        <f aca="false">IF(S788="","",IFERROR(INDEX(Empleadores!$B$2:$B$601,MATCH(S788,Empleadores!$A$2:$A$601,0)),"No encontrado"))</f>
        <v/>
      </c>
      <c r="U788" s="25" t="str">
        <f aca="false">IF(C788="","",IF(V788="","No",IF(Config!$C$4-V788&lt;=Config!$C$15,"Sí","No")))</f>
        <v>No</v>
      </c>
      <c r="V788" s="23"/>
      <c r="W788" s="22"/>
      <c r="X788" s="22"/>
      <c r="Y788" s="22"/>
      <c r="Z788" s="27"/>
      <c r="AA788" s="22"/>
      <c r="AB788" s="22"/>
    </row>
    <row r="789" customFormat="false" ht="15" hidden="false" customHeight="false" outlineLevel="0" collapsed="false">
      <c r="A789" s="22" t="n">
        <v>788</v>
      </c>
      <c r="B789" s="22" t="s">
        <v>3550</v>
      </c>
      <c r="C789" s="22" t="s">
        <v>3551</v>
      </c>
      <c r="D789" s="22" t="s">
        <v>138</v>
      </c>
      <c r="E789" s="22" t="s">
        <v>139</v>
      </c>
      <c r="F789" s="22" t="s">
        <v>107</v>
      </c>
      <c r="G789" s="23" t="n">
        <v>45838</v>
      </c>
      <c r="H789" s="24" t="n">
        <f aca="false">IF(G789="","",ROUND((Config!$C$4-G789)/365.25,2))</f>
        <v>1.25</v>
      </c>
      <c r="I789" s="25" t="str">
        <f aca="false">IF(H789="","",IF(H789&lt;=1,"Tramo 1",IF(H789&lt;=3,"Tramo 2",IF(H789&lt;=5,"Tramo 3","Tramo 4"))))</f>
        <v>Tramo 2</v>
      </c>
      <c r="J789" s="22" t="s">
        <v>2639</v>
      </c>
      <c r="K789" s="22"/>
      <c r="L789" s="22" t="s">
        <v>3552</v>
      </c>
      <c r="M789" s="26" t="s">
        <v>3553</v>
      </c>
      <c r="N789" s="22"/>
      <c r="O789" s="22" t="s">
        <v>90</v>
      </c>
      <c r="P789" s="25" t="str">
        <f aca="false">IF(OR(O789="",O789="Sin información"),"",IFERROR(INDEX(Listas!$B$2:$B$9,MATCH(O789,Listas!$A$2:$A$9,0)),""))</f>
        <v>No</v>
      </c>
      <c r="Q789" s="25" t="str">
        <f aca="false">IF(OR(O789="",O789="Sin información"),"",IFERROR(INDEX(Listas!$C$2:$C$9,MATCH(O789,Listas!$A$2:$A$9,0)),""))</f>
        <v>No</v>
      </c>
      <c r="R789" s="22"/>
      <c r="S789" s="22"/>
      <c r="T789" s="25" t="str">
        <f aca="false">IF(S789="","",IFERROR(INDEX(Empleadores!$B$2:$B$601,MATCH(S789,Empleadores!$A$2:$A$601,0)),"No encontrado"))</f>
        <v/>
      </c>
      <c r="U789" s="25" t="str">
        <f aca="false">IF(C789="","",IF(V789="","No",IF(Config!$C$4-V789&lt;=Config!$C$15,"Sí","No")))</f>
        <v>Sí</v>
      </c>
      <c r="V789" s="23" t="n">
        <v>45951</v>
      </c>
      <c r="W789" s="22"/>
      <c r="X789" s="22"/>
      <c r="Y789" s="22"/>
      <c r="Z789" s="27" t="s">
        <v>2250</v>
      </c>
      <c r="AA789" s="22" t="s">
        <v>3554</v>
      </c>
      <c r="AB789" s="22" t="s">
        <v>2252</v>
      </c>
    </row>
    <row r="790" customFormat="false" ht="15" hidden="false" customHeight="false" outlineLevel="0" collapsed="false">
      <c r="A790" s="22" t="n">
        <v>789</v>
      </c>
      <c r="B790" s="22" t="s">
        <v>3555</v>
      </c>
      <c r="C790" s="22" t="s">
        <v>3556</v>
      </c>
      <c r="D790" s="22" t="s">
        <v>149</v>
      </c>
      <c r="E790" s="22" t="s">
        <v>139</v>
      </c>
      <c r="F790" s="22" t="s">
        <v>107</v>
      </c>
      <c r="G790" s="23" t="n">
        <v>45838</v>
      </c>
      <c r="H790" s="24" t="n">
        <f aca="false">IF(G790="","",ROUND((Config!$C$4-G790)/365.25,2))</f>
        <v>1.25</v>
      </c>
      <c r="I790" s="25" t="str">
        <f aca="false">IF(H790="","",IF(H790&lt;=1,"Tramo 1",IF(H790&lt;=3,"Tramo 2",IF(H790&lt;=5,"Tramo 3","Tramo 4"))))</f>
        <v>Tramo 2</v>
      </c>
      <c r="J790" s="22" t="s">
        <v>2639</v>
      </c>
      <c r="K790" s="22"/>
      <c r="L790" s="22" t="s">
        <v>3557</v>
      </c>
      <c r="M790" s="26" t="s">
        <v>3558</v>
      </c>
      <c r="N790" s="22"/>
      <c r="O790" s="22" t="s">
        <v>63</v>
      </c>
      <c r="P790" s="25" t="str">
        <f aca="false">IF(OR(O790="",O790="Sin información"),"",IFERROR(INDEX(Listas!$B$2:$B$9,MATCH(O790,Listas!$A$2:$A$9,0)),""))</f>
        <v/>
      </c>
      <c r="Q790" s="25" t="str">
        <f aca="false">IF(OR(O790="",O790="Sin información"),"",IFERROR(INDEX(Listas!$C$2:$C$9,MATCH(O790,Listas!$A$2:$A$9,0)),""))</f>
        <v/>
      </c>
      <c r="R790" s="22"/>
      <c r="S790" s="22"/>
      <c r="T790" s="25" t="str">
        <f aca="false">IF(S790="","",IFERROR(INDEX(Empleadores!$B$2:$B$601,MATCH(S790,Empleadores!$A$2:$A$601,0)),"No encontrado"))</f>
        <v/>
      </c>
      <c r="U790" s="25" t="str">
        <f aca="false">IF(C790="","",IF(V790="","No",IF(Config!$C$4-V790&lt;=Config!$C$15,"Sí","No")))</f>
        <v>No</v>
      </c>
      <c r="V790" s="23"/>
      <c r="W790" s="22"/>
      <c r="X790" s="22"/>
      <c r="Y790" s="22"/>
      <c r="Z790" s="27"/>
      <c r="AA790" s="22"/>
      <c r="AB790" s="22"/>
    </row>
    <row r="791" customFormat="false" ht="15" hidden="false" customHeight="false" outlineLevel="0" collapsed="false">
      <c r="A791" s="22" t="n">
        <v>790</v>
      </c>
      <c r="B791" s="22" t="s">
        <v>3559</v>
      </c>
      <c r="C791" s="22" t="s">
        <v>3560</v>
      </c>
      <c r="D791" s="22" t="s">
        <v>149</v>
      </c>
      <c r="E791" s="22" t="s">
        <v>139</v>
      </c>
      <c r="F791" s="22" t="s">
        <v>107</v>
      </c>
      <c r="G791" s="23" t="n">
        <v>45838</v>
      </c>
      <c r="H791" s="24" t="n">
        <f aca="false">IF(G791="","",ROUND((Config!$C$4-G791)/365.25,2))</f>
        <v>1.25</v>
      </c>
      <c r="I791" s="25" t="str">
        <f aca="false">IF(H791="","",IF(H791&lt;=1,"Tramo 1",IF(H791&lt;=3,"Tramo 2",IF(H791&lt;=5,"Tramo 3","Tramo 4"))))</f>
        <v>Tramo 2</v>
      </c>
      <c r="J791" s="22" t="s">
        <v>2639</v>
      </c>
      <c r="K791" s="22"/>
      <c r="L791" s="22" t="s">
        <v>3561</v>
      </c>
      <c r="M791" s="26" t="s">
        <v>3562</v>
      </c>
      <c r="N791" s="22"/>
      <c r="O791" s="22" t="s">
        <v>90</v>
      </c>
      <c r="P791" s="25" t="str">
        <f aca="false">IF(OR(O791="",O791="Sin información"),"",IFERROR(INDEX(Listas!$B$2:$B$9,MATCH(O791,Listas!$A$2:$A$9,0)),""))</f>
        <v>No</v>
      </c>
      <c r="Q791" s="25" t="str">
        <f aca="false">IF(OR(O791="",O791="Sin información"),"",IFERROR(INDEX(Listas!$C$2:$C$9,MATCH(O791,Listas!$A$2:$A$9,0)),""))</f>
        <v>No</v>
      </c>
      <c r="R791" s="22"/>
      <c r="S791" s="22"/>
      <c r="T791" s="25" t="str">
        <f aca="false">IF(S791="","",IFERROR(INDEX(Empleadores!$B$2:$B$601,MATCH(S791,Empleadores!$A$2:$A$601,0)),"No encontrado"))</f>
        <v/>
      </c>
      <c r="U791" s="25" t="str">
        <f aca="false">IF(C791="","",IF(V791="","No",IF(Config!$C$4-V791&lt;=Config!$C$15,"Sí","No")))</f>
        <v>Sí</v>
      </c>
      <c r="V791" s="23" t="n">
        <v>45956</v>
      </c>
      <c r="W791" s="22"/>
      <c r="X791" s="22"/>
      <c r="Y791" s="22"/>
      <c r="Z791" s="27" t="s">
        <v>2250</v>
      </c>
      <c r="AA791" s="22" t="s">
        <v>2594</v>
      </c>
      <c r="AB791" s="22" t="s">
        <v>2265</v>
      </c>
    </row>
    <row r="792" customFormat="false" ht="15" hidden="false" customHeight="false" outlineLevel="0" collapsed="false">
      <c r="A792" s="22" t="n">
        <v>791</v>
      </c>
      <c r="B792" s="22" t="s">
        <v>3563</v>
      </c>
      <c r="C792" s="22" t="s">
        <v>3564</v>
      </c>
      <c r="D792" s="22" t="s">
        <v>149</v>
      </c>
      <c r="E792" s="22" t="s">
        <v>139</v>
      </c>
      <c r="F792" s="22" t="s">
        <v>107</v>
      </c>
      <c r="G792" s="23" t="n">
        <v>45838</v>
      </c>
      <c r="H792" s="24" t="n">
        <f aca="false">IF(G792="","",ROUND((Config!$C$4-G792)/365.25,2))</f>
        <v>1.25</v>
      </c>
      <c r="I792" s="25" t="str">
        <f aca="false">IF(H792="","",IF(H792&lt;=1,"Tramo 1",IF(H792&lt;=3,"Tramo 2",IF(H792&lt;=5,"Tramo 3","Tramo 4"))))</f>
        <v>Tramo 2</v>
      </c>
      <c r="J792" s="22" t="s">
        <v>2639</v>
      </c>
      <c r="K792" s="22"/>
      <c r="L792" s="22" t="s">
        <v>3565</v>
      </c>
      <c r="M792" s="26" t="s">
        <v>3566</v>
      </c>
      <c r="N792" s="22"/>
      <c r="O792" s="22" t="s">
        <v>63</v>
      </c>
      <c r="P792" s="25" t="str">
        <f aca="false">IF(OR(O792="",O792="Sin información"),"",IFERROR(INDEX(Listas!$B$2:$B$9,MATCH(O792,Listas!$A$2:$A$9,0)),""))</f>
        <v/>
      </c>
      <c r="Q792" s="25" t="str">
        <f aca="false">IF(OR(O792="",O792="Sin información"),"",IFERROR(INDEX(Listas!$C$2:$C$9,MATCH(O792,Listas!$A$2:$A$9,0)),""))</f>
        <v/>
      </c>
      <c r="R792" s="22"/>
      <c r="S792" s="22"/>
      <c r="T792" s="25" t="str">
        <f aca="false">IF(S792="","",IFERROR(INDEX(Empleadores!$B$2:$B$601,MATCH(S792,Empleadores!$A$2:$A$601,0)),"No encontrado"))</f>
        <v/>
      </c>
      <c r="U792" s="25" t="str">
        <f aca="false">IF(C792="","",IF(V792="","No",IF(Config!$C$4-V792&lt;=Config!$C$15,"Sí","No")))</f>
        <v>No</v>
      </c>
      <c r="V792" s="23"/>
      <c r="W792" s="22"/>
      <c r="X792" s="22"/>
      <c r="Y792" s="22"/>
      <c r="Z792" s="27"/>
      <c r="AA792" s="22" t="s">
        <v>3567</v>
      </c>
      <c r="AB792" s="22" t="s">
        <v>1691</v>
      </c>
    </row>
    <row r="793" customFormat="false" ht="15" hidden="false" customHeight="false" outlineLevel="0" collapsed="false">
      <c r="A793" s="22" t="n">
        <v>792</v>
      </c>
      <c r="B793" s="22" t="s">
        <v>3568</v>
      </c>
      <c r="C793" s="22" t="s">
        <v>3569</v>
      </c>
      <c r="D793" s="22" t="s">
        <v>138</v>
      </c>
      <c r="E793" s="22" t="s">
        <v>139</v>
      </c>
      <c r="F793" s="22" t="s">
        <v>107</v>
      </c>
      <c r="G793" s="23" t="n">
        <v>45838</v>
      </c>
      <c r="H793" s="24" t="n">
        <f aca="false">IF(G793="","",ROUND((Config!$C$4-G793)/365.25,2))</f>
        <v>1.25</v>
      </c>
      <c r="I793" s="25" t="str">
        <f aca="false">IF(H793="","",IF(H793&lt;=1,"Tramo 1",IF(H793&lt;=3,"Tramo 2",IF(H793&lt;=5,"Tramo 3","Tramo 4"))))</f>
        <v>Tramo 2</v>
      </c>
      <c r="J793" s="22" t="s">
        <v>166</v>
      </c>
      <c r="K793" s="22"/>
      <c r="L793" s="22" t="s">
        <v>3570</v>
      </c>
      <c r="M793" s="26" t="s">
        <v>3571</v>
      </c>
      <c r="N793" s="22"/>
      <c r="O793" s="22" t="s">
        <v>63</v>
      </c>
      <c r="P793" s="25" t="str">
        <f aca="false">IF(OR(O793="",O793="Sin información"),"",IFERROR(INDEX(Listas!$B$2:$B$9,MATCH(O793,Listas!$A$2:$A$9,0)),""))</f>
        <v/>
      </c>
      <c r="Q793" s="25" t="str">
        <f aca="false">IF(OR(O793="",O793="Sin información"),"",IFERROR(INDEX(Listas!$C$2:$C$9,MATCH(O793,Listas!$A$2:$A$9,0)),""))</f>
        <v/>
      </c>
      <c r="R793" s="22"/>
      <c r="S793" s="22"/>
      <c r="T793" s="25" t="str">
        <f aca="false">IF(S793="","",IFERROR(INDEX(Empleadores!$B$2:$B$601,MATCH(S793,Empleadores!$A$2:$A$601,0)),"No encontrado"))</f>
        <v/>
      </c>
      <c r="U793" s="25" t="str">
        <f aca="false">IF(C793="","",IF(V793="","No",IF(Config!$C$4-V793&lt;=Config!$C$15,"Sí","No")))</f>
        <v>No</v>
      </c>
      <c r="V793" s="23"/>
      <c r="W793" s="22"/>
      <c r="X793" s="22"/>
      <c r="Y793" s="22"/>
      <c r="Z793" s="27"/>
      <c r="AA793" s="22" t="s">
        <v>3572</v>
      </c>
      <c r="AB793" s="22" t="s">
        <v>1691</v>
      </c>
    </row>
    <row r="794" customFormat="false" ht="15" hidden="false" customHeight="false" outlineLevel="0" collapsed="false">
      <c r="A794" s="22" t="n">
        <v>793</v>
      </c>
      <c r="B794" s="22" t="s">
        <v>3573</v>
      </c>
      <c r="C794" s="22" t="s">
        <v>3574</v>
      </c>
      <c r="D794" s="22" t="s">
        <v>138</v>
      </c>
      <c r="E794" s="22" t="s">
        <v>139</v>
      </c>
      <c r="F794" s="22" t="s">
        <v>107</v>
      </c>
      <c r="G794" s="23" t="n">
        <v>45838</v>
      </c>
      <c r="H794" s="24" t="n">
        <f aca="false">IF(G794="","",ROUND((Config!$C$4-G794)/365.25,2))</f>
        <v>1.25</v>
      </c>
      <c r="I794" s="25" t="str">
        <f aca="false">IF(H794="","",IF(H794&lt;=1,"Tramo 1",IF(H794&lt;=3,"Tramo 2",IF(H794&lt;=5,"Tramo 3","Tramo 4"))))</f>
        <v>Tramo 2</v>
      </c>
      <c r="J794" s="22" t="s">
        <v>166</v>
      </c>
      <c r="K794" s="22"/>
      <c r="L794" s="22" t="s">
        <v>3575</v>
      </c>
      <c r="M794" s="26" t="s">
        <v>3576</v>
      </c>
      <c r="N794" s="22"/>
      <c r="O794" s="22" t="s">
        <v>90</v>
      </c>
      <c r="P794" s="25" t="str">
        <f aca="false">IF(OR(O794="",O794="Sin información"),"",IFERROR(INDEX(Listas!$B$2:$B$9,MATCH(O794,Listas!$A$2:$A$9,0)),""))</f>
        <v>No</v>
      </c>
      <c r="Q794" s="25" t="str">
        <f aca="false">IF(OR(O794="",O794="Sin información"),"",IFERROR(INDEX(Listas!$C$2:$C$9,MATCH(O794,Listas!$A$2:$A$9,0)),""))</f>
        <v>No</v>
      </c>
      <c r="R794" s="22"/>
      <c r="S794" s="22"/>
      <c r="T794" s="25" t="str">
        <f aca="false">IF(S794="","",IFERROR(INDEX(Empleadores!$B$2:$B$601,MATCH(S794,Empleadores!$A$2:$A$601,0)),"No encontrado"))</f>
        <v/>
      </c>
      <c r="U794" s="25" t="str">
        <f aca="false">IF(C794="","",IF(V794="","No",IF(Config!$C$4-V794&lt;=Config!$C$15,"Sí","No")))</f>
        <v>Sí</v>
      </c>
      <c r="V794" s="23" t="n">
        <v>45967</v>
      </c>
      <c r="W794" s="22"/>
      <c r="X794" s="22"/>
      <c r="Y794" s="22" t="s">
        <v>181</v>
      </c>
      <c r="Z794" s="27" t="s">
        <v>2650</v>
      </c>
      <c r="AA794" s="22" t="s">
        <v>3577</v>
      </c>
      <c r="AB794" s="22" t="s">
        <v>1553</v>
      </c>
    </row>
    <row r="795" customFormat="false" ht="15" hidden="false" customHeight="false" outlineLevel="0" collapsed="false">
      <c r="A795" s="22" t="n">
        <v>794</v>
      </c>
      <c r="B795" s="22" t="s">
        <v>3578</v>
      </c>
      <c r="C795" s="22" t="s">
        <v>3579</v>
      </c>
      <c r="D795" s="22" t="s">
        <v>138</v>
      </c>
      <c r="E795" s="22" t="s">
        <v>139</v>
      </c>
      <c r="F795" s="22" t="s">
        <v>107</v>
      </c>
      <c r="G795" s="23" t="n">
        <v>45838</v>
      </c>
      <c r="H795" s="24" t="n">
        <f aca="false">IF(G795="","",ROUND((Config!$C$4-G795)/365.25,2))</f>
        <v>1.25</v>
      </c>
      <c r="I795" s="25" t="str">
        <f aca="false">IF(H795="","",IF(H795&lt;=1,"Tramo 1",IF(H795&lt;=3,"Tramo 2",IF(H795&lt;=5,"Tramo 3","Tramo 4"))))</f>
        <v>Tramo 2</v>
      </c>
      <c r="J795" s="22" t="s">
        <v>2639</v>
      </c>
      <c r="K795" s="22"/>
      <c r="L795" s="22" t="s">
        <v>3580</v>
      </c>
      <c r="M795" s="26" t="s">
        <v>3581</v>
      </c>
      <c r="N795" s="22"/>
      <c r="O795" s="22" t="s">
        <v>90</v>
      </c>
      <c r="P795" s="25" t="str">
        <f aca="false">IF(OR(O795="",O795="Sin información"),"",IFERROR(INDEX(Listas!$B$2:$B$9,MATCH(O795,Listas!$A$2:$A$9,0)),""))</f>
        <v>No</v>
      </c>
      <c r="Q795" s="25" t="str">
        <f aca="false">IF(OR(O795="",O795="Sin información"),"",IFERROR(INDEX(Listas!$C$2:$C$9,MATCH(O795,Listas!$A$2:$A$9,0)),""))</f>
        <v>No</v>
      </c>
      <c r="R795" s="22"/>
      <c r="S795" s="22"/>
      <c r="T795" s="25" t="str">
        <f aca="false">IF(S795="","",IFERROR(INDEX(Empleadores!$B$2:$B$601,MATCH(S795,Empleadores!$A$2:$A$601,0)),"No encontrado"))</f>
        <v/>
      </c>
      <c r="U795" s="25" t="str">
        <f aca="false">IF(C795="","",IF(V795="","No",IF(Config!$C$4-V795&lt;=Config!$C$15,"Sí","No")))</f>
        <v>Sí</v>
      </c>
      <c r="V795" s="23" t="n">
        <v>45951</v>
      </c>
      <c r="W795" s="22"/>
      <c r="X795" s="22"/>
      <c r="Y795" s="22"/>
      <c r="Z795" s="27" t="s">
        <v>3582</v>
      </c>
      <c r="AA795" s="22" t="s">
        <v>3583</v>
      </c>
      <c r="AB795" s="22" t="s">
        <v>2252</v>
      </c>
    </row>
    <row r="796" customFormat="false" ht="15" hidden="false" customHeight="false" outlineLevel="0" collapsed="false">
      <c r="A796" s="22" t="n">
        <v>795</v>
      </c>
      <c r="B796" s="22" t="s">
        <v>3584</v>
      </c>
      <c r="C796" s="22" t="s">
        <v>3585</v>
      </c>
      <c r="D796" s="22" t="s">
        <v>149</v>
      </c>
      <c r="E796" s="22" t="s">
        <v>139</v>
      </c>
      <c r="F796" s="22" t="s">
        <v>107</v>
      </c>
      <c r="G796" s="23" t="n">
        <v>45838</v>
      </c>
      <c r="H796" s="24" t="n">
        <f aca="false">IF(G796="","",ROUND((Config!$C$4-G796)/365.25,2))</f>
        <v>1.25</v>
      </c>
      <c r="I796" s="25" t="str">
        <f aca="false">IF(H796="","",IF(H796&lt;=1,"Tramo 1",IF(H796&lt;=3,"Tramo 2",IF(H796&lt;=5,"Tramo 3","Tramo 4"))))</f>
        <v>Tramo 2</v>
      </c>
      <c r="J796" s="22" t="s">
        <v>166</v>
      </c>
      <c r="K796" s="22"/>
      <c r="L796" s="22" t="s">
        <v>3586</v>
      </c>
      <c r="M796" s="26" t="s">
        <v>3587</v>
      </c>
      <c r="N796" s="22"/>
      <c r="O796" s="22" t="s">
        <v>63</v>
      </c>
      <c r="P796" s="25" t="str">
        <f aca="false">IF(OR(O796="",O796="Sin información"),"",IFERROR(INDEX(Listas!$B$2:$B$9,MATCH(O796,Listas!$A$2:$A$9,0)),""))</f>
        <v/>
      </c>
      <c r="Q796" s="25" t="str">
        <f aca="false">IF(OR(O796="",O796="Sin información"),"",IFERROR(INDEX(Listas!$C$2:$C$9,MATCH(O796,Listas!$A$2:$A$9,0)),""))</f>
        <v/>
      </c>
      <c r="R796" s="22"/>
      <c r="S796" s="22"/>
      <c r="T796" s="25" t="str">
        <f aca="false">IF(S796="","",IFERROR(INDEX(Empleadores!$B$2:$B$601,MATCH(S796,Empleadores!$A$2:$A$601,0)),"No encontrado"))</f>
        <v/>
      </c>
      <c r="U796" s="25" t="str">
        <f aca="false">IF(C796="","",IF(V796="","No",IF(Config!$C$4-V796&lt;=Config!$C$15,"Sí","No")))</f>
        <v>No</v>
      </c>
      <c r="V796" s="23"/>
      <c r="W796" s="22"/>
      <c r="X796" s="22"/>
      <c r="Y796" s="22"/>
      <c r="Z796" s="27"/>
      <c r="AA796" s="22" t="s">
        <v>3588</v>
      </c>
      <c r="AB796" s="22" t="s">
        <v>1691</v>
      </c>
    </row>
    <row r="797" customFormat="false" ht="15" hidden="false" customHeight="false" outlineLevel="0" collapsed="false">
      <c r="A797" s="22" t="n">
        <v>796</v>
      </c>
      <c r="B797" s="22" t="s">
        <v>3589</v>
      </c>
      <c r="C797" s="22" t="s">
        <v>3590</v>
      </c>
      <c r="D797" s="22" t="s">
        <v>149</v>
      </c>
      <c r="E797" s="22" t="s">
        <v>139</v>
      </c>
      <c r="F797" s="22" t="s">
        <v>107</v>
      </c>
      <c r="G797" s="23" t="n">
        <v>45838</v>
      </c>
      <c r="H797" s="24" t="n">
        <f aca="false">IF(G797="","",ROUND((Config!$C$4-G797)/365.25,2))</f>
        <v>1.25</v>
      </c>
      <c r="I797" s="25" t="str">
        <f aca="false">IF(H797="","",IF(H797&lt;=1,"Tramo 1",IF(H797&lt;=3,"Tramo 2",IF(H797&lt;=5,"Tramo 3","Tramo 4"))))</f>
        <v>Tramo 2</v>
      </c>
      <c r="J797" s="22" t="s">
        <v>2639</v>
      </c>
      <c r="K797" s="22"/>
      <c r="L797" s="22" t="s">
        <v>3591</v>
      </c>
      <c r="M797" s="26" t="s">
        <v>3592</v>
      </c>
      <c r="N797" s="22"/>
      <c r="O797" s="22" t="s">
        <v>63</v>
      </c>
      <c r="P797" s="25" t="str">
        <f aca="false">IF(OR(O797="",O797="Sin información"),"",IFERROR(INDEX(Listas!$B$2:$B$9,MATCH(O797,Listas!$A$2:$A$9,0)),""))</f>
        <v/>
      </c>
      <c r="Q797" s="25" t="str">
        <f aca="false">IF(OR(O797="",O797="Sin información"),"",IFERROR(INDEX(Listas!$C$2:$C$9,MATCH(O797,Listas!$A$2:$A$9,0)),""))</f>
        <v/>
      </c>
      <c r="R797" s="22"/>
      <c r="S797" s="22"/>
      <c r="T797" s="25" t="str">
        <f aca="false">IF(S797="","",IFERROR(INDEX(Empleadores!$B$2:$B$601,MATCH(S797,Empleadores!$A$2:$A$601,0)),"No encontrado"))</f>
        <v/>
      </c>
      <c r="U797" s="25" t="str">
        <f aca="false">IF(C797="","",IF(V797="","No",IF(Config!$C$4-V797&lt;=Config!$C$15,"Sí","No")))</f>
        <v>No</v>
      </c>
      <c r="V797" s="23"/>
      <c r="W797" s="22"/>
      <c r="X797" s="22"/>
      <c r="Y797" s="22"/>
      <c r="Z797" s="27"/>
      <c r="AA797" s="22" t="s">
        <v>3593</v>
      </c>
      <c r="AB797" s="22" t="s">
        <v>1691</v>
      </c>
    </row>
    <row r="798" customFormat="false" ht="15" hidden="false" customHeight="false" outlineLevel="0" collapsed="false">
      <c r="A798" s="22" t="n">
        <v>797</v>
      </c>
      <c r="B798" s="22" t="s">
        <v>3594</v>
      </c>
      <c r="C798" s="22" t="s">
        <v>3595</v>
      </c>
      <c r="D798" s="22" t="s">
        <v>149</v>
      </c>
      <c r="E798" s="22" t="s">
        <v>139</v>
      </c>
      <c r="F798" s="22" t="s">
        <v>107</v>
      </c>
      <c r="G798" s="23" t="n">
        <v>45838</v>
      </c>
      <c r="H798" s="24" t="n">
        <f aca="false">IF(G798="","",ROUND((Config!$C$4-G798)/365.25,2))</f>
        <v>1.25</v>
      </c>
      <c r="I798" s="25" t="str">
        <f aca="false">IF(H798="","",IF(H798&lt;=1,"Tramo 1",IF(H798&lt;=3,"Tramo 2",IF(H798&lt;=5,"Tramo 3","Tramo 4"))))</f>
        <v>Tramo 2</v>
      </c>
      <c r="J798" s="22" t="s">
        <v>166</v>
      </c>
      <c r="K798" s="22"/>
      <c r="L798" s="22" t="s">
        <v>3596</v>
      </c>
      <c r="M798" s="26" t="s">
        <v>3597</v>
      </c>
      <c r="N798" s="22"/>
      <c r="O798" s="22" t="s">
        <v>63</v>
      </c>
      <c r="P798" s="25" t="str">
        <f aca="false">IF(OR(O798="",O798="Sin información"),"",IFERROR(INDEX(Listas!$B$2:$B$9,MATCH(O798,Listas!$A$2:$A$9,0)),""))</f>
        <v/>
      </c>
      <c r="Q798" s="25" t="str">
        <f aca="false">IF(OR(O798="",O798="Sin información"),"",IFERROR(INDEX(Listas!$C$2:$C$9,MATCH(O798,Listas!$A$2:$A$9,0)),""))</f>
        <v/>
      </c>
      <c r="R798" s="22"/>
      <c r="S798" s="22"/>
      <c r="T798" s="25" t="str">
        <f aca="false">IF(S798="","",IFERROR(INDEX(Empleadores!$B$2:$B$601,MATCH(S798,Empleadores!$A$2:$A$601,0)),"No encontrado"))</f>
        <v/>
      </c>
      <c r="U798" s="25" t="str">
        <f aca="false">IF(C798="","",IF(V798="","No",IF(Config!$C$4-V798&lt;=Config!$C$15,"Sí","No")))</f>
        <v>No</v>
      </c>
      <c r="V798" s="23"/>
      <c r="W798" s="22"/>
      <c r="X798" s="22"/>
      <c r="Y798" s="22"/>
      <c r="Z798" s="27"/>
      <c r="AA798" s="22" t="s">
        <v>3598</v>
      </c>
      <c r="AB798" s="22" t="s">
        <v>1691</v>
      </c>
    </row>
    <row r="799" customFormat="false" ht="15" hidden="false" customHeight="false" outlineLevel="0" collapsed="false">
      <c r="A799" s="22" t="n">
        <v>798</v>
      </c>
      <c r="B799" s="22" t="s">
        <v>3599</v>
      </c>
      <c r="C799" s="22" t="s">
        <v>3600</v>
      </c>
      <c r="D799" s="22" t="s">
        <v>149</v>
      </c>
      <c r="E799" s="22" t="s">
        <v>139</v>
      </c>
      <c r="F799" s="22" t="s">
        <v>107</v>
      </c>
      <c r="G799" s="23" t="n">
        <v>45838</v>
      </c>
      <c r="H799" s="24" t="n">
        <f aca="false">IF(G799="","",ROUND((Config!$C$4-G799)/365.25,2))</f>
        <v>1.25</v>
      </c>
      <c r="I799" s="25" t="str">
        <f aca="false">IF(H799="","",IF(H799&lt;=1,"Tramo 1",IF(H799&lt;=3,"Tramo 2",IF(H799&lt;=5,"Tramo 3","Tramo 4"))))</f>
        <v>Tramo 2</v>
      </c>
      <c r="J799" s="22" t="s">
        <v>140</v>
      </c>
      <c r="K799" s="22"/>
      <c r="L799" s="22" t="s">
        <v>3601</v>
      </c>
      <c r="M799" s="26" t="s">
        <v>3602</v>
      </c>
      <c r="N799" s="22"/>
      <c r="O799" s="22" t="s">
        <v>90</v>
      </c>
      <c r="P799" s="25" t="str">
        <f aca="false">IF(OR(O799="",O799="Sin información"),"",IFERROR(INDEX(Listas!$B$2:$B$9,MATCH(O799,Listas!$A$2:$A$9,0)),""))</f>
        <v>No</v>
      </c>
      <c r="Q799" s="25" t="str">
        <f aca="false">IF(OR(O799="",O799="Sin información"),"",IFERROR(INDEX(Listas!$C$2:$C$9,MATCH(O799,Listas!$A$2:$A$9,0)),""))</f>
        <v>No</v>
      </c>
      <c r="R799" s="22"/>
      <c r="S799" s="22"/>
      <c r="T799" s="25" t="str">
        <f aca="false">IF(S799="","",IFERROR(INDEX(Empleadores!$B$2:$B$601,MATCH(S799,Empleadores!$A$2:$A$601,0)),"No encontrado"))</f>
        <v/>
      </c>
      <c r="U799" s="25" t="str">
        <f aca="false">IF(C799="","",IF(V799="","No",IF(Config!$C$4-V799&lt;=Config!$C$15,"Sí","No")))</f>
        <v>Sí</v>
      </c>
      <c r="V799" s="23" t="n">
        <v>45974</v>
      </c>
      <c r="W799" s="22" t="s">
        <v>181</v>
      </c>
      <c r="X799" s="22" t="n">
        <v>3</v>
      </c>
      <c r="Y799" s="22"/>
      <c r="Z799" s="27"/>
      <c r="AA799" s="22" t="s">
        <v>3491</v>
      </c>
      <c r="AB799" s="22" t="s">
        <v>3497</v>
      </c>
    </row>
    <row r="800" customFormat="false" ht="15" hidden="false" customHeight="false" outlineLevel="0" collapsed="false">
      <c r="A800" s="22" t="n">
        <v>799</v>
      </c>
      <c r="B800" s="22" t="s">
        <v>3603</v>
      </c>
      <c r="C800" s="22" t="s">
        <v>3604</v>
      </c>
      <c r="D800" s="22" t="s">
        <v>138</v>
      </c>
      <c r="E800" s="22" t="s">
        <v>139</v>
      </c>
      <c r="F800" s="22" t="s">
        <v>107</v>
      </c>
      <c r="G800" s="23" t="n">
        <v>45838</v>
      </c>
      <c r="H800" s="24" t="n">
        <f aca="false">IF(G800="","",ROUND((Config!$C$4-G800)/365.25,2))</f>
        <v>1.25</v>
      </c>
      <c r="I800" s="25" t="str">
        <f aca="false">IF(H800="","",IF(H800&lt;=1,"Tramo 1",IF(H800&lt;=3,"Tramo 2",IF(H800&lt;=5,"Tramo 3","Tramo 4"))))</f>
        <v>Tramo 2</v>
      </c>
      <c r="J800" s="22" t="s">
        <v>166</v>
      </c>
      <c r="K800" s="22"/>
      <c r="L800" s="22" t="s">
        <v>3605</v>
      </c>
      <c r="M800" s="26" t="s">
        <v>3606</v>
      </c>
      <c r="N800" s="22"/>
      <c r="O800" s="22" t="s">
        <v>63</v>
      </c>
      <c r="P800" s="25" t="str">
        <f aca="false">IF(OR(O800="",O800="Sin información"),"",IFERROR(INDEX(Listas!$B$2:$B$9,MATCH(O800,Listas!$A$2:$A$9,0)),""))</f>
        <v/>
      </c>
      <c r="Q800" s="25" t="str">
        <f aca="false">IF(OR(O800="",O800="Sin información"),"",IFERROR(INDEX(Listas!$C$2:$C$9,MATCH(O800,Listas!$A$2:$A$9,0)),""))</f>
        <v/>
      </c>
      <c r="R800" s="22"/>
      <c r="S800" s="22"/>
      <c r="T800" s="25" t="str">
        <f aca="false">IF(S800="","",IFERROR(INDEX(Empleadores!$B$2:$B$601,MATCH(S800,Empleadores!$A$2:$A$601,0)),"No encontrado"))</f>
        <v/>
      </c>
      <c r="U800" s="25" t="str">
        <f aca="false">IF(C800="","",IF(V800="","No",IF(Config!$C$4-V800&lt;=Config!$C$15,"Sí","No")))</f>
        <v>No</v>
      </c>
      <c r="V800" s="23"/>
      <c r="W800" s="22"/>
      <c r="X800" s="22"/>
      <c r="Y800" s="22"/>
      <c r="Z800" s="27"/>
      <c r="AA800" s="22"/>
      <c r="AB800" s="22"/>
    </row>
    <row r="801" customFormat="false" ht="15" hidden="false" customHeight="false" outlineLevel="0" collapsed="false">
      <c r="A801" s="22" t="n">
        <v>800</v>
      </c>
      <c r="B801" s="22" t="s">
        <v>3607</v>
      </c>
      <c r="C801" s="22" t="s">
        <v>3608</v>
      </c>
      <c r="D801" s="22" t="s">
        <v>149</v>
      </c>
      <c r="E801" s="22" t="s">
        <v>139</v>
      </c>
      <c r="F801" s="22" t="s">
        <v>107</v>
      </c>
      <c r="G801" s="23" t="n">
        <v>45838</v>
      </c>
      <c r="H801" s="24" t="n">
        <f aca="false">IF(G801="","",ROUND((Config!$C$4-G801)/365.25,2))</f>
        <v>1.25</v>
      </c>
      <c r="I801" s="25" t="str">
        <f aca="false">IF(H801="","",IF(H801&lt;=1,"Tramo 1",IF(H801&lt;=3,"Tramo 2",IF(H801&lt;=5,"Tramo 3","Tramo 4"))))</f>
        <v>Tramo 2</v>
      </c>
      <c r="J801" s="22" t="s">
        <v>140</v>
      </c>
      <c r="K801" s="22"/>
      <c r="L801" s="22" t="s">
        <v>3609</v>
      </c>
      <c r="M801" s="26" t="s">
        <v>3610</v>
      </c>
      <c r="N801" s="22"/>
      <c r="O801" s="22" t="s">
        <v>90</v>
      </c>
      <c r="P801" s="25" t="str">
        <f aca="false">IF(OR(O801="",O801="Sin información"),"",IFERROR(INDEX(Listas!$B$2:$B$9,MATCH(O801,Listas!$A$2:$A$9,0)),""))</f>
        <v>No</v>
      </c>
      <c r="Q801" s="25" t="str">
        <f aca="false">IF(OR(O801="",O801="Sin información"),"",IFERROR(INDEX(Listas!$C$2:$C$9,MATCH(O801,Listas!$A$2:$A$9,0)),""))</f>
        <v>No</v>
      </c>
      <c r="R801" s="22"/>
      <c r="S801" s="22"/>
      <c r="T801" s="25" t="str">
        <f aca="false">IF(S801="","",IFERROR(INDEX(Empleadores!$B$2:$B$601,MATCH(S801,Empleadores!$A$2:$A$601,0)),"No encontrado"))</f>
        <v/>
      </c>
      <c r="U801" s="25" t="str">
        <f aca="false">IF(C801="","",IF(V801="","No",IF(Config!$C$4-V801&lt;=Config!$C$15,"Sí","No")))</f>
        <v>Sí</v>
      </c>
      <c r="V801" s="23" t="n">
        <v>45978</v>
      </c>
      <c r="W801" s="22" t="s">
        <v>181</v>
      </c>
      <c r="X801" s="22" t="n">
        <v>4</v>
      </c>
      <c r="Y801" s="22"/>
      <c r="Z801" s="27"/>
      <c r="AA801" s="22" t="s">
        <v>3611</v>
      </c>
      <c r="AB801" s="22" t="s">
        <v>3467</v>
      </c>
    </row>
    <row r="802" customFormat="false" ht="15" hidden="false" customHeight="false" outlineLevel="0" collapsed="false">
      <c r="A802" s="22" t="n">
        <v>801</v>
      </c>
      <c r="B802" s="22" t="s">
        <v>3612</v>
      </c>
      <c r="C802" s="22" t="s">
        <v>3613</v>
      </c>
      <c r="D802" s="22" t="s">
        <v>138</v>
      </c>
      <c r="E802" s="22" t="s">
        <v>139</v>
      </c>
      <c r="F802" s="22" t="s">
        <v>107</v>
      </c>
      <c r="G802" s="23" t="n">
        <v>45838</v>
      </c>
      <c r="H802" s="24" t="n">
        <f aca="false">IF(G802="","",ROUND((Config!$C$4-G802)/365.25,2))</f>
        <v>1.25</v>
      </c>
      <c r="I802" s="25" t="str">
        <f aca="false">IF(H802="","",IF(H802&lt;=1,"Tramo 1",IF(H802&lt;=3,"Tramo 2",IF(H802&lt;=5,"Tramo 3","Tramo 4"))))</f>
        <v>Tramo 2</v>
      </c>
      <c r="J802" s="22" t="s">
        <v>166</v>
      </c>
      <c r="K802" s="22"/>
      <c r="L802" s="22" t="s">
        <v>3614</v>
      </c>
      <c r="M802" s="26" t="s">
        <v>3615</v>
      </c>
      <c r="N802" s="22"/>
      <c r="O802" s="22" t="s">
        <v>63</v>
      </c>
      <c r="P802" s="25" t="str">
        <f aca="false">IF(OR(O802="",O802="Sin información"),"",IFERROR(INDEX(Listas!$B$2:$B$9,MATCH(O802,Listas!$A$2:$A$9,0)),""))</f>
        <v/>
      </c>
      <c r="Q802" s="25" t="str">
        <f aca="false">IF(OR(O802="",O802="Sin información"),"",IFERROR(INDEX(Listas!$C$2:$C$9,MATCH(O802,Listas!$A$2:$A$9,0)),""))</f>
        <v/>
      </c>
      <c r="R802" s="22"/>
      <c r="S802" s="22"/>
      <c r="T802" s="25" t="str">
        <f aca="false">IF(S802="","",IFERROR(INDEX(Empleadores!$B$2:$B$601,MATCH(S802,Empleadores!$A$2:$A$601,0)),"No encontrado"))</f>
        <v/>
      </c>
      <c r="U802" s="25" t="str">
        <f aca="false">IF(C802="","",IF(V802="","No",IF(Config!$C$4-V802&lt;=Config!$C$15,"Sí","No")))</f>
        <v>No</v>
      </c>
      <c r="V802" s="23"/>
      <c r="W802" s="22"/>
      <c r="X802" s="22"/>
      <c r="Y802" s="22"/>
      <c r="Z802" s="27"/>
      <c r="AA802" s="22" t="s">
        <v>3616</v>
      </c>
      <c r="AB802" s="22" t="s">
        <v>1691</v>
      </c>
    </row>
    <row r="803" customFormat="false" ht="15" hidden="false" customHeight="false" outlineLevel="0" collapsed="false">
      <c r="A803" s="22" t="n">
        <v>802</v>
      </c>
      <c r="B803" s="22" t="s">
        <v>3617</v>
      </c>
      <c r="C803" s="22" t="s">
        <v>3618</v>
      </c>
      <c r="D803" s="22" t="s">
        <v>138</v>
      </c>
      <c r="E803" s="22" t="s">
        <v>139</v>
      </c>
      <c r="F803" s="22" t="s">
        <v>107</v>
      </c>
      <c r="G803" s="23" t="n">
        <v>45838</v>
      </c>
      <c r="H803" s="24" t="n">
        <f aca="false">IF(G803="","",ROUND((Config!$C$4-G803)/365.25,2))</f>
        <v>1.25</v>
      </c>
      <c r="I803" s="25" t="str">
        <f aca="false">IF(H803="","",IF(H803&lt;=1,"Tramo 1",IF(H803&lt;=3,"Tramo 2",IF(H803&lt;=5,"Tramo 3","Tramo 4"))))</f>
        <v>Tramo 2</v>
      </c>
      <c r="J803" s="22" t="s">
        <v>2639</v>
      </c>
      <c r="K803" s="22"/>
      <c r="L803" s="22" t="s">
        <v>3619</v>
      </c>
      <c r="M803" s="26" t="s">
        <v>3620</v>
      </c>
      <c r="N803" s="22"/>
      <c r="O803" s="22" t="s">
        <v>63</v>
      </c>
      <c r="P803" s="25" t="str">
        <f aca="false">IF(OR(O803="",O803="Sin información"),"",IFERROR(INDEX(Listas!$B$2:$B$9,MATCH(O803,Listas!$A$2:$A$9,0)),""))</f>
        <v/>
      </c>
      <c r="Q803" s="25" t="str">
        <f aca="false">IF(OR(O803="",O803="Sin información"),"",IFERROR(INDEX(Listas!$C$2:$C$9,MATCH(O803,Listas!$A$2:$A$9,0)),""))</f>
        <v/>
      </c>
      <c r="R803" s="22"/>
      <c r="S803" s="22"/>
      <c r="T803" s="25" t="str">
        <f aca="false">IF(S803="","",IFERROR(INDEX(Empleadores!$B$2:$B$601,MATCH(S803,Empleadores!$A$2:$A$601,0)),"No encontrado"))</f>
        <v/>
      </c>
      <c r="U803" s="25" t="str">
        <f aca="false">IF(C803="","",IF(V803="","No",IF(Config!$C$4-V803&lt;=Config!$C$15,"Sí","No")))</f>
        <v>No</v>
      </c>
      <c r="V803" s="23"/>
      <c r="W803" s="22"/>
      <c r="X803" s="22"/>
      <c r="Y803" s="22"/>
      <c r="Z803" s="27"/>
      <c r="AA803" s="22" t="s">
        <v>3621</v>
      </c>
      <c r="AB803" s="22" t="s">
        <v>1691</v>
      </c>
    </row>
    <row r="804" customFormat="false" ht="15" hidden="false" customHeight="false" outlineLevel="0" collapsed="false">
      <c r="A804" s="22" t="n">
        <v>803</v>
      </c>
      <c r="B804" s="22" t="s">
        <v>3622</v>
      </c>
      <c r="C804" s="22" t="s">
        <v>3623</v>
      </c>
      <c r="D804" s="22" t="s">
        <v>149</v>
      </c>
      <c r="E804" s="22" t="s">
        <v>139</v>
      </c>
      <c r="F804" s="22" t="s">
        <v>107</v>
      </c>
      <c r="G804" s="23" t="n">
        <v>45838</v>
      </c>
      <c r="H804" s="24" t="n">
        <f aca="false">IF(G804="","",ROUND((Config!$C$4-G804)/365.25,2))</f>
        <v>1.25</v>
      </c>
      <c r="I804" s="25" t="str">
        <f aca="false">IF(H804="","",IF(H804&lt;=1,"Tramo 1",IF(H804&lt;=3,"Tramo 2",IF(H804&lt;=5,"Tramo 3","Tramo 4"))))</f>
        <v>Tramo 2</v>
      </c>
      <c r="J804" s="22" t="s">
        <v>2639</v>
      </c>
      <c r="K804" s="22"/>
      <c r="L804" s="22" t="s">
        <v>3624</v>
      </c>
      <c r="M804" s="26" t="s">
        <v>3625</v>
      </c>
      <c r="N804" s="22"/>
      <c r="O804" s="22" t="s">
        <v>63</v>
      </c>
      <c r="P804" s="25" t="str">
        <f aca="false">IF(OR(O804="",O804="Sin información"),"",IFERROR(INDEX(Listas!$B$2:$B$9,MATCH(O804,Listas!$A$2:$A$9,0)),""))</f>
        <v/>
      </c>
      <c r="Q804" s="25" t="str">
        <f aca="false">IF(OR(O804="",O804="Sin información"),"",IFERROR(INDEX(Listas!$C$2:$C$9,MATCH(O804,Listas!$A$2:$A$9,0)),""))</f>
        <v/>
      </c>
      <c r="R804" s="22"/>
      <c r="S804" s="22"/>
      <c r="T804" s="25" t="str">
        <f aca="false">IF(S804="","",IFERROR(INDEX(Empleadores!$B$2:$B$601,MATCH(S804,Empleadores!$A$2:$A$601,0)),"No encontrado"))</f>
        <v/>
      </c>
      <c r="U804" s="25" t="str">
        <f aca="false">IF(C804="","",IF(V804="","No",IF(Config!$C$4-V804&lt;=Config!$C$15,"Sí","No")))</f>
        <v>No</v>
      </c>
      <c r="V804" s="23"/>
      <c r="W804" s="22"/>
      <c r="X804" s="22"/>
      <c r="Y804" s="22"/>
      <c r="Z804" s="27"/>
      <c r="AA804" s="22" t="s">
        <v>3626</v>
      </c>
      <c r="AB804" s="22" t="s">
        <v>1691</v>
      </c>
    </row>
    <row r="805" customFormat="false" ht="15" hidden="false" customHeight="false" outlineLevel="0" collapsed="false">
      <c r="A805" s="22" t="n">
        <v>804</v>
      </c>
      <c r="B805" s="22" t="s">
        <v>3627</v>
      </c>
      <c r="C805" s="22" t="s">
        <v>3628</v>
      </c>
      <c r="D805" s="22" t="s">
        <v>138</v>
      </c>
      <c r="E805" s="22" t="s">
        <v>139</v>
      </c>
      <c r="F805" s="22" t="s">
        <v>107</v>
      </c>
      <c r="G805" s="23" t="n">
        <v>45838</v>
      </c>
      <c r="H805" s="24" t="n">
        <f aca="false">IF(G805="","",ROUND((Config!$C$4-G805)/365.25,2))</f>
        <v>1.25</v>
      </c>
      <c r="I805" s="25" t="str">
        <f aca="false">IF(H805="","",IF(H805&lt;=1,"Tramo 1",IF(H805&lt;=3,"Tramo 2",IF(H805&lt;=5,"Tramo 3","Tramo 4"))))</f>
        <v>Tramo 2</v>
      </c>
      <c r="J805" s="22" t="s">
        <v>166</v>
      </c>
      <c r="K805" s="22"/>
      <c r="L805" s="22" t="s">
        <v>3629</v>
      </c>
      <c r="M805" s="26" t="s">
        <v>3630</v>
      </c>
      <c r="N805" s="22"/>
      <c r="O805" s="22" t="s">
        <v>63</v>
      </c>
      <c r="P805" s="25" t="str">
        <f aca="false">IF(OR(O805="",O805="Sin información"),"",IFERROR(INDEX(Listas!$B$2:$B$9,MATCH(O805,Listas!$A$2:$A$9,0)),""))</f>
        <v/>
      </c>
      <c r="Q805" s="25" t="str">
        <f aca="false">IF(OR(O805="",O805="Sin información"),"",IFERROR(INDEX(Listas!$C$2:$C$9,MATCH(O805,Listas!$A$2:$A$9,0)),""))</f>
        <v/>
      </c>
      <c r="R805" s="22"/>
      <c r="S805" s="22"/>
      <c r="T805" s="25" t="str">
        <f aca="false">IF(S805="","",IFERROR(INDEX(Empleadores!$B$2:$B$601,MATCH(S805,Empleadores!$A$2:$A$601,0)),"No encontrado"))</f>
        <v/>
      </c>
      <c r="U805" s="25" t="str">
        <f aca="false">IF(C805="","",IF(V805="","No",IF(Config!$C$4-V805&lt;=Config!$C$15,"Sí","No")))</f>
        <v>No</v>
      </c>
      <c r="V805" s="23"/>
      <c r="W805" s="22"/>
      <c r="X805" s="22"/>
      <c r="Y805" s="22"/>
      <c r="Z805" s="27"/>
      <c r="AA805" s="22"/>
      <c r="AB805" s="22"/>
    </row>
    <row r="806" customFormat="false" ht="15" hidden="false" customHeight="false" outlineLevel="0" collapsed="false">
      <c r="A806" s="22" t="n">
        <v>805</v>
      </c>
      <c r="B806" s="22" t="s">
        <v>3631</v>
      </c>
      <c r="C806" s="22" t="s">
        <v>3632</v>
      </c>
      <c r="D806" s="22" t="s">
        <v>149</v>
      </c>
      <c r="E806" s="22" t="s">
        <v>139</v>
      </c>
      <c r="F806" s="22" t="s">
        <v>107</v>
      </c>
      <c r="G806" s="23" t="n">
        <v>45838</v>
      </c>
      <c r="H806" s="24" t="n">
        <f aca="false">IF(G806="","",ROUND((Config!$C$4-G806)/365.25,2))</f>
        <v>1.25</v>
      </c>
      <c r="I806" s="25" t="str">
        <f aca="false">IF(H806="","",IF(H806&lt;=1,"Tramo 1",IF(H806&lt;=3,"Tramo 2",IF(H806&lt;=5,"Tramo 3","Tramo 4"))))</f>
        <v>Tramo 2</v>
      </c>
      <c r="J806" s="22" t="s">
        <v>166</v>
      </c>
      <c r="K806" s="22"/>
      <c r="L806" s="22" t="s">
        <v>3633</v>
      </c>
      <c r="M806" s="26" t="s">
        <v>3634</v>
      </c>
      <c r="N806" s="22"/>
      <c r="O806" s="22" t="s">
        <v>63</v>
      </c>
      <c r="P806" s="25" t="str">
        <f aca="false">IF(OR(O806="",O806="Sin información"),"",IFERROR(INDEX(Listas!$B$2:$B$9,MATCH(O806,Listas!$A$2:$A$9,0)),""))</f>
        <v/>
      </c>
      <c r="Q806" s="25" t="str">
        <f aca="false">IF(OR(O806="",O806="Sin información"),"",IFERROR(INDEX(Listas!$C$2:$C$9,MATCH(O806,Listas!$A$2:$A$9,0)),""))</f>
        <v/>
      </c>
      <c r="R806" s="22"/>
      <c r="S806" s="22"/>
      <c r="T806" s="25" t="str">
        <f aca="false">IF(S806="","",IFERROR(INDEX(Empleadores!$B$2:$B$601,MATCH(S806,Empleadores!$A$2:$A$601,0)),"No encontrado"))</f>
        <v/>
      </c>
      <c r="U806" s="25" t="str">
        <f aca="false">IF(C806="","",IF(V806="","No",IF(Config!$C$4-V806&lt;=Config!$C$15,"Sí","No")))</f>
        <v>No</v>
      </c>
      <c r="V806" s="23"/>
      <c r="W806" s="22"/>
      <c r="X806" s="22"/>
      <c r="Y806" s="22"/>
      <c r="Z806" s="27"/>
      <c r="AA806" s="22"/>
      <c r="AB806" s="22"/>
    </row>
    <row r="807" customFormat="false" ht="15" hidden="false" customHeight="false" outlineLevel="0" collapsed="false">
      <c r="A807" s="22" t="n">
        <v>806</v>
      </c>
      <c r="B807" s="22" t="s">
        <v>3635</v>
      </c>
      <c r="C807" s="22" t="s">
        <v>3636</v>
      </c>
      <c r="D807" s="22" t="s">
        <v>149</v>
      </c>
      <c r="E807" s="22" t="s">
        <v>139</v>
      </c>
      <c r="F807" s="22" t="s">
        <v>107</v>
      </c>
      <c r="G807" s="23" t="n">
        <v>45838</v>
      </c>
      <c r="H807" s="24" t="n">
        <f aca="false">IF(G807="","",ROUND((Config!$C$4-G807)/365.25,2))</f>
        <v>1.25</v>
      </c>
      <c r="I807" s="25" t="str">
        <f aca="false">IF(H807="","",IF(H807&lt;=1,"Tramo 1",IF(H807&lt;=3,"Tramo 2",IF(H807&lt;=5,"Tramo 3","Tramo 4"))))</f>
        <v>Tramo 2</v>
      </c>
      <c r="J807" s="22" t="s">
        <v>140</v>
      </c>
      <c r="K807" s="22"/>
      <c r="L807" s="22" t="s">
        <v>3637</v>
      </c>
      <c r="M807" s="26" t="s">
        <v>3638</v>
      </c>
      <c r="N807" s="22"/>
      <c r="O807" s="22" t="s">
        <v>90</v>
      </c>
      <c r="P807" s="25" t="str">
        <f aca="false">IF(OR(O807="",O807="Sin información"),"",IFERROR(INDEX(Listas!$B$2:$B$9,MATCH(O807,Listas!$A$2:$A$9,0)),""))</f>
        <v>No</v>
      </c>
      <c r="Q807" s="25" t="str">
        <f aca="false">IF(OR(O807="",O807="Sin información"),"",IFERROR(INDEX(Listas!$C$2:$C$9,MATCH(O807,Listas!$A$2:$A$9,0)),""))</f>
        <v>No</v>
      </c>
      <c r="R807" s="22"/>
      <c r="S807" s="22"/>
      <c r="T807" s="25" t="str">
        <f aca="false">IF(S807="","",IFERROR(INDEX(Empleadores!$B$2:$B$601,MATCH(S807,Empleadores!$A$2:$A$601,0)),"No encontrado"))</f>
        <v/>
      </c>
      <c r="U807" s="25" t="str">
        <f aca="false">IF(C807="","",IF(V807="","No",IF(Config!$C$4-V807&lt;=Config!$C$15,"Sí","No")))</f>
        <v>Sí</v>
      </c>
      <c r="V807" s="23" t="n">
        <v>45985</v>
      </c>
      <c r="W807" s="22" t="s">
        <v>181</v>
      </c>
      <c r="X807" s="22" t="n">
        <v>3</v>
      </c>
      <c r="Y807" s="22"/>
      <c r="Z807" s="27"/>
      <c r="AA807" s="22" t="s">
        <v>3639</v>
      </c>
      <c r="AB807" s="22" t="s">
        <v>3467</v>
      </c>
    </row>
    <row r="808" customFormat="false" ht="15" hidden="false" customHeight="false" outlineLevel="0" collapsed="false">
      <c r="A808" s="22" t="n">
        <v>807</v>
      </c>
      <c r="B808" s="22" t="s">
        <v>3640</v>
      </c>
      <c r="C808" s="22" t="s">
        <v>3641</v>
      </c>
      <c r="D808" s="22" t="s">
        <v>138</v>
      </c>
      <c r="E808" s="22" t="s">
        <v>139</v>
      </c>
      <c r="F808" s="22" t="s">
        <v>107</v>
      </c>
      <c r="G808" s="23" t="n">
        <v>45838</v>
      </c>
      <c r="H808" s="24" t="n">
        <f aca="false">IF(G808="","",ROUND((Config!$C$4-G808)/365.25,2))</f>
        <v>1.25</v>
      </c>
      <c r="I808" s="25" t="str">
        <f aca="false">IF(H808="","",IF(H808&lt;=1,"Tramo 1",IF(H808&lt;=3,"Tramo 2",IF(H808&lt;=5,"Tramo 3","Tramo 4"))))</f>
        <v>Tramo 2</v>
      </c>
      <c r="J808" s="22" t="s">
        <v>2639</v>
      </c>
      <c r="K808" s="22"/>
      <c r="L808" s="22" t="s">
        <v>3642</v>
      </c>
      <c r="M808" s="26" t="s">
        <v>3643</v>
      </c>
      <c r="N808" s="22"/>
      <c r="O808" s="22" t="s">
        <v>90</v>
      </c>
      <c r="P808" s="25" t="str">
        <f aca="false">IF(OR(O808="",O808="Sin información"),"",IFERROR(INDEX(Listas!$B$2:$B$9,MATCH(O808,Listas!$A$2:$A$9,0)),""))</f>
        <v>No</v>
      </c>
      <c r="Q808" s="25" t="str">
        <f aca="false">IF(OR(O808="",O808="Sin información"),"",IFERROR(INDEX(Listas!$C$2:$C$9,MATCH(O808,Listas!$A$2:$A$9,0)),""))</f>
        <v>No</v>
      </c>
      <c r="R808" s="22"/>
      <c r="S808" s="22"/>
      <c r="T808" s="25" t="str">
        <f aca="false">IF(S808="","",IFERROR(INDEX(Empleadores!$B$2:$B$601,MATCH(S808,Empleadores!$A$2:$A$601,0)),"No encontrado"))</f>
        <v/>
      </c>
      <c r="U808" s="25" t="str">
        <f aca="false">IF(C808="","",IF(V808="","No",IF(Config!$C$4-V808&lt;=Config!$C$15,"Sí","No")))</f>
        <v>Sí</v>
      </c>
      <c r="V808" s="23" t="n">
        <v>45974</v>
      </c>
      <c r="W808" s="22" t="s">
        <v>181</v>
      </c>
      <c r="X808" s="22" t="n">
        <v>3</v>
      </c>
      <c r="Y808" s="22"/>
      <c r="Z808" s="27"/>
      <c r="AA808" s="22" t="s">
        <v>3491</v>
      </c>
      <c r="AB808" s="22" t="s">
        <v>3497</v>
      </c>
    </row>
    <row r="809" customFormat="false" ht="15" hidden="false" customHeight="false" outlineLevel="0" collapsed="false">
      <c r="A809" s="22" t="n">
        <v>808</v>
      </c>
      <c r="B809" s="22" t="s">
        <v>3644</v>
      </c>
      <c r="C809" s="22" t="s">
        <v>3645</v>
      </c>
      <c r="D809" s="22" t="s">
        <v>138</v>
      </c>
      <c r="E809" s="22" t="s">
        <v>139</v>
      </c>
      <c r="F809" s="22" t="s">
        <v>107</v>
      </c>
      <c r="G809" s="23" t="n">
        <v>45838</v>
      </c>
      <c r="H809" s="24" t="n">
        <f aca="false">IF(G809="","",ROUND((Config!$C$4-G809)/365.25,2))</f>
        <v>1.25</v>
      </c>
      <c r="I809" s="25" t="str">
        <f aca="false">IF(H809="","",IF(H809&lt;=1,"Tramo 1",IF(H809&lt;=3,"Tramo 2",IF(H809&lt;=5,"Tramo 3","Tramo 4"))))</f>
        <v>Tramo 2</v>
      </c>
      <c r="J809" s="22" t="s">
        <v>140</v>
      </c>
      <c r="K809" s="22"/>
      <c r="L809" s="22" t="s">
        <v>3646</v>
      </c>
      <c r="M809" s="26" t="s">
        <v>3647</v>
      </c>
      <c r="N809" s="22"/>
      <c r="O809" s="22" t="s">
        <v>90</v>
      </c>
      <c r="P809" s="25" t="str">
        <f aca="false">IF(OR(O809="",O809="Sin información"),"",IFERROR(INDEX(Listas!$B$2:$B$9,MATCH(O809,Listas!$A$2:$A$9,0)),""))</f>
        <v>No</v>
      </c>
      <c r="Q809" s="25" t="str">
        <f aca="false">IF(OR(O809="",O809="Sin información"),"",IFERROR(INDEX(Listas!$C$2:$C$9,MATCH(O809,Listas!$A$2:$A$9,0)),""))</f>
        <v>No</v>
      </c>
      <c r="R809" s="22"/>
      <c r="S809" s="22"/>
      <c r="T809" s="25" t="str">
        <f aca="false">IF(S809="","",IFERROR(INDEX(Empleadores!$B$2:$B$601,MATCH(S809,Empleadores!$A$2:$A$601,0)),"No encontrado"))</f>
        <v/>
      </c>
      <c r="U809" s="25" t="str">
        <f aca="false">IF(C809="","",IF(V809="","No",IF(Config!$C$4-V809&lt;=Config!$C$15,"Sí","No")))</f>
        <v>Sí</v>
      </c>
      <c r="V809" s="23" t="n">
        <v>45978</v>
      </c>
      <c r="W809" s="22" t="s">
        <v>181</v>
      </c>
      <c r="X809" s="22" t="n">
        <v>3</v>
      </c>
      <c r="Y809" s="22"/>
      <c r="Z809" s="27"/>
      <c r="AA809" s="22" t="s">
        <v>3648</v>
      </c>
      <c r="AB809" s="22" t="s">
        <v>3467</v>
      </c>
    </row>
    <row r="810" customFormat="false" ht="15" hidden="false" customHeight="false" outlineLevel="0" collapsed="false">
      <c r="A810" s="22" t="n">
        <v>809</v>
      </c>
      <c r="B810" s="22" t="s">
        <v>3649</v>
      </c>
      <c r="C810" s="22" t="s">
        <v>3650</v>
      </c>
      <c r="D810" s="22" t="s">
        <v>149</v>
      </c>
      <c r="E810" s="22" t="s">
        <v>139</v>
      </c>
      <c r="F810" s="22" t="s">
        <v>107</v>
      </c>
      <c r="G810" s="23" t="n">
        <v>45838</v>
      </c>
      <c r="H810" s="24" t="n">
        <f aca="false">IF(G810="","",ROUND((Config!$C$4-G810)/365.25,2))</f>
        <v>1.25</v>
      </c>
      <c r="I810" s="25" t="str">
        <f aca="false">IF(H810="","",IF(H810&lt;=1,"Tramo 1",IF(H810&lt;=3,"Tramo 2",IF(H810&lt;=5,"Tramo 3","Tramo 4"))))</f>
        <v>Tramo 2</v>
      </c>
      <c r="J810" s="22" t="s">
        <v>2639</v>
      </c>
      <c r="K810" s="22"/>
      <c r="L810" s="22" t="s">
        <v>3651</v>
      </c>
      <c r="M810" s="26" t="s">
        <v>3652</v>
      </c>
      <c r="N810" s="22"/>
      <c r="O810" s="22" t="s">
        <v>63</v>
      </c>
      <c r="P810" s="25" t="str">
        <f aca="false">IF(OR(O810="",O810="Sin información"),"",IFERROR(INDEX(Listas!$B$2:$B$9,MATCH(O810,Listas!$A$2:$A$9,0)),""))</f>
        <v/>
      </c>
      <c r="Q810" s="25" t="str">
        <f aca="false">IF(OR(O810="",O810="Sin información"),"",IFERROR(INDEX(Listas!$C$2:$C$9,MATCH(O810,Listas!$A$2:$A$9,0)),""))</f>
        <v/>
      </c>
      <c r="R810" s="22"/>
      <c r="S810" s="22"/>
      <c r="T810" s="25" t="str">
        <f aca="false">IF(S810="","",IFERROR(INDEX(Empleadores!$B$2:$B$601,MATCH(S810,Empleadores!$A$2:$A$601,0)),"No encontrado"))</f>
        <v/>
      </c>
      <c r="U810" s="25" t="str">
        <f aca="false">IF(C810="","",IF(V810="","No",IF(Config!$C$4-V810&lt;=Config!$C$15,"Sí","No")))</f>
        <v>No</v>
      </c>
      <c r="V810" s="23"/>
      <c r="W810" s="22"/>
      <c r="X810" s="22"/>
      <c r="Y810" s="22"/>
      <c r="Z810" s="27"/>
      <c r="AA810" s="22" t="s">
        <v>3653</v>
      </c>
      <c r="AB810" s="22" t="s">
        <v>1691</v>
      </c>
    </row>
    <row r="811" customFormat="false" ht="15" hidden="false" customHeight="false" outlineLevel="0" collapsed="false">
      <c r="A811" s="22" t="n">
        <v>810</v>
      </c>
      <c r="B811" s="22" t="s">
        <v>3654</v>
      </c>
      <c r="C811" s="22" t="s">
        <v>3655</v>
      </c>
      <c r="D811" s="22" t="s">
        <v>149</v>
      </c>
      <c r="E811" s="22" t="s">
        <v>139</v>
      </c>
      <c r="F811" s="22" t="s">
        <v>107</v>
      </c>
      <c r="G811" s="23" t="n">
        <v>45838</v>
      </c>
      <c r="H811" s="24" t="n">
        <f aca="false">IF(G811="","",ROUND((Config!$C$4-G811)/365.25,2))</f>
        <v>1.25</v>
      </c>
      <c r="I811" s="25" t="str">
        <f aca="false">IF(H811="","",IF(H811&lt;=1,"Tramo 1",IF(H811&lt;=3,"Tramo 2",IF(H811&lt;=5,"Tramo 3","Tramo 4"))))</f>
        <v>Tramo 2</v>
      </c>
      <c r="J811" s="22" t="s">
        <v>2639</v>
      </c>
      <c r="K811" s="22"/>
      <c r="L811" s="22" t="s">
        <v>3656</v>
      </c>
      <c r="M811" s="26" t="s">
        <v>3657</v>
      </c>
      <c r="N811" s="22" t="s">
        <v>139</v>
      </c>
      <c r="O811" s="22" t="s">
        <v>88</v>
      </c>
      <c r="P811" s="25" t="str">
        <f aca="false">IF(OR(O811="",O811="Sin información"),"",IFERROR(INDEX(Listas!$B$2:$B$9,MATCH(O811,Listas!$A$2:$A$9,0)),""))</f>
        <v>Sí</v>
      </c>
      <c r="Q811" s="25" t="str">
        <f aca="false">IF(OR(O811="",O811="Sin información"),"",IFERROR(INDEX(Listas!$C$2:$C$9,MATCH(O811,Listas!$A$2:$A$9,0)),""))</f>
        <v>No</v>
      </c>
      <c r="R811" s="22" t="s">
        <v>3658</v>
      </c>
      <c r="S811" s="22" t="s">
        <v>180</v>
      </c>
      <c r="T811" s="25" t="str">
        <f aca="false">IF(S811="","",IFERROR(INDEX(Empleadores!$B$2:$B$601,MATCH(S811,Empleadores!$A$2:$A$601,0)),"No encontrado"))</f>
        <v>Hospital Regional del Cusco</v>
      </c>
      <c r="U811" s="25" t="str">
        <f aca="false">IF(C811="","",IF(V811="","No",IF(Config!$C$4-V811&lt;=Config!$C$15,"Sí","No")))</f>
        <v>Sí</v>
      </c>
      <c r="V811" s="23" t="n">
        <v>46000</v>
      </c>
      <c r="W811" s="22" t="s">
        <v>181</v>
      </c>
      <c r="X811" s="22" t="n">
        <v>3</v>
      </c>
      <c r="Y811" s="22"/>
      <c r="Z811" s="27" t="s">
        <v>3659</v>
      </c>
      <c r="AA811" s="22" t="s">
        <v>3491</v>
      </c>
      <c r="AB811" s="22" t="s">
        <v>3660</v>
      </c>
    </row>
    <row r="812" customFormat="false" ht="15" hidden="false" customHeight="false" outlineLevel="0" collapsed="false">
      <c r="A812" s="22" t="n">
        <v>811</v>
      </c>
      <c r="B812" s="22" t="s">
        <v>3661</v>
      </c>
      <c r="C812" s="22" t="s">
        <v>3662</v>
      </c>
      <c r="D812" s="22" t="s">
        <v>138</v>
      </c>
      <c r="E812" s="22" t="s">
        <v>139</v>
      </c>
      <c r="F812" s="22" t="s">
        <v>107</v>
      </c>
      <c r="G812" s="23" t="n">
        <v>45838</v>
      </c>
      <c r="H812" s="24" t="n">
        <f aca="false">IF(G812="","",ROUND((Config!$C$4-G812)/365.25,2))</f>
        <v>1.25</v>
      </c>
      <c r="I812" s="25" t="str">
        <f aca="false">IF(H812="","",IF(H812&lt;=1,"Tramo 1",IF(H812&lt;=3,"Tramo 2",IF(H812&lt;=5,"Tramo 3","Tramo 4"))))</f>
        <v>Tramo 2</v>
      </c>
      <c r="J812" s="22" t="s">
        <v>2639</v>
      </c>
      <c r="K812" s="22"/>
      <c r="L812" s="22" t="s">
        <v>3663</v>
      </c>
      <c r="M812" s="26" t="s">
        <v>3664</v>
      </c>
      <c r="N812" s="22"/>
      <c r="O812" s="22" t="s">
        <v>63</v>
      </c>
      <c r="P812" s="25" t="str">
        <f aca="false">IF(OR(O812="",O812="Sin información"),"",IFERROR(INDEX(Listas!$B$2:$B$9,MATCH(O812,Listas!$A$2:$A$9,0)),""))</f>
        <v/>
      </c>
      <c r="Q812" s="25" t="str">
        <f aca="false">IF(OR(O812="",O812="Sin información"),"",IFERROR(INDEX(Listas!$C$2:$C$9,MATCH(O812,Listas!$A$2:$A$9,0)),""))</f>
        <v/>
      </c>
      <c r="R812" s="22"/>
      <c r="S812" s="22"/>
      <c r="T812" s="25" t="str">
        <f aca="false">IF(S812="","",IFERROR(INDEX(Empleadores!$B$2:$B$601,MATCH(S812,Empleadores!$A$2:$A$601,0)),"No encontrado"))</f>
        <v/>
      </c>
      <c r="U812" s="25" t="str">
        <f aca="false">IF(C812="","",IF(V812="","No",IF(Config!$C$4-V812&lt;=Config!$C$15,"Sí","No")))</f>
        <v>No</v>
      </c>
      <c r="V812" s="23"/>
      <c r="W812" s="22"/>
      <c r="X812" s="22"/>
      <c r="Y812" s="22"/>
      <c r="Z812" s="27"/>
      <c r="AA812" s="22"/>
      <c r="AB812" s="22"/>
    </row>
    <row r="813" customFormat="false" ht="15" hidden="false" customHeight="false" outlineLevel="0" collapsed="false">
      <c r="A813" s="22" t="n">
        <v>812</v>
      </c>
      <c r="B813" s="22" t="s">
        <v>3665</v>
      </c>
      <c r="C813" s="22" t="s">
        <v>3666</v>
      </c>
      <c r="D813" s="22" t="s">
        <v>149</v>
      </c>
      <c r="E813" s="22" t="s">
        <v>139</v>
      </c>
      <c r="F813" s="22" t="s">
        <v>107</v>
      </c>
      <c r="G813" s="23" t="n">
        <v>45838</v>
      </c>
      <c r="H813" s="24" t="n">
        <f aca="false">IF(G813="","",ROUND((Config!$C$4-G813)/365.25,2))</f>
        <v>1.25</v>
      </c>
      <c r="I813" s="25" t="str">
        <f aca="false">IF(H813="","",IF(H813&lt;=1,"Tramo 1",IF(H813&lt;=3,"Tramo 2",IF(H813&lt;=5,"Tramo 3","Tramo 4"))))</f>
        <v>Tramo 2</v>
      </c>
      <c r="J813" s="22" t="s">
        <v>2639</v>
      </c>
      <c r="K813" s="22"/>
      <c r="L813" s="22" t="s">
        <v>3667</v>
      </c>
      <c r="M813" s="26" t="s">
        <v>3668</v>
      </c>
      <c r="N813" s="22"/>
      <c r="O813" s="22" t="s">
        <v>90</v>
      </c>
      <c r="P813" s="25" t="str">
        <f aca="false">IF(OR(O813="",O813="Sin información"),"",IFERROR(INDEX(Listas!$B$2:$B$9,MATCH(O813,Listas!$A$2:$A$9,0)),""))</f>
        <v>No</v>
      </c>
      <c r="Q813" s="25" t="str">
        <f aca="false">IF(OR(O813="",O813="Sin información"),"",IFERROR(INDEX(Listas!$C$2:$C$9,MATCH(O813,Listas!$A$2:$A$9,0)),""))</f>
        <v>No</v>
      </c>
      <c r="R813" s="22"/>
      <c r="S813" s="22"/>
      <c r="T813" s="25" t="str">
        <f aca="false">IF(S813="","",IFERROR(INDEX(Empleadores!$B$2:$B$601,MATCH(S813,Empleadores!$A$2:$A$601,0)),"No encontrado"))</f>
        <v/>
      </c>
      <c r="U813" s="25" t="str">
        <f aca="false">IF(C813="","",IF(V813="","No",IF(Config!$C$4-V813&lt;=Config!$C$15,"Sí","No")))</f>
        <v>Sí</v>
      </c>
      <c r="V813" s="23" t="n">
        <v>45978</v>
      </c>
      <c r="W813" s="22" t="s">
        <v>181</v>
      </c>
      <c r="X813" s="22" t="n">
        <v>3</v>
      </c>
      <c r="Y813" s="22"/>
      <c r="Z813" s="27"/>
      <c r="AA813" s="22" t="s">
        <v>3491</v>
      </c>
      <c r="AB813" s="22" t="s">
        <v>3660</v>
      </c>
    </row>
    <row r="814" customFormat="false" ht="15" hidden="false" customHeight="false" outlineLevel="0" collapsed="false">
      <c r="A814" s="22" t="n">
        <v>813</v>
      </c>
      <c r="B814" s="22" t="s">
        <v>3669</v>
      </c>
      <c r="C814" s="22" t="s">
        <v>3670</v>
      </c>
      <c r="D814" s="22" t="s">
        <v>149</v>
      </c>
      <c r="E814" s="22" t="s">
        <v>139</v>
      </c>
      <c r="F814" s="22" t="s">
        <v>107</v>
      </c>
      <c r="G814" s="23" t="n">
        <v>45838</v>
      </c>
      <c r="H814" s="24" t="n">
        <f aca="false">IF(G814="","",ROUND((Config!$C$4-G814)/365.25,2))</f>
        <v>1.25</v>
      </c>
      <c r="I814" s="25" t="str">
        <f aca="false">IF(H814="","",IF(H814&lt;=1,"Tramo 1",IF(H814&lt;=3,"Tramo 2",IF(H814&lt;=5,"Tramo 3","Tramo 4"))))</f>
        <v>Tramo 2</v>
      </c>
      <c r="J814" s="22" t="s">
        <v>2639</v>
      </c>
      <c r="K814" s="22"/>
      <c r="L814" s="22" t="s">
        <v>3671</v>
      </c>
      <c r="M814" s="26" t="s">
        <v>3672</v>
      </c>
      <c r="N814" s="22"/>
      <c r="O814" s="22" t="s">
        <v>63</v>
      </c>
      <c r="P814" s="25" t="str">
        <f aca="false">IF(OR(O814="",O814="Sin información"),"",IFERROR(INDEX(Listas!$B$2:$B$9,MATCH(O814,Listas!$A$2:$A$9,0)),""))</f>
        <v/>
      </c>
      <c r="Q814" s="25" t="str">
        <f aca="false">IF(OR(O814="",O814="Sin información"),"",IFERROR(INDEX(Listas!$C$2:$C$9,MATCH(O814,Listas!$A$2:$A$9,0)),""))</f>
        <v/>
      </c>
      <c r="R814" s="22"/>
      <c r="S814" s="22"/>
      <c r="T814" s="25" t="str">
        <f aca="false">IF(S814="","",IFERROR(INDEX(Empleadores!$B$2:$B$601,MATCH(S814,Empleadores!$A$2:$A$601,0)),"No encontrado"))</f>
        <v/>
      </c>
      <c r="U814" s="25" t="str">
        <f aca="false">IF(C814="","",IF(V814="","No",IF(Config!$C$4-V814&lt;=Config!$C$15,"Sí","No")))</f>
        <v>No</v>
      </c>
      <c r="V814" s="23"/>
      <c r="W814" s="22"/>
      <c r="X814" s="22"/>
      <c r="Y814" s="22"/>
      <c r="Z814" s="27"/>
      <c r="AA814" s="22"/>
      <c r="AB814" s="22"/>
    </row>
    <row r="815" customFormat="false" ht="15" hidden="false" customHeight="false" outlineLevel="0" collapsed="false">
      <c r="A815" s="22" t="n">
        <v>814</v>
      </c>
      <c r="B815" s="22" t="s">
        <v>3673</v>
      </c>
      <c r="C815" s="22" t="s">
        <v>3674</v>
      </c>
      <c r="D815" s="22" t="s">
        <v>138</v>
      </c>
      <c r="E815" s="22" t="s">
        <v>139</v>
      </c>
      <c r="F815" s="22" t="s">
        <v>107</v>
      </c>
      <c r="G815" s="23" t="n">
        <v>45838</v>
      </c>
      <c r="H815" s="24" t="n">
        <f aca="false">IF(G815="","",ROUND((Config!$C$4-G815)/365.25,2))</f>
        <v>1.25</v>
      </c>
      <c r="I815" s="25" t="str">
        <f aca="false">IF(H815="","",IF(H815&lt;=1,"Tramo 1",IF(H815&lt;=3,"Tramo 2",IF(H815&lt;=5,"Tramo 3","Tramo 4"))))</f>
        <v>Tramo 2</v>
      </c>
      <c r="J815" s="22" t="s">
        <v>2639</v>
      </c>
      <c r="K815" s="22"/>
      <c r="L815" s="22" t="s">
        <v>3675</v>
      </c>
      <c r="M815" s="26" t="s">
        <v>3676</v>
      </c>
      <c r="N815" s="22"/>
      <c r="O815" s="22" t="s">
        <v>63</v>
      </c>
      <c r="P815" s="25" t="str">
        <f aca="false">IF(OR(O815="",O815="Sin información"),"",IFERROR(INDEX(Listas!$B$2:$B$9,MATCH(O815,Listas!$A$2:$A$9,0)),""))</f>
        <v/>
      </c>
      <c r="Q815" s="25" t="str">
        <f aca="false">IF(OR(O815="",O815="Sin información"),"",IFERROR(INDEX(Listas!$C$2:$C$9,MATCH(O815,Listas!$A$2:$A$9,0)),""))</f>
        <v/>
      </c>
      <c r="R815" s="22"/>
      <c r="S815" s="22"/>
      <c r="T815" s="25" t="str">
        <f aca="false">IF(S815="","",IFERROR(INDEX(Empleadores!$B$2:$B$601,MATCH(S815,Empleadores!$A$2:$A$601,0)),"No encontrado"))</f>
        <v/>
      </c>
      <c r="U815" s="25" t="str">
        <f aca="false">IF(C815="","",IF(V815="","No",IF(Config!$C$4-V815&lt;=Config!$C$15,"Sí","No")))</f>
        <v>No</v>
      </c>
      <c r="V815" s="23"/>
      <c r="W815" s="22"/>
      <c r="X815" s="22"/>
      <c r="Y815" s="22"/>
      <c r="Z815" s="27"/>
      <c r="AA815" s="22" t="s">
        <v>3677</v>
      </c>
      <c r="AB815" s="22" t="s">
        <v>1691</v>
      </c>
    </row>
    <row r="816" customFormat="false" ht="15" hidden="false" customHeight="false" outlineLevel="0" collapsed="false">
      <c r="A816" s="22" t="n">
        <v>815</v>
      </c>
      <c r="B816" s="22" t="s">
        <v>3678</v>
      </c>
      <c r="C816" s="22" t="s">
        <v>3679</v>
      </c>
      <c r="D816" s="22" t="s">
        <v>149</v>
      </c>
      <c r="E816" s="22" t="s">
        <v>139</v>
      </c>
      <c r="F816" s="22" t="s">
        <v>107</v>
      </c>
      <c r="G816" s="23" t="n">
        <v>45838</v>
      </c>
      <c r="H816" s="24" t="n">
        <f aca="false">IF(G816="","",ROUND((Config!$C$4-G816)/365.25,2))</f>
        <v>1.25</v>
      </c>
      <c r="I816" s="25" t="str">
        <f aca="false">IF(H816="","",IF(H816&lt;=1,"Tramo 1",IF(H816&lt;=3,"Tramo 2",IF(H816&lt;=5,"Tramo 3","Tramo 4"))))</f>
        <v>Tramo 2</v>
      </c>
      <c r="J816" s="22" t="s">
        <v>166</v>
      </c>
      <c r="K816" s="22"/>
      <c r="L816" s="22" t="s">
        <v>3680</v>
      </c>
      <c r="M816" s="26" t="s">
        <v>3681</v>
      </c>
      <c r="N816" s="22"/>
      <c r="O816" s="22" t="s">
        <v>63</v>
      </c>
      <c r="P816" s="25" t="str">
        <f aca="false">IF(OR(O816="",O816="Sin información"),"",IFERROR(INDEX(Listas!$B$2:$B$9,MATCH(O816,Listas!$A$2:$A$9,0)),""))</f>
        <v/>
      </c>
      <c r="Q816" s="25" t="str">
        <f aca="false">IF(OR(O816="",O816="Sin información"),"",IFERROR(INDEX(Listas!$C$2:$C$9,MATCH(O816,Listas!$A$2:$A$9,0)),""))</f>
        <v/>
      </c>
      <c r="R816" s="22"/>
      <c r="S816" s="22"/>
      <c r="T816" s="25" t="str">
        <f aca="false">IF(S816="","",IFERROR(INDEX(Empleadores!$B$2:$B$601,MATCH(S816,Empleadores!$A$2:$A$601,0)),"No encontrado"))</f>
        <v/>
      </c>
      <c r="U816" s="25" t="str">
        <f aca="false">IF(C816="","",IF(V816="","No",IF(Config!$C$4-V816&lt;=Config!$C$15,"Sí","No")))</f>
        <v>No</v>
      </c>
      <c r="V816" s="23"/>
      <c r="W816" s="22"/>
      <c r="X816" s="22"/>
      <c r="Y816" s="22"/>
      <c r="Z816" s="27"/>
      <c r="AA816" s="22"/>
      <c r="AB816" s="22"/>
    </row>
    <row r="817" customFormat="false" ht="15" hidden="false" customHeight="false" outlineLevel="0" collapsed="false">
      <c r="A817" s="22" t="n">
        <v>816</v>
      </c>
      <c r="B817" s="22" t="s">
        <v>3682</v>
      </c>
      <c r="C817" s="22" t="s">
        <v>3683</v>
      </c>
      <c r="D817" s="22" t="s">
        <v>138</v>
      </c>
      <c r="E817" s="22" t="s">
        <v>139</v>
      </c>
      <c r="F817" s="22" t="s">
        <v>107</v>
      </c>
      <c r="G817" s="23" t="n">
        <v>45838</v>
      </c>
      <c r="H817" s="24" t="n">
        <f aca="false">IF(G817="","",ROUND((Config!$C$4-G817)/365.25,2))</f>
        <v>1.25</v>
      </c>
      <c r="I817" s="25" t="str">
        <f aca="false">IF(H817="","",IF(H817&lt;=1,"Tramo 1",IF(H817&lt;=3,"Tramo 2",IF(H817&lt;=5,"Tramo 3","Tramo 4"))))</f>
        <v>Tramo 2</v>
      </c>
      <c r="J817" s="22" t="s">
        <v>2639</v>
      </c>
      <c r="K817" s="22"/>
      <c r="L817" s="22" t="s">
        <v>3684</v>
      </c>
      <c r="M817" s="26" t="s">
        <v>3685</v>
      </c>
      <c r="N817" s="22"/>
      <c r="O817" s="22" t="s">
        <v>63</v>
      </c>
      <c r="P817" s="25" t="str">
        <f aca="false">IF(OR(O817="",O817="Sin información"),"",IFERROR(INDEX(Listas!$B$2:$B$9,MATCH(O817,Listas!$A$2:$A$9,0)),""))</f>
        <v/>
      </c>
      <c r="Q817" s="25" t="str">
        <f aca="false">IF(OR(O817="",O817="Sin información"),"",IFERROR(INDEX(Listas!$C$2:$C$9,MATCH(O817,Listas!$A$2:$A$9,0)),""))</f>
        <v/>
      </c>
      <c r="R817" s="22"/>
      <c r="S817" s="22"/>
      <c r="T817" s="25" t="str">
        <f aca="false">IF(S817="","",IFERROR(INDEX(Empleadores!$B$2:$B$601,MATCH(S817,Empleadores!$A$2:$A$601,0)),"No encontrado"))</f>
        <v/>
      </c>
      <c r="U817" s="25" t="str">
        <f aca="false">IF(C817="","",IF(V817="","No",IF(Config!$C$4-V817&lt;=Config!$C$15,"Sí","No")))</f>
        <v>No</v>
      </c>
      <c r="V817" s="23"/>
      <c r="W817" s="22"/>
      <c r="X817" s="22"/>
      <c r="Y817" s="22"/>
      <c r="Z817" s="27"/>
      <c r="AA817" s="22"/>
      <c r="AB817" s="22"/>
    </row>
    <row r="818" customFormat="false" ht="15" hidden="false" customHeight="false" outlineLevel="0" collapsed="false">
      <c r="A818" s="22" t="n">
        <v>817</v>
      </c>
      <c r="B818" s="22" t="s">
        <v>3686</v>
      </c>
      <c r="C818" s="22" t="s">
        <v>3687</v>
      </c>
      <c r="D818" s="22" t="s">
        <v>149</v>
      </c>
      <c r="E818" s="22" t="s">
        <v>139</v>
      </c>
      <c r="F818" s="22" t="s">
        <v>107</v>
      </c>
      <c r="G818" s="23" t="n">
        <v>45838</v>
      </c>
      <c r="H818" s="24" t="n">
        <f aca="false">IF(G818="","",ROUND((Config!$C$4-G818)/365.25,2))</f>
        <v>1.25</v>
      </c>
      <c r="I818" s="25" t="str">
        <f aca="false">IF(H818="","",IF(H818&lt;=1,"Tramo 1",IF(H818&lt;=3,"Tramo 2",IF(H818&lt;=5,"Tramo 3","Tramo 4"))))</f>
        <v>Tramo 2</v>
      </c>
      <c r="J818" s="22" t="s">
        <v>166</v>
      </c>
      <c r="K818" s="22"/>
      <c r="L818" s="22" t="s">
        <v>3688</v>
      </c>
      <c r="M818" s="26" t="s">
        <v>3689</v>
      </c>
      <c r="N818" s="22"/>
      <c r="O818" s="22" t="s">
        <v>90</v>
      </c>
      <c r="P818" s="25" t="str">
        <f aca="false">IF(OR(O818="",O818="Sin información"),"",IFERROR(INDEX(Listas!$B$2:$B$9,MATCH(O818,Listas!$A$2:$A$9,0)),""))</f>
        <v>No</v>
      </c>
      <c r="Q818" s="25" t="str">
        <f aca="false">IF(OR(O818="",O818="Sin información"),"",IFERROR(INDEX(Listas!$C$2:$C$9,MATCH(O818,Listas!$A$2:$A$9,0)),""))</f>
        <v>No</v>
      </c>
      <c r="R818" s="22"/>
      <c r="S818" s="22"/>
      <c r="T818" s="25" t="str">
        <f aca="false">IF(S818="","",IFERROR(INDEX(Empleadores!$B$2:$B$601,MATCH(S818,Empleadores!$A$2:$A$601,0)),"No encontrado"))</f>
        <v/>
      </c>
      <c r="U818" s="25" t="str">
        <f aca="false">IF(C818="","",IF(V818="","No",IF(Config!$C$4-V818&lt;=Config!$C$15,"Sí","No")))</f>
        <v>Sí</v>
      </c>
      <c r="V818" s="23" t="n">
        <v>45948</v>
      </c>
      <c r="W818" s="22"/>
      <c r="X818" s="22"/>
      <c r="Y818" s="22"/>
      <c r="Z818" s="27"/>
      <c r="AA818" s="22" t="s">
        <v>2594</v>
      </c>
      <c r="AB818" s="22" t="s">
        <v>2265</v>
      </c>
    </row>
    <row r="819" customFormat="false" ht="15" hidden="false" customHeight="false" outlineLevel="0" collapsed="false">
      <c r="A819" s="22" t="n">
        <v>818</v>
      </c>
      <c r="B819" s="22" t="s">
        <v>3690</v>
      </c>
      <c r="C819" s="22" t="s">
        <v>3691</v>
      </c>
      <c r="D819" s="22" t="s">
        <v>138</v>
      </c>
      <c r="E819" s="22" t="s">
        <v>139</v>
      </c>
      <c r="F819" s="22" t="s">
        <v>107</v>
      </c>
      <c r="G819" s="23" t="n">
        <v>45838</v>
      </c>
      <c r="H819" s="24" t="n">
        <f aca="false">IF(G819="","",ROUND((Config!$C$4-G819)/365.25,2))</f>
        <v>1.25</v>
      </c>
      <c r="I819" s="25" t="str">
        <f aca="false">IF(H819="","",IF(H819&lt;=1,"Tramo 1",IF(H819&lt;=3,"Tramo 2",IF(H819&lt;=5,"Tramo 3","Tramo 4"))))</f>
        <v>Tramo 2</v>
      </c>
      <c r="J819" s="22" t="s">
        <v>2639</v>
      </c>
      <c r="K819" s="22"/>
      <c r="L819" s="22" t="s">
        <v>3692</v>
      </c>
      <c r="M819" s="26" t="s">
        <v>3693</v>
      </c>
      <c r="N819" s="22"/>
      <c r="O819" s="22" t="s">
        <v>63</v>
      </c>
      <c r="P819" s="25" t="str">
        <f aca="false">IF(OR(O819="",O819="Sin información"),"",IFERROR(INDEX(Listas!$B$2:$B$9,MATCH(O819,Listas!$A$2:$A$9,0)),""))</f>
        <v/>
      </c>
      <c r="Q819" s="25" t="str">
        <f aca="false">IF(OR(O819="",O819="Sin información"),"",IFERROR(INDEX(Listas!$C$2:$C$9,MATCH(O819,Listas!$A$2:$A$9,0)),""))</f>
        <v/>
      </c>
      <c r="R819" s="22"/>
      <c r="S819" s="22"/>
      <c r="T819" s="25" t="str">
        <f aca="false">IF(S819="","",IFERROR(INDEX(Empleadores!$B$2:$B$601,MATCH(S819,Empleadores!$A$2:$A$601,0)),"No encontrado"))</f>
        <v/>
      </c>
      <c r="U819" s="25" t="str">
        <f aca="false">IF(C819="","",IF(V819="","No",IF(Config!$C$4-V819&lt;=Config!$C$15,"Sí","No")))</f>
        <v>Sí</v>
      </c>
      <c r="V819" s="23" t="n">
        <v>45967</v>
      </c>
      <c r="W819" s="22"/>
      <c r="X819" s="22"/>
      <c r="Y819" s="22" t="s">
        <v>181</v>
      </c>
      <c r="Z819" s="27"/>
      <c r="AA819" s="22" t="s">
        <v>3694</v>
      </c>
      <c r="AB819" s="22" t="s">
        <v>1553</v>
      </c>
    </row>
    <row r="820" customFormat="false" ht="15" hidden="false" customHeight="false" outlineLevel="0" collapsed="false">
      <c r="A820" s="22" t="n">
        <v>819</v>
      </c>
      <c r="B820" s="22" t="s">
        <v>3695</v>
      </c>
      <c r="C820" s="22" t="s">
        <v>3696</v>
      </c>
      <c r="D820" s="22" t="s">
        <v>149</v>
      </c>
      <c r="E820" s="22" t="s">
        <v>139</v>
      </c>
      <c r="F820" s="22" t="s">
        <v>107</v>
      </c>
      <c r="G820" s="23" t="n">
        <v>45838</v>
      </c>
      <c r="H820" s="24" t="n">
        <f aca="false">IF(G820="","",ROUND((Config!$C$4-G820)/365.25,2))</f>
        <v>1.25</v>
      </c>
      <c r="I820" s="25" t="str">
        <f aca="false">IF(H820="","",IF(H820&lt;=1,"Tramo 1",IF(H820&lt;=3,"Tramo 2",IF(H820&lt;=5,"Tramo 3","Tramo 4"))))</f>
        <v>Tramo 2</v>
      </c>
      <c r="J820" s="22" t="s">
        <v>2639</v>
      </c>
      <c r="K820" s="22"/>
      <c r="L820" s="22" t="s">
        <v>3697</v>
      </c>
      <c r="M820" s="26" t="s">
        <v>3698</v>
      </c>
      <c r="N820" s="22"/>
      <c r="O820" s="22" t="s">
        <v>63</v>
      </c>
      <c r="P820" s="25" t="str">
        <f aca="false">IF(OR(O820="",O820="Sin información"),"",IFERROR(INDEX(Listas!$B$2:$B$9,MATCH(O820,Listas!$A$2:$A$9,0)),""))</f>
        <v/>
      </c>
      <c r="Q820" s="25" t="str">
        <f aca="false">IF(OR(O820="",O820="Sin información"),"",IFERROR(INDEX(Listas!$C$2:$C$9,MATCH(O820,Listas!$A$2:$A$9,0)),""))</f>
        <v/>
      </c>
      <c r="R820" s="22"/>
      <c r="S820" s="22"/>
      <c r="T820" s="25" t="str">
        <f aca="false">IF(S820="","",IFERROR(INDEX(Empleadores!$B$2:$B$601,MATCH(S820,Empleadores!$A$2:$A$601,0)),"No encontrado"))</f>
        <v/>
      </c>
      <c r="U820" s="25" t="str">
        <f aca="false">IF(C820="","",IF(V820="","No",IF(Config!$C$4-V820&lt;=Config!$C$15,"Sí","No")))</f>
        <v>No</v>
      </c>
      <c r="V820" s="23"/>
      <c r="W820" s="22"/>
      <c r="X820" s="22"/>
      <c r="Y820" s="22"/>
      <c r="Z820" s="27"/>
      <c r="AA820" s="22"/>
      <c r="AB820" s="22"/>
    </row>
    <row r="821" customFormat="false" ht="15" hidden="false" customHeight="false" outlineLevel="0" collapsed="false">
      <c r="A821" s="22" t="n">
        <v>820</v>
      </c>
      <c r="B821" s="22" t="s">
        <v>3699</v>
      </c>
      <c r="C821" s="22" t="s">
        <v>3700</v>
      </c>
      <c r="D821" s="22" t="s">
        <v>149</v>
      </c>
      <c r="E821" s="22" t="s">
        <v>139</v>
      </c>
      <c r="F821" s="22" t="s">
        <v>107</v>
      </c>
      <c r="G821" s="23" t="n">
        <v>45838</v>
      </c>
      <c r="H821" s="24" t="n">
        <f aca="false">IF(G821="","",ROUND((Config!$C$4-G821)/365.25,2))</f>
        <v>1.25</v>
      </c>
      <c r="I821" s="25" t="str">
        <f aca="false">IF(H821="","",IF(H821&lt;=1,"Tramo 1",IF(H821&lt;=3,"Tramo 2",IF(H821&lt;=5,"Tramo 3","Tramo 4"))))</f>
        <v>Tramo 2</v>
      </c>
      <c r="J821" s="22" t="s">
        <v>166</v>
      </c>
      <c r="K821" s="22"/>
      <c r="L821" s="22" t="s">
        <v>3701</v>
      </c>
      <c r="M821" s="26" t="s">
        <v>3702</v>
      </c>
      <c r="N821" s="22"/>
      <c r="O821" s="22" t="s">
        <v>90</v>
      </c>
      <c r="P821" s="25" t="str">
        <f aca="false">IF(OR(O821="",O821="Sin información"),"",IFERROR(INDEX(Listas!$B$2:$B$9,MATCH(O821,Listas!$A$2:$A$9,0)),""))</f>
        <v>No</v>
      </c>
      <c r="Q821" s="25" t="str">
        <f aca="false">IF(OR(O821="",O821="Sin información"),"",IFERROR(INDEX(Listas!$C$2:$C$9,MATCH(O821,Listas!$A$2:$A$9,0)),""))</f>
        <v>No</v>
      </c>
      <c r="R821" s="22"/>
      <c r="S821" s="22"/>
      <c r="T821" s="25" t="str">
        <f aca="false">IF(S821="","",IFERROR(INDEX(Empleadores!$B$2:$B$601,MATCH(S821,Empleadores!$A$2:$A$601,0)),"No encontrado"))</f>
        <v/>
      </c>
      <c r="U821" s="25" t="str">
        <f aca="false">IF(C821="","",IF(V821="","No",IF(Config!$C$4-V821&lt;=Config!$C$15,"Sí","No")))</f>
        <v>Sí</v>
      </c>
      <c r="V821" s="23" t="n">
        <v>45946</v>
      </c>
      <c r="W821" s="22"/>
      <c r="X821" s="22"/>
      <c r="Y821" s="22"/>
      <c r="Z821" s="27"/>
      <c r="AA821" s="22" t="s">
        <v>2594</v>
      </c>
      <c r="AB821" s="22" t="s">
        <v>2265</v>
      </c>
    </row>
    <row r="822" customFormat="false" ht="15" hidden="false" customHeight="false" outlineLevel="0" collapsed="false">
      <c r="A822" s="22" t="n">
        <v>821</v>
      </c>
      <c r="B822" s="22" t="s">
        <v>3703</v>
      </c>
      <c r="C822" s="22" t="s">
        <v>3704</v>
      </c>
      <c r="D822" s="22" t="s">
        <v>138</v>
      </c>
      <c r="E822" s="22" t="s">
        <v>139</v>
      </c>
      <c r="F822" s="22" t="s">
        <v>107</v>
      </c>
      <c r="G822" s="23" t="n">
        <v>45838</v>
      </c>
      <c r="H822" s="24" t="n">
        <f aca="false">IF(G822="","",ROUND((Config!$C$4-G822)/365.25,2))</f>
        <v>1.25</v>
      </c>
      <c r="I822" s="25" t="str">
        <f aca="false">IF(H822="","",IF(H822&lt;=1,"Tramo 1",IF(H822&lt;=3,"Tramo 2",IF(H822&lt;=5,"Tramo 3","Tramo 4"))))</f>
        <v>Tramo 2</v>
      </c>
      <c r="J822" s="22" t="s">
        <v>166</v>
      </c>
      <c r="K822" s="22"/>
      <c r="L822" s="22" t="s">
        <v>3705</v>
      </c>
      <c r="M822" s="26" t="s">
        <v>3706</v>
      </c>
      <c r="N822" s="22"/>
      <c r="O822" s="22" t="s">
        <v>63</v>
      </c>
      <c r="P822" s="25" t="str">
        <f aca="false">IF(OR(O822="",O822="Sin información"),"",IFERROR(INDEX(Listas!$B$2:$B$9,MATCH(O822,Listas!$A$2:$A$9,0)),""))</f>
        <v/>
      </c>
      <c r="Q822" s="25" t="str">
        <f aca="false">IF(OR(O822="",O822="Sin información"),"",IFERROR(INDEX(Listas!$C$2:$C$9,MATCH(O822,Listas!$A$2:$A$9,0)),""))</f>
        <v/>
      </c>
      <c r="R822" s="22"/>
      <c r="S822" s="22"/>
      <c r="T822" s="25" t="str">
        <f aca="false">IF(S822="","",IFERROR(INDEX(Empleadores!$B$2:$B$601,MATCH(S822,Empleadores!$A$2:$A$601,0)),"No encontrado"))</f>
        <v/>
      </c>
      <c r="U822" s="25" t="str">
        <f aca="false">IF(C822="","",IF(V822="","No",IF(Config!$C$4-V822&lt;=Config!$C$15,"Sí","No")))</f>
        <v>No</v>
      </c>
      <c r="V822" s="23"/>
      <c r="W822" s="22"/>
      <c r="X822" s="22"/>
      <c r="Y822" s="22"/>
      <c r="Z822" s="27"/>
      <c r="AA822" s="22" t="s">
        <v>3707</v>
      </c>
      <c r="AB822" s="22" t="s">
        <v>1691</v>
      </c>
    </row>
    <row r="823" customFormat="false" ht="15" hidden="false" customHeight="false" outlineLevel="0" collapsed="false">
      <c r="A823" s="22" t="n">
        <v>822</v>
      </c>
      <c r="B823" s="22" t="s">
        <v>3708</v>
      </c>
      <c r="C823" s="22" t="s">
        <v>3709</v>
      </c>
      <c r="D823" s="22" t="s">
        <v>149</v>
      </c>
      <c r="E823" s="22" t="s">
        <v>139</v>
      </c>
      <c r="F823" s="22" t="s">
        <v>107</v>
      </c>
      <c r="G823" s="23" t="n">
        <v>45838</v>
      </c>
      <c r="H823" s="24" t="n">
        <f aca="false">IF(G823="","",ROUND((Config!$C$4-G823)/365.25,2))</f>
        <v>1.25</v>
      </c>
      <c r="I823" s="25" t="str">
        <f aca="false">IF(H823="","",IF(H823&lt;=1,"Tramo 1",IF(H823&lt;=3,"Tramo 2",IF(H823&lt;=5,"Tramo 3","Tramo 4"))))</f>
        <v>Tramo 2</v>
      </c>
      <c r="J823" s="22" t="s">
        <v>2639</v>
      </c>
      <c r="K823" s="22"/>
      <c r="L823" s="22" t="s">
        <v>3710</v>
      </c>
      <c r="M823" s="26" t="s">
        <v>3711</v>
      </c>
      <c r="N823" s="22"/>
      <c r="O823" s="22" t="s">
        <v>63</v>
      </c>
      <c r="P823" s="25" t="str">
        <f aca="false">IF(OR(O823="",O823="Sin información"),"",IFERROR(INDEX(Listas!$B$2:$B$9,MATCH(O823,Listas!$A$2:$A$9,0)),""))</f>
        <v/>
      </c>
      <c r="Q823" s="25" t="str">
        <f aca="false">IF(OR(O823="",O823="Sin información"),"",IFERROR(INDEX(Listas!$C$2:$C$9,MATCH(O823,Listas!$A$2:$A$9,0)),""))</f>
        <v/>
      </c>
      <c r="R823" s="22"/>
      <c r="S823" s="22"/>
      <c r="T823" s="25" t="str">
        <f aca="false">IF(S823="","",IFERROR(INDEX(Empleadores!$B$2:$B$601,MATCH(S823,Empleadores!$A$2:$A$601,0)),"No encontrado"))</f>
        <v/>
      </c>
      <c r="U823" s="25" t="str">
        <f aca="false">IF(C823="","",IF(V823="","No",IF(Config!$C$4-V823&lt;=Config!$C$15,"Sí","No")))</f>
        <v>No</v>
      </c>
      <c r="V823" s="23"/>
      <c r="W823" s="22"/>
      <c r="X823" s="22"/>
      <c r="Y823" s="22"/>
      <c r="Z823" s="27"/>
      <c r="AA823" s="22" t="s">
        <v>3712</v>
      </c>
      <c r="AB823" s="22" t="s">
        <v>1691</v>
      </c>
    </row>
    <row r="824" customFormat="false" ht="15" hidden="false" customHeight="false" outlineLevel="0" collapsed="false">
      <c r="A824" s="22" t="n">
        <v>823</v>
      </c>
      <c r="B824" s="22" t="s">
        <v>3713</v>
      </c>
      <c r="C824" s="22" t="s">
        <v>3714</v>
      </c>
      <c r="D824" s="22" t="s">
        <v>138</v>
      </c>
      <c r="E824" s="22" t="s">
        <v>139</v>
      </c>
      <c r="F824" s="22" t="s">
        <v>107</v>
      </c>
      <c r="G824" s="23" t="n">
        <v>45838</v>
      </c>
      <c r="H824" s="24" t="n">
        <f aca="false">IF(G824="","",ROUND((Config!$C$4-G824)/365.25,2))</f>
        <v>1.25</v>
      </c>
      <c r="I824" s="25" t="str">
        <f aca="false">IF(H824="","",IF(H824&lt;=1,"Tramo 1",IF(H824&lt;=3,"Tramo 2",IF(H824&lt;=5,"Tramo 3","Tramo 4"))))</f>
        <v>Tramo 2</v>
      </c>
      <c r="J824" s="22" t="s">
        <v>2639</v>
      </c>
      <c r="K824" s="22"/>
      <c r="L824" s="22" t="s">
        <v>3715</v>
      </c>
      <c r="M824" s="26" t="s">
        <v>3716</v>
      </c>
      <c r="N824" s="22"/>
      <c r="O824" s="22" t="s">
        <v>63</v>
      </c>
      <c r="P824" s="25" t="str">
        <f aca="false">IF(OR(O824="",O824="Sin información"),"",IFERROR(INDEX(Listas!$B$2:$B$9,MATCH(O824,Listas!$A$2:$A$9,0)),""))</f>
        <v/>
      </c>
      <c r="Q824" s="25" t="str">
        <f aca="false">IF(OR(O824="",O824="Sin información"),"",IFERROR(INDEX(Listas!$C$2:$C$9,MATCH(O824,Listas!$A$2:$A$9,0)),""))</f>
        <v/>
      </c>
      <c r="R824" s="22"/>
      <c r="S824" s="22"/>
      <c r="T824" s="25" t="str">
        <f aca="false">IF(S824="","",IFERROR(INDEX(Empleadores!$B$2:$B$601,MATCH(S824,Empleadores!$A$2:$A$601,0)),"No encontrado"))</f>
        <v/>
      </c>
      <c r="U824" s="25" t="str">
        <f aca="false">IF(C824="","",IF(V824="","No",IF(Config!$C$4-V824&lt;=Config!$C$15,"Sí","No")))</f>
        <v>No</v>
      </c>
      <c r="V824" s="23"/>
      <c r="W824" s="22"/>
      <c r="X824" s="22"/>
      <c r="Y824" s="22"/>
      <c r="Z824" s="27"/>
      <c r="AA824" s="22" t="s">
        <v>3717</v>
      </c>
      <c r="AB824" s="22" t="s">
        <v>1691</v>
      </c>
    </row>
    <row r="825" customFormat="false" ht="15" hidden="false" customHeight="false" outlineLevel="0" collapsed="false">
      <c r="A825" s="22" t="n">
        <v>824</v>
      </c>
      <c r="B825" s="22" t="s">
        <v>3718</v>
      </c>
      <c r="C825" s="22" t="s">
        <v>3719</v>
      </c>
      <c r="D825" s="22" t="s">
        <v>149</v>
      </c>
      <c r="E825" s="22" t="s">
        <v>139</v>
      </c>
      <c r="F825" s="22" t="s">
        <v>107</v>
      </c>
      <c r="G825" s="23" t="n">
        <v>45838</v>
      </c>
      <c r="H825" s="24" t="n">
        <f aca="false">IF(G825="","",ROUND((Config!$C$4-G825)/365.25,2))</f>
        <v>1.25</v>
      </c>
      <c r="I825" s="25" t="str">
        <f aca="false">IF(H825="","",IF(H825&lt;=1,"Tramo 1",IF(H825&lt;=3,"Tramo 2",IF(H825&lt;=5,"Tramo 3","Tramo 4"))))</f>
        <v>Tramo 2</v>
      </c>
      <c r="J825" s="22" t="s">
        <v>2639</v>
      </c>
      <c r="K825" s="22"/>
      <c r="L825" s="22" t="s">
        <v>3720</v>
      </c>
      <c r="M825" s="26" t="s">
        <v>3721</v>
      </c>
      <c r="N825" s="22"/>
      <c r="O825" s="22" t="s">
        <v>63</v>
      </c>
      <c r="P825" s="25" t="str">
        <f aca="false">IF(OR(O825="",O825="Sin información"),"",IFERROR(INDEX(Listas!$B$2:$B$9,MATCH(O825,Listas!$A$2:$A$9,0)),""))</f>
        <v/>
      </c>
      <c r="Q825" s="25" t="str">
        <f aca="false">IF(OR(O825="",O825="Sin información"),"",IFERROR(INDEX(Listas!$C$2:$C$9,MATCH(O825,Listas!$A$2:$A$9,0)),""))</f>
        <v/>
      </c>
      <c r="R825" s="22"/>
      <c r="S825" s="22"/>
      <c r="T825" s="25" t="str">
        <f aca="false">IF(S825="","",IFERROR(INDEX(Empleadores!$B$2:$B$601,MATCH(S825,Empleadores!$A$2:$A$601,0)),"No encontrado"))</f>
        <v/>
      </c>
      <c r="U825" s="25" t="str">
        <f aca="false">IF(C825="","",IF(V825="","No",IF(Config!$C$4-V825&lt;=Config!$C$15,"Sí","No")))</f>
        <v>No</v>
      </c>
      <c r="V825" s="23"/>
      <c r="W825" s="22"/>
      <c r="X825" s="22"/>
      <c r="Y825" s="22"/>
      <c r="Z825" s="27"/>
      <c r="AA825" s="22" t="s">
        <v>3722</v>
      </c>
      <c r="AB825" s="22" t="s">
        <v>1691</v>
      </c>
    </row>
    <row r="826" customFormat="false" ht="15" hidden="false" customHeight="false" outlineLevel="0" collapsed="false">
      <c r="A826" s="22" t="n">
        <v>825</v>
      </c>
      <c r="B826" s="22" t="s">
        <v>3723</v>
      </c>
      <c r="C826" s="22" t="s">
        <v>3724</v>
      </c>
      <c r="D826" s="22" t="s">
        <v>138</v>
      </c>
      <c r="E826" s="22" t="s">
        <v>139</v>
      </c>
      <c r="F826" s="22" t="s">
        <v>107</v>
      </c>
      <c r="G826" s="23" t="n">
        <v>45838</v>
      </c>
      <c r="H826" s="24" t="n">
        <f aca="false">IF(G826="","",ROUND((Config!$C$4-G826)/365.25,2))</f>
        <v>1.25</v>
      </c>
      <c r="I826" s="25" t="str">
        <f aca="false">IF(H826="","",IF(H826&lt;=1,"Tramo 1",IF(H826&lt;=3,"Tramo 2",IF(H826&lt;=5,"Tramo 3","Tramo 4"))))</f>
        <v>Tramo 2</v>
      </c>
      <c r="J826" s="22" t="s">
        <v>2639</v>
      </c>
      <c r="K826" s="22"/>
      <c r="L826" s="22" t="s">
        <v>3725</v>
      </c>
      <c r="M826" s="26" t="s">
        <v>3726</v>
      </c>
      <c r="N826" s="22"/>
      <c r="O826" s="22" t="s">
        <v>63</v>
      </c>
      <c r="P826" s="25" t="str">
        <f aca="false">IF(OR(O826="",O826="Sin información"),"",IFERROR(INDEX(Listas!$B$2:$B$9,MATCH(O826,Listas!$A$2:$A$9,0)),""))</f>
        <v/>
      </c>
      <c r="Q826" s="25" t="str">
        <f aca="false">IF(OR(O826="",O826="Sin información"),"",IFERROR(INDEX(Listas!$C$2:$C$9,MATCH(O826,Listas!$A$2:$A$9,0)),""))</f>
        <v/>
      </c>
      <c r="R826" s="22"/>
      <c r="S826" s="22"/>
      <c r="T826" s="25" t="str">
        <f aca="false">IF(S826="","",IFERROR(INDEX(Empleadores!$B$2:$B$601,MATCH(S826,Empleadores!$A$2:$A$601,0)),"No encontrado"))</f>
        <v/>
      </c>
      <c r="U826" s="25" t="str">
        <f aca="false">IF(C826="","",IF(V826="","No",IF(Config!$C$4-V826&lt;=Config!$C$15,"Sí","No")))</f>
        <v>No</v>
      </c>
      <c r="V826" s="23"/>
      <c r="W826" s="22"/>
      <c r="X826" s="22"/>
      <c r="Y826" s="22"/>
      <c r="Z826" s="27"/>
      <c r="AA826" s="22" t="s">
        <v>3727</v>
      </c>
      <c r="AB826" s="22" t="s">
        <v>1691</v>
      </c>
    </row>
    <row r="827" customFormat="false" ht="15" hidden="false" customHeight="false" outlineLevel="0" collapsed="false">
      <c r="A827" s="22" t="n">
        <v>826</v>
      </c>
      <c r="B827" s="22" t="s">
        <v>3728</v>
      </c>
      <c r="C827" s="22" t="s">
        <v>3729</v>
      </c>
      <c r="D827" s="22" t="s">
        <v>138</v>
      </c>
      <c r="E827" s="22" t="s">
        <v>139</v>
      </c>
      <c r="F827" s="22" t="s">
        <v>107</v>
      </c>
      <c r="G827" s="23" t="n">
        <v>45838</v>
      </c>
      <c r="H827" s="24" t="n">
        <f aca="false">IF(G827="","",ROUND((Config!$C$4-G827)/365.25,2))</f>
        <v>1.25</v>
      </c>
      <c r="I827" s="25" t="str">
        <f aca="false">IF(H827="","",IF(H827&lt;=1,"Tramo 1",IF(H827&lt;=3,"Tramo 2",IF(H827&lt;=5,"Tramo 3","Tramo 4"))))</f>
        <v>Tramo 2</v>
      </c>
      <c r="J827" s="22" t="s">
        <v>166</v>
      </c>
      <c r="K827" s="22"/>
      <c r="L827" s="22" t="s">
        <v>3730</v>
      </c>
      <c r="M827" s="26" t="s">
        <v>3731</v>
      </c>
      <c r="N827" s="22"/>
      <c r="O827" s="22" t="s">
        <v>63</v>
      </c>
      <c r="P827" s="25" t="str">
        <f aca="false">IF(OR(O827="",O827="Sin información"),"",IFERROR(INDEX(Listas!$B$2:$B$9,MATCH(O827,Listas!$A$2:$A$9,0)),""))</f>
        <v/>
      </c>
      <c r="Q827" s="25" t="str">
        <f aca="false">IF(OR(O827="",O827="Sin información"),"",IFERROR(INDEX(Listas!$C$2:$C$9,MATCH(O827,Listas!$A$2:$A$9,0)),""))</f>
        <v/>
      </c>
      <c r="R827" s="22"/>
      <c r="S827" s="22"/>
      <c r="T827" s="25" t="str">
        <f aca="false">IF(S827="","",IFERROR(INDEX(Empleadores!$B$2:$B$601,MATCH(S827,Empleadores!$A$2:$A$601,0)),"No encontrado"))</f>
        <v/>
      </c>
      <c r="U827" s="25" t="str">
        <f aca="false">IF(C827="","",IF(V827="","No",IF(Config!$C$4-V827&lt;=Config!$C$15,"Sí","No")))</f>
        <v>No</v>
      </c>
      <c r="V827" s="23"/>
      <c r="W827" s="22"/>
      <c r="X827" s="22"/>
      <c r="Y827" s="22"/>
      <c r="Z827" s="27"/>
      <c r="AA827" s="22"/>
      <c r="AB827" s="22"/>
    </row>
    <row r="828" customFormat="false" ht="15" hidden="false" customHeight="false" outlineLevel="0" collapsed="false">
      <c r="A828" s="22" t="n">
        <v>827</v>
      </c>
      <c r="B828" s="22" t="s">
        <v>3732</v>
      </c>
      <c r="C828" s="22" t="s">
        <v>3733</v>
      </c>
      <c r="D828" s="22" t="s">
        <v>138</v>
      </c>
      <c r="E828" s="22" t="s">
        <v>139</v>
      </c>
      <c r="F828" s="22" t="s">
        <v>107</v>
      </c>
      <c r="G828" s="23" t="n">
        <v>45838</v>
      </c>
      <c r="H828" s="24" t="n">
        <f aca="false">IF(G828="","",ROUND((Config!$C$4-G828)/365.25,2))</f>
        <v>1.25</v>
      </c>
      <c r="I828" s="25" t="str">
        <f aca="false">IF(H828="","",IF(H828&lt;=1,"Tramo 1",IF(H828&lt;=3,"Tramo 2",IF(H828&lt;=5,"Tramo 3","Tramo 4"))))</f>
        <v>Tramo 2</v>
      </c>
      <c r="J828" s="22" t="s">
        <v>166</v>
      </c>
      <c r="K828" s="22"/>
      <c r="L828" s="22" t="s">
        <v>3734</v>
      </c>
      <c r="M828" s="26" t="s">
        <v>3735</v>
      </c>
      <c r="N828" s="22"/>
      <c r="O828" s="22" t="s">
        <v>63</v>
      </c>
      <c r="P828" s="25" t="str">
        <f aca="false">IF(OR(O828="",O828="Sin información"),"",IFERROR(INDEX(Listas!$B$2:$B$9,MATCH(O828,Listas!$A$2:$A$9,0)),""))</f>
        <v/>
      </c>
      <c r="Q828" s="25" t="str">
        <f aca="false">IF(OR(O828="",O828="Sin información"),"",IFERROR(INDEX(Listas!$C$2:$C$9,MATCH(O828,Listas!$A$2:$A$9,0)),""))</f>
        <v/>
      </c>
      <c r="R828" s="22"/>
      <c r="S828" s="22"/>
      <c r="T828" s="25" t="str">
        <f aca="false">IF(S828="","",IFERROR(INDEX(Empleadores!$B$2:$B$601,MATCH(S828,Empleadores!$A$2:$A$601,0)),"No encontrado"))</f>
        <v/>
      </c>
      <c r="U828" s="25" t="str">
        <f aca="false">IF(C828="","",IF(V828="","No",IF(Config!$C$4-V828&lt;=Config!$C$15,"Sí","No")))</f>
        <v>No</v>
      </c>
      <c r="V828" s="23"/>
      <c r="W828" s="22"/>
      <c r="X828" s="22"/>
      <c r="Y828" s="22"/>
      <c r="Z828" s="27"/>
      <c r="AA828" s="22" t="s">
        <v>3736</v>
      </c>
      <c r="AB828" s="22" t="s">
        <v>1691</v>
      </c>
    </row>
    <row r="829" customFormat="false" ht="15" hidden="false" customHeight="false" outlineLevel="0" collapsed="false">
      <c r="A829" s="22" t="n">
        <v>828</v>
      </c>
      <c r="B829" s="22" t="s">
        <v>3737</v>
      </c>
      <c r="C829" s="22" t="s">
        <v>3738</v>
      </c>
      <c r="D829" s="22" t="s">
        <v>138</v>
      </c>
      <c r="E829" s="22" t="s">
        <v>139</v>
      </c>
      <c r="F829" s="22" t="s">
        <v>107</v>
      </c>
      <c r="G829" s="23" t="n">
        <v>45838</v>
      </c>
      <c r="H829" s="24" t="n">
        <f aca="false">IF(G829="","",ROUND((Config!$C$4-G829)/365.25,2))</f>
        <v>1.25</v>
      </c>
      <c r="I829" s="25" t="str">
        <f aca="false">IF(H829="","",IF(H829&lt;=1,"Tramo 1",IF(H829&lt;=3,"Tramo 2",IF(H829&lt;=5,"Tramo 3","Tramo 4"))))</f>
        <v>Tramo 2</v>
      </c>
      <c r="J829" s="22" t="s">
        <v>2639</v>
      </c>
      <c r="K829" s="22"/>
      <c r="L829" s="22" t="s">
        <v>3739</v>
      </c>
      <c r="M829" s="26" t="s">
        <v>3740</v>
      </c>
      <c r="N829" s="22"/>
      <c r="O829" s="22" t="s">
        <v>63</v>
      </c>
      <c r="P829" s="25" t="str">
        <f aca="false">IF(OR(O829="",O829="Sin información"),"",IFERROR(INDEX(Listas!$B$2:$B$9,MATCH(O829,Listas!$A$2:$A$9,0)),""))</f>
        <v/>
      </c>
      <c r="Q829" s="25" t="str">
        <f aca="false">IF(OR(O829="",O829="Sin información"),"",IFERROR(INDEX(Listas!$C$2:$C$9,MATCH(O829,Listas!$A$2:$A$9,0)),""))</f>
        <v/>
      </c>
      <c r="R829" s="22"/>
      <c r="S829" s="22"/>
      <c r="T829" s="25" t="str">
        <f aca="false">IF(S829="","",IFERROR(INDEX(Empleadores!$B$2:$B$601,MATCH(S829,Empleadores!$A$2:$A$601,0)),"No encontrado"))</f>
        <v/>
      </c>
      <c r="U829" s="25" t="str">
        <f aca="false">IF(C829="","",IF(V829="","No",IF(Config!$C$4-V829&lt;=Config!$C$15,"Sí","No")))</f>
        <v>Sí</v>
      </c>
      <c r="V829" s="23" t="n">
        <v>45967</v>
      </c>
      <c r="W829" s="22"/>
      <c r="X829" s="22"/>
      <c r="Y829" s="22" t="s">
        <v>181</v>
      </c>
      <c r="Z829" s="27"/>
      <c r="AA829" s="22" t="s">
        <v>3741</v>
      </c>
      <c r="AB829" s="22" t="s">
        <v>1553</v>
      </c>
    </row>
    <row r="830" customFormat="false" ht="15" hidden="false" customHeight="false" outlineLevel="0" collapsed="false">
      <c r="A830" s="22" t="n">
        <v>829</v>
      </c>
      <c r="B830" s="22" t="s">
        <v>3742</v>
      </c>
      <c r="C830" s="22" t="s">
        <v>3743</v>
      </c>
      <c r="D830" s="22" t="s">
        <v>149</v>
      </c>
      <c r="E830" s="22" t="s">
        <v>139</v>
      </c>
      <c r="F830" s="22" t="s">
        <v>107</v>
      </c>
      <c r="G830" s="23" t="n">
        <v>45838</v>
      </c>
      <c r="H830" s="24" t="n">
        <f aca="false">IF(G830="","",ROUND((Config!$C$4-G830)/365.25,2))</f>
        <v>1.25</v>
      </c>
      <c r="I830" s="25" t="str">
        <f aca="false">IF(H830="","",IF(H830&lt;=1,"Tramo 1",IF(H830&lt;=3,"Tramo 2",IF(H830&lt;=5,"Tramo 3","Tramo 4"))))</f>
        <v>Tramo 2</v>
      </c>
      <c r="J830" s="22" t="s">
        <v>166</v>
      </c>
      <c r="K830" s="22"/>
      <c r="L830" s="22" t="s">
        <v>3744</v>
      </c>
      <c r="M830" s="26" t="s">
        <v>3745</v>
      </c>
      <c r="N830" s="22"/>
      <c r="O830" s="22" t="s">
        <v>90</v>
      </c>
      <c r="P830" s="25" t="str">
        <f aca="false">IF(OR(O830="",O830="Sin información"),"",IFERROR(INDEX(Listas!$B$2:$B$9,MATCH(O830,Listas!$A$2:$A$9,0)),""))</f>
        <v>No</v>
      </c>
      <c r="Q830" s="25" t="str">
        <f aca="false">IF(OR(O830="",O830="Sin información"),"",IFERROR(INDEX(Listas!$C$2:$C$9,MATCH(O830,Listas!$A$2:$A$9,0)),""))</f>
        <v>No</v>
      </c>
      <c r="R830" s="22"/>
      <c r="S830" s="22"/>
      <c r="T830" s="25" t="str">
        <f aca="false">IF(S830="","",IFERROR(INDEX(Empleadores!$B$2:$B$601,MATCH(S830,Empleadores!$A$2:$A$601,0)),"No encontrado"))</f>
        <v/>
      </c>
      <c r="U830" s="25" t="str">
        <f aca="false">IF(C830="","",IF(V830="","No",IF(Config!$C$4-V830&lt;=Config!$C$15,"Sí","No")))</f>
        <v>Sí</v>
      </c>
      <c r="V830" s="23" t="n">
        <v>46000</v>
      </c>
      <c r="W830" s="22" t="s">
        <v>181</v>
      </c>
      <c r="X830" s="22" t="n">
        <v>4</v>
      </c>
      <c r="Y830" s="22"/>
      <c r="Z830" s="27"/>
      <c r="AA830" s="22" t="s">
        <v>3491</v>
      </c>
      <c r="AB830" s="22" t="s">
        <v>3497</v>
      </c>
    </row>
    <row r="831" customFormat="false" ht="15" hidden="false" customHeight="false" outlineLevel="0" collapsed="false">
      <c r="A831" s="22" t="n">
        <v>830</v>
      </c>
      <c r="B831" s="22" t="s">
        <v>3746</v>
      </c>
      <c r="C831" s="22" t="s">
        <v>3747</v>
      </c>
      <c r="D831" s="22"/>
      <c r="E831" s="22" t="s">
        <v>139</v>
      </c>
      <c r="F831" s="22" t="s">
        <v>108</v>
      </c>
      <c r="G831" s="23" t="n">
        <v>46020</v>
      </c>
      <c r="H831" s="24" t="n">
        <f aca="false">IF(G831="","",ROUND((Config!$C$4-G831)/365.25,2))</f>
        <v>0.76</v>
      </c>
      <c r="I831" s="25" t="str">
        <f aca="false">IF(H831="","",IF(H831&lt;=1,"Tramo 1",IF(H831&lt;=3,"Tramo 2",IF(H831&lt;=5,"Tramo 3","Tramo 4"))))</f>
        <v>Tramo 1</v>
      </c>
      <c r="J831" s="22" t="s">
        <v>2639</v>
      </c>
      <c r="K831" s="22"/>
      <c r="L831" s="22"/>
      <c r="M831" s="26"/>
      <c r="N831" s="22"/>
      <c r="O831" s="22" t="s">
        <v>63</v>
      </c>
      <c r="P831" s="25" t="str">
        <f aca="false">IF(OR(O831="",O831="Sin información"),"",IFERROR(INDEX(Listas!$B$2:$B$9,MATCH(O831,Listas!$A$2:$A$9,0)),""))</f>
        <v/>
      </c>
      <c r="Q831" s="25" t="str">
        <f aca="false">IF(OR(O831="",O831="Sin información"),"",IFERROR(INDEX(Listas!$C$2:$C$9,MATCH(O831,Listas!$A$2:$A$9,0)),""))</f>
        <v/>
      </c>
      <c r="R831" s="22"/>
      <c r="S831" s="22"/>
      <c r="T831" s="25" t="str">
        <f aca="false">IF(S831="","",IFERROR(INDEX(Empleadores!$B$2:$B$601,MATCH(S831,Empleadores!$A$2:$A$601,0)),"No encontrado"))</f>
        <v/>
      </c>
      <c r="U831" s="25" t="str">
        <f aca="false">IF(C831="","",IF(V831="","No",IF(Config!$C$4-V831&lt;=Config!$C$15,"Sí","No")))</f>
        <v>No</v>
      </c>
      <c r="V831" s="23"/>
      <c r="W831" s="22"/>
      <c r="X831" s="22"/>
      <c r="Y831" s="22"/>
      <c r="Z831" s="27"/>
      <c r="AA831" s="22"/>
      <c r="AB831" s="22"/>
    </row>
    <row r="832" customFormat="false" ht="15" hidden="false" customHeight="false" outlineLevel="0" collapsed="false">
      <c r="A832" s="22" t="n">
        <v>831</v>
      </c>
      <c r="B832" s="22" t="s">
        <v>3748</v>
      </c>
      <c r="C832" s="22" t="s">
        <v>3749</v>
      </c>
      <c r="D832" s="22"/>
      <c r="E832" s="22" t="s">
        <v>139</v>
      </c>
      <c r="F832" s="22" t="s">
        <v>108</v>
      </c>
      <c r="G832" s="23" t="n">
        <v>46020</v>
      </c>
      <c r="H832" s="24" t="n">
        <f aca="false">IF(G832="","",ROUND((Config!$C$4-G832)/365.25,2))</f>
        <v>0.76</v>
      </c>
      <c r="I832" s="25" t="str">
        <f aca="false">IF(H832="","",IF(H832&lt;=1,"Tramo 1",IF(H832&lt;=3,"Tramo 2",IF(H832&lt;=5,"Tramo 3","Tramo 4"))))</f>
        <v>Tramo 1</v>
      </c>
      <c r="J832" s="22" t="s">
        <v>2639</v>
      </c>
      <c r="K832" s="22"/>
      <c r="L832" s="22"/>
      <c r="M832" s="26"/>
      <c r="N832" s="22"/>
      <c r="O832" s="22" t="s">
        <v>63</v>
      </c>
      <c r="P832" s="25" t="str">
        <f aca="false">IF(OR(O832="",O832="Sin información"),"",IFERROR(INDEX(Listas!$B$2:$B$9,MATCH(O832,Listas!$A$2:$A$9,0)),""))</f>
        <v/>
      </c>
      <c r="Q832" s="25" t="str">
        <f aca="false">IF(OR(O832="",O832="Sin información"),"",IFERROR(INDEX(Listas!$C$2:$C$9,MATCH(O832,Listas!$A$2:$A$9,0)),""))</f>
        <v/>
      </c>
      <c r="R832" s="22"/>
      <c r="S832" s="22"/>
      <c r="T832" s="25" t="str">
        <f aca="false">IF(S832="","",IFERROR(INDEX(Empleadores!$B$2:$B$601,MATCH(S832,Empleadores!$A$2:$A$601,0)),"No encontrado"))</f>
        <v/>
      </c>
      <c r="U832" s="25" t="str">
        <f aca="false">IF(C832="","",IF(V832="","No",IF(Config!$C$4-V832&lt;=Config!$C$15,"Sí","No")))</f>
        <v>No</v>
      </c>
      <c r="V832" s="23"/>
      <c r="W832" s="22"/>
      <c r="X832" s="22"/>
      <c r="Y832" s="22"/>
      <c r="Z832" s="27"/>
      <c r="AA832" s="22"/>
      <c r="AB832" s="22"/>
    </row>
    <row r="833" customFormat="false" ht="15" hidden="false" customHeight="false" outlineLevel="0" collapsed="false">
      <c r="A833" s="22" t="n">
        <v>832</v>
      </c>
      <c r="B833" s="22" t="s">
        <v>3750</v>
      </c>
      <c r="C833" s="22" t="s">
        <v>3751</v>
      </c>
      <c r="D833" s="22"/>
      <c r="E833" s="22" t="s">
        <v>139</v>
      </c>
      <c r="F833" s="22" t="s">
        <v>108</v>
      </c>
      <c r="G833" s="23" t="n">
        <v>46020</v>
      </c>
      <c r="H833" s="24" t="n">
        <f aca="false">IF(G833="","",ROUND((Config!$C$4-G833)/365.25,2))</f>
        <v>0.76</v>
      </c>
      <c r="I833" s="25" t="str">
        <f aca="false">IF(H833="","",IF(H833&lt;=1,"Tramo 1",IF(H833&lt;=3,"Tramo 2",IF(H833&lt;=5,"Tramo 3","Tramo 4"))))</f>
        <v>Tramo 1</v>
      </c>
      <c r="J833" s="22" t="s">
        <v>2639</v>
      </c>
      <c r="K833" s="22"/>
      <c r="L833" s="22"/>
      <c r="M833" s="26"/>
      <c r="N833" s="22"/>
      <c r="O833" s="22" t="s">
        <v>63</v>
      </c>
      <c r="P833" s="25" t="str">
        <f aca="false">IF(OR(O833="",O833="Sin información"),"",IFERROR(INDEX(Listas!$B$2:$B$9,MATCH(O833,Listas!$A$2:$A$9,0)),""))</f>
        <v/>
      </c>
      <c r="Q833" s="25" t="str">
        <f aca="false">IF(OR(O833="",O833="Sin información"),"",IFERROR(INDEX(Listas!$C$2:$C$9,MATCH(O833,Listas!$A$2:$A$9,0)),""))</f>
        <v/>
      </c>
      <c r="R833" s="22"/>
      <c r="S833" s="22"/>
      <c r="T833" s="25" t="str">
        <f aca="false">IF(S833="","",IFERROR(INDEX(Empleadores!$B$2:$B$601,MATCH(S833,Empleadores!$A$2:$A$601,0)),"No encontrado"))</f>
        <v/>
      </c>
      <c r="U833" s="25" t="str">
        <f aca="false">IF(C833="","",IF(V833="","No",IF(Config!$C$4-V833&lt;=Config!$C$15,"Sí","No")))</f>
        <v>No</v>
      </c>
      <c r="V833" s="23"/>
      <c r="W833" s="22"/>
      <c r="X833" s="22"/>
      <c r="Y833" s="22"/>
      <c r="Z833" s="27"/>
      <c r="AA833" s="22"/>
      <c r="AB833" s="22"/>
    </row>
    <row r="834" customFormat="false" ht="15" hidden="false" customHeight="false" outlineLevel="0" collapsed="false">
      <c r="A834" s="22" t="n">
        <v>833</v>
      </c>
      <c r="B834" s="22" t="s">
        <v>3752</v>
      </c>
      <c r="C834" s="22" t="s">
        <v>3753</v>
      </c>
      <c r="D834" s="22"/>
      <c r="E834" s="22" t="s">
        <v>139</v>
      </c>
      <c r="F834" s="22" t="s">
        <v>108</v>
      </c>
      <c r="G834" s="23" t="n">
        <v>46020</v>
      </c>
      <c r="H834" s="24" t="n">
        <f aca="false">IF(G834="","",ROUND((Config!$C$4-G834)/365.25,2))</f>
        <v>0.76</v>
      </c>
      <c r="I834" s="25" t="str">
        <f aca="false">IF(H834="","",IF(H834&lt;=1,"Tramo 1",IF(H834&lt;=3,"Tramo 2",IF(H834&lt;=5,"Tramo 3","Tramo 4"))))</f>
        <v>Tramo 1</v>
      </c>
      <c r="J834" s="22" t="s">
        <v>2639</v>
      </c>
      <c r="K834" s="22"/>
      <c r="L834" s="22"/>
      <c r="M834" s="26"/>
      <c r="N834" s="22"/>
      <c r="O834" s="22" t="s">
        <v>63</v>
      </c>
      <c r="P834" s="25" t="str">
        <f aca="false">IF(OR(O834="",O834="Sin información"),"",IFERROR(INDEX(Listas!$B$2:$B$9,MATCH(O834,Listas!$A$2:$A$9,0)),""))</f>
        <v/>
      </c>
      <c r="Q834" s="25" t="str">
        <f aca="false">IF(OR(O834="",O834="Sin información"),"",IFERROR(INDEX(Listas!$C$2:$C$9,MATCH(O834,Listas!$A$2:$A$9,0)),""))</f>
        <v/>
      </c>
      <c r="R834" s="22"/>
      <c r="S834" s="22"/>
      <c r="T834" s="25" t="str">
        <f aca="false">IF(S834="","",IFERROR(INDEX(Empleadores!$B$2:$B$601,MATCH(S834,Empleadores!$A$2:$A$601,0)),"No encontrado"))</f>
        <v/>
      </c>
      <c r="U834" s="25" t="str">
        <f aca="false">IF(C834="","",IF(V834="","No",IF(Config!$C$4-V834&lt;=Config!$C$15,"Sí","No")))</f>
        <v>No</v>
      </c>
      <c r="V834" s="23"/>
      <c r="W834" s="22"/>
      <c r="X834" s="22"/>
      <c r="Y834" s="22"/>
      <c r="Z834" s="27"/>
      <c r="AA834" s="22" t="s">
        <v>3754</v>
      </c>
      <c r="AB834" s="22" t="s">
        <v>1691</v>
      </c>
    </row>
    <row r="835" customFormat="false" ht="15" hidden="false" customHeight="false" outlineLevel="0" collapsed="false">
      <c r="A835" s="22" t="n">
        <v>834</v>
      </c>
      <c r="B835" s="22" t="s">
        <v>3755</v>
      </c>
      <c r="C835" s="22" t="s">
        <v>3756</v>
      </c>
      <c r="D835" s="22"/>
      <c r="E835" s="22" t="s">
        <v>139</v>
      </c>
      <c r="F835" s="22" t="s">
        <v>108</v>
      </c>
      <c r="G835" s="23" t="n">
        <v>46020</v>
      </c>
      <c r="H835" s="24" t="n">
        <f aca="false">IF(G835="","",ROUND((Config!$C$4-G835)/365.25,2))</f>
        <v>0.76</v>
      </c>
      <c r="I835" s="25" t="str">
        <f aca="false">IF(H835="","",IF(H835&lt;=1,"Tramo 1",IF(H835&lt;=3,"Tramo 2",IF(H835&lt;=5,"Tramo 3","Tramo 4"))))</f>
        <v>Tramo 1</v>
      </c>
      <c r="J835" s="22" t="s">
        <v>2639</v>
      </c>
      <c r="K835" s="22"/>
      <c r="L835" s="22"/>
      <c r="M835" s="26"/>
      <c r="N835" s="22"/>
      <c r="O835" s="22" t="s">
        <v>63</v>
      </c>
      <c r="P835" s="25" t="str">
        <f aca="false">IF(OR(O835="",O835="Sin información"),"",IFERROR(INDEX(Listas!$B$2:$B$9,MATCH(O835,Listas!$A$2:$A$9,0)),""))</f>
        <v/>
      </c>
      <c r="Q835" s="25" t="str">
        <f aca="false">IF(OR(O835="",O835="Sin información"),"",IFERROR(INDEX(Listas!$C$2:$C$9,MATCH(O835,Listas!$A$2:$A$9,0)),""))</f>
        <v/>
      </c>
      <c r="R835" s="22"/>
      <c r="S835" s="22"/>
      <c r="T835" s="25" t="str">
        <f aca="false">IF(S835="","",IFERROR(INDEX(Empleadores!$B$2:$B$601,MATCH(S835,Empleadores!$A$2:$A$601,0)),"No encontrado"))</f>
        <v/>
      </c>
      <c r="U835" s="25" t="str">
        <f aca="false">IF(C835="","",IF(V835="","No",IF(Config!$C$4-V835&lt;=Config!$C$15,"Sí","No")))</f>
        <v>No</v>
      </c>
      <c r="V835" s="23"/>
      <c r="W835" s="22"/>
      <c r="X835" s="22"/>
      <c r="Y835" s="22"/>
      <c r="Z835" s="27"/>
      <c r="AA835" s="22" t="s">
        <v>3757</v>
      </c>
      <c r="AB835" s="22" t="s">
        <v>1691</v>
      </c>
    </row>
    <row r="836" customFormat="false" ht="15" hidden="false" customHeight="false" outlineLevel="0" collapsed="false">
      <c r="A836" s="22" t="n">
        <v>835</v>
      </c>
      <c r="B836" s="22" t="s">
        <v>3758</v>
      </c>
      <c r="C836" s="22" t="s">
        <v>3759</v>
      </c>
      <c r="D836" s="22"/>
      <c r="E836" s="22" t="s">
        <v>139</v>
      </c>
      <c r="F836" s="22" t="s">
        <v>108</v>
      </c>
      <c r="G836" s="23" t="n">
        <v>46020</v>
      </c>
      <c r="H836" s="24" t="n">
        <f aca="false">IF(G836="","",ROUND((Config!$C$4-G836)/365.25,2))</f>
        <v>0.76</v>
      </c>
      <c r="I836" s="25" t="str">
        <f aca="false">IF(H836="","",IF(H836&lt;=1,"Tramo 1",IF(H836&lt;=3,"Tramo 2",IF(H836&lt;=5,"Tramo 3","Tramo 4"))))</f>
        <v>Tramo 1</v>
      </c>
      <c r="J836" s="22" t="s">
        <v>2639</v>
      </c>
      <c r="K836" s="22"/>
      <c r="L836" s="22"/>
      <c r="M836" s="26"/>
      <c r="N836" s="22"/>
      <c r="O836" s="22" t="s">
        <v>63</v>
      </c>
      <c r="P836" s="25" t="str">
        <f aca="false">IF(OR(O836="",O836="Sin información"),"",IFERROR(INDEX(Listas!$B$2:$B$9,MATCH(O836,Listas!$A$2:$A$9,0)),""))</f>
        <v/>
      </c>
      <c r="Q836" s="25" t="str">
        <f aca="false">IF(OR(O836="",O836="Sin información"),"",IFERROR(INDEX(Listas!$C$2:$C$9,MATCH(O836,Listas!$A$2:$A$9,0)),""))</f>
        <v/>
      </c>
      <c r="R836" s="22"/>
      <c r="S836" s="22"/>
      <c r="T836" s="25" t="str">
        <f aca="false">IF(S836="","",IFERROR(INDEX(Empleadores!$B$2:$B$601,MATCH(S836,Empleadores!$A$2:$A$601,0)),"No encontrado"))</f>
        <v/>
      </c>
      <c r="U836" s="25" t="str">
        <f aca="false">IF(C836="","",IF(V836="","No",IF(Config!$C$4-V836&lt;=Config!$C$15,"Sí","No")))</f>
        <v>No</v>
      </c>
      <c r="V836" s="23"/>
      <c r="W836" s="22"/>
      <c r="X836" s="22"/>
      <c r="Y836" s="22"/>
      <c r="Z836" s="27"/>
      <c r="AA836" s="22" t="s">
        <v>3760</v>
      </c>
      <c r="AB836" s="22" t="s">
        <v>1691</v>
      </c>
    </row>
    <row r="837" customFormat="false" ht="15" hidden="false" customHeight="false" outlineLevel="0" collapsed="false">
      <c r="A837" s="22" t="n">
        <v>836</v>
      </c>
      <c r="B837" s="22" t="s">
        <v>3761</v>
      </c>
      <c r="C837" s="22" t="s">
        <v>3762</v>
      </c>
      <c r="D837" s="22"/>
      <c r="E837" s="22" t="s">
        <v>139</v>
      </c>
      <c r="F837" s="22" t="s">
        <v>108</v>
      </c>
      <c r="G837" s="23" t="n">
        <v>46020</v>
      </c>
      <c r="H837" s="24" t="n">
        <f aca="false">IF(G837="","",ROUND((Config!$C$4-G837)/365.25,2))</f>
        <v>0.76</v>
      </c>
      <c r="I837" s="25" t="str">
        <f aca="false">IF(H837="","",IF(H837&lt;=1,"Tramo 1",IF(H837&lt;=3,"Tramo 2",IF(H837&lt;=5,"Tramo 3","Tramo 4"))))</f>
        <v>Tramo 1</v>
      </c>
      <c r="J837" s="22" t="s">
        <v>2639</v>
      </c>
      <c r="K837" s="22"/>
      <c r="L837" s="22"/>
      <c r="M837" s="26"/>
      <c r="N837" s="22"/>
      <c r="O837" s="22" t="s">
        <v>63</v>
      </c>
      <c r="P837" s="25" t="str">
        <f aca="false">IF(OR(O837="",O837="Sin información"),"",IFERROR(INDEX(Listas!$B$2:$B$9,MATCH(O837,Listas!$A$2:$A$9,0)),""))</f>
        <v/>
      </c>
      <c r="Q837" s="25" t="str">
        <f aca="false">IF(OR(O837="",O837="Sin información"),"",IFERROR(INDEX(Listas!$C$2:$C$9,MATCH(O837,Listas!$A$2:$A$9,0)),""))</f>
        <v/>
      </c>
      <c r="R837" s="22"/>
      <c r="S837" s="22"/>
      <c r="T837" s="25" t="str">
        <f aca="false">IF(S837="","",IFERROR(INDEX(Empleadores!$B$2:$B$601,MATCH(S837,Empleadores!$A$2:$A$601,0)),"No encontrado"))</f>
        <v/>
      </c>
      <c r="U837" s="25" t="str">
        <f aca="false">IF(C837="","",IF(V837="","No",IF(Config!$C$4-V837&lt;=Config!$C$15,"Sí","No")))</f>
        <v>No</v>
      </c>
      <c r="V837" s="23"/>
      <c r="W837" s="22"/>
      <c r="X837" s="22"/>
      <c r="Y837" s="22"/>
      <c r="Z837" s="27"/>
      <c r="AA837" s="22" t="s">
        <v>3763</v>
      </c>
      <c r="AB837" s="22" t="s">
        <v>1691</v>
      </c>
    </row>
    <row r="838" customFormat="false" ht="15" hidden="false" customHeight="false" outlineLevel="0" collapsed="false">
      <c r="A838" s="22" t="n">
        <v>837</v>
      </c>
      <c r="B838" s="22" t="s">
        <v>3764</v>
      </c>
      <c r="C838" s="22" t="s">
        <v>3765</v>
      </c>
      <c r="D838" s="22"/>
      <c r="E838" s="22" t="s">
        <v>139</v>
      </c>
      <c r="F838" s="22" t="s">
        <v>108</v>
      </c>
      <c r="G838" s="23" t="n">
        <v>46020</v>
      </c>
      <c r="H838" s="24" t="n">
        <f aca="false">IF(G838="","",ROUND((Config!$C$4-G838)/365.25,2))</f>
        <v>0.76</v>
      </c>
      <c r="I838" s="25" t="str">
        <f aca="false">IF(H838="","",IF(H838&lt;=1,"Tramo 1",IF(H838&lt;=3,"Tramo 2",IF(H838&lt;=5,"Tramo 3","Tramo 4"))))</f>
        <v>Tramo 1</v>
      </c>
      <c r="J838" s="22" t="s">
        <v>2639</v>
      </c>
      <c r="K838" s="22"/>
      <c r="L838" s="22"/>
      <c r="M838" s="26"/>
      <c r="N838" s="22"/>
      <c r="O838" s="22" t="s">
        <v>63</v>
      </c>
      <c r="P838" s="25" t="str">
        <f aca="false">IF(OR(O838="",O838="Sin información"),"",IFERROR(INDEX(Listas!$B$2:$B$9,MATCH(O838,Listas!$A$2:$A$9,0)),""))</f>
        <v/>
      </c>
      <c r="Q838" s="25" t="str">
        <f aca="false">IF(OR(O838="",O838="Sin información"),"",IFERROR(INDEX(Listas!$C$2:$C$9,MATCH(O838,Listas!$A$2:$A$9,0)),""))</f>
        <v/>
      </c>
      <c r="R838" s="22"/>
      <c r="S838" s="22"/>
      <c r="T838" s="25" t="str">
        <f aca="false">IF(S838="","",IFERROR(INDEX(Empleadores!$B$2:$B$601,MATCH(S838,Empleadores!$A$2:$A$601,0)),"No encontrado"))</f>
        <v/>
      </c>
      <c r="U838" s="25" t="str">
        <f aca="false">IF(C838="","",IF(V838="","No",IF(Config!$C$4-V838&lt;=Config!$C$15,"Sí","No")))</f>
        <v>No</v>
      </c>
      <c r="V838" s="23"/>
      <c r="W838" s="22"/>
      <c r="X838" s="22"/>
      <c r="Y838" s="22"/>
      <c r="Z838" s="27"/>
      <c r="AA838" s="22"/>
      <c r="AB838" s="22"/>
    </row>
    <row r="839" customFormat="false" ht="15" hidden="false" customHeight="false" outlineLevel="0" collapsed="false">
      <c r="A839" s="22" t="n">
        <v>838</v>
      </c>
      <c r="B839" s="22" t="s">
        <v>3766</v>
      </c>
      <c r="C839" s="22" t="s">
        <v>3767</v>
      </c>
      <c r="D839" s="22"/>
      <c r="E839" s="22" t="s">
        <v>139</v>
      </c>
      <c r="F839" s="22" t="s">
        <v>108</v>
      </c>
      <c r="G839" s="23" t="n">
        <v>46020</v>
      </c>
      <c r="H839" s="24" t="n">
        <f aca="false">IF(G839="","",ROUND((Config!$C$4-G839)/365.25,2))</f>
        <v>0.76</v>
      </c>
      <c r="I839" s="25" t="str">
        <f aca="false">IF(H839="","",IF(H839&lt;=1,"Tramo 1",IF(H839&lt;=3,"Tramo 2",IF(H839&lt;=5,"Tramo 3","Tramo 4"))))</f>
        <v>Tramo 1</v>
      </c>
      <c r="J839" s="22" t="s">
        <v>2639</v>
      </c>
      <c r="K839" s="22"/>
      <c r="L839" s="22"/>
      <c r="M839" s="26"/>
      <c r="N839" s="22"/>
      <c r="O839" s="22" t="s">
        <v>63</v>
      </c>
      <c r="P839" s="25" t="str">
        <f aca="false">IF(OR(O839="",O839="Sin información"),"",IFERROR(INDEX(Listas!$B$2:$B$9,MATCH(O839,Listas!$A$2:$A$9,0)),""))</f>
        <v/>
      </c>
      <c r="Q839" s="25" t="str">
        <f aca="false">IF(OR(O839="",O839="Sin información"),"",IFERROR(INDEX(Listas!$C$2:$C$9,MATCH(O839,Listas!$A$2:$A$9,0)),""))</f>
        <v/>
      </c>
      <c r="R839" s="22"/>
      <c r="S839" s="22"/>
      <c r="T839" s="25" t="str">
        <f aca="false">IF(S839="","",IFERROR(INDEX(Empleadores!$B$2:$B$601,MATCH(S839,Empleadores!$A$2:$A$601,0)),"No encontrado"))</f>
        <v/>
      </c>
      <c r="U839" s="25" t="str">
        <f aca="false">IF(C839="","",IF(V839="","No",IF(Config!$C$4-V839&lt;=Config!$C$15,"Sí","No")))</f>
        <v>No</v>
      </c>
      <c r="V839" s="23"/>
      <c r="W839" s="22"/>
      <c r="X839" s="22"/>
      <c r="Y839" s="22"/>
      <c r="Z839" s="27"/>
      <c r="AA839" s="22" t="s">
        <v>3768</v>
      </c>
      <c r="AB839" s="22" t="s">
        <v>1691</v>
      </c>
    </row>
    <row r="840" customFormat="false" ht="15" hidden="false" customHeight="false" outlineLevel="0" collapsed="false">
      <c r="A840" s="22" t="n">
        <v>839</v>
      </c>
      <c r="B840" s="22" t="s">
        <v>3769</v>
      </c>
      <c r="C840" s="22" t="s">
        <v>3770</v>
      </c>
      <c r="D840" s="22"/>
      <c r="E840" s="22" t="s">
        <v>139</v>
      </c>
      <c r="F840" s="22" t="s">
        <v>108</v>
      </c>
      <c r="G840" s="23" t="n">
        <v>46020</v>
      </c>
      <c r="H840" s="24" t="n">
        <f aca="false">IF(G840="","",ROUND((Config!$C$4-G840)/365.25,2))</f>
        <v>0.76</v>
      </c>
      <c r="I840" s="25" t="str">
        <f aca="false">IF(H840="","",IF(H840&lt;=1,"Tramo 1",IF(H840&lt;=3,"Tramo 2",IF(H840&lt;=5,"Tramo 3","Tramo 4"))))</f>
        <v>Tramo 1</v>
      </c>
      <c r="J840" s="22" t="s">
        <v>2639</v>
      </c>
      <c r="K840" s="22"/>
      <c r="L840" s="22"/>
      <c r="M840" s="26"/>
      <c r="N840" s="22"/>
      <c r="O840" s="22" t="s">
        <v>63</v>
      </c>
      <c r="P840" s="25" t="str">
        <f aca="false">IF(OR(O840="",O840="Sin información"),"",IFERROR(INDEX(Listas!$B$2:$B$9,MATCH(O840,Listas!$A$2:$A$9,0)),""))</f>
        <v/>
      </c>
      <c r="Q840" s="25" t="str">
        <f aca="false">IF(OR(O840="",O840="Sin información"),"",IFERROR(INDEX(Listas!$C$2:$C$9,MATCH(O840,Listas!$A$2:$A$9,0)),""))</f>
        <v/>
      </c>
      <c r="R840" s="22"/>
      <c r="S840" s="22"/>
      <c r="T840" s="25" t="str">
        <f aca="false">IF(S840="","",IFERROR(INDEX(Empleadores!$B$2:$B$601,MATCH(S840,Empleadores!$A$2:$A$601,0)),"No encontrado"))</f>
        <v/>
      </c>
      <c r="U840" s="25" t="str">
        <f aca="false">IF(C840="","",IF(V840="","No",IF(Config!$C$4-V840&lt;=Config!$C$15,"Sí","No")))</f>
        <v>No</v>
      </c>
      <c r="V840" s="23"/>
      <c r="W840" s="22"/>
      <c r="X840" s="22"/>
      <c r="Y840" s="22"/>
      <c r="Z840" s="27"/>
      <c r="AA840" s="22"/>
      <c r="AB840" s="22"/>
    </row>
    <row r="841" customFormat="false" ht="15" hidden="false" customHeight="false" outlineLevel="0" collapsed="false">
      <c r="A841" s="22" t="n">
        <v>840</v>
      </c>
      <c r="B841" s="22" t="s">
        <v>3771</v>
      </c>
      <c r="C841" s="22" t="s">
        <v>3772</v>
      </c>
      <c r="D841" s="22"/>
      <c r="E841" s="22" t="s">
        <v>139</v>
      </c>
      <c r="F841" s="22" t="s">
        <v>108</v>
      </c>
      <c r="G841" s="23" t="n">
        <v>46020</v>
      </c>
      <c r="H841" s="24" t="n">
        <f aca="false">IF(G841="","",ROUND((Config!$C$4-G841)/365.25,2))</f>
        <v>0.76</v>
      </c>
      <c r="I841" s="25" t="str">
        <f aca="false">IF(H841="","",IF(H841&lt;=1,"Tramo 1",IF(H841&lt;=3,"Tramo 2",IF(H841&lt;=5,"Tramo 3","Tramo 4"))))</f>
        <v>Tramo 1</v>
      </c>
      <c r="J841" s="22" t="s">
        <v>2639</v>
      </c>
      <c r="K841" s="22"/>
      <c r="L841" s="22"/>
      <c r="M841" s="26"/>
      <c r="N841" s="22"/>
      <c r="O841" s="22" t="s">
        <v>63</v>
      </c>
      <c r="P841" s="25" t="str">
        <f aca="false">IF(OR(O841="",O841="Sin información"),"",IFERROR(INDEX(Listas!$B$2:$B$9,MATCH(O841,Listas!$A$2:$A$9,0)),""))</f>
        <v/>
      </c>
      <c r="Q841" s="25" t="str">
        <f aca="false">IF(OR(O841="",O841="Sin información"),"",IFERROR(INDEX(Listas!$C$2:$C$9,MATCH(O841,Listas!$A$2:$A$9,0)),""))</f>
        <v/>
      </c>
      <c r="R841" s="22"/>
      <c r="S841" s="22"/>
      <c r="T841" s="25" t="str">
        <f aca="false">IF(S841="","",IFERROR(INDEX(Empleadores!$B$2:$B$601,MATCH(S841,Empleadores!$A$2:$A$601,0)),"No encontrado"))</f>
        <v/>
      </c>
      <c r="U841" s="25" t="str">
        <f aca="false">IF(C841="","",IF(V841="","No",IF(Config!$C$4-V841&lt;=Config!$C$15,"Sí","No")))</f>
        <v>No</v>
      </c>
      <c r="V841" s="23"/>
      <c r="W841" s="22"/>
      <c r="X841" s="22"/>
      <c r="Y841" s="22"/>
      <c r="Z841" s="27"/>
      <c r="AA841" s="22"/>
      <c r="AB841" s="22"/>
    </row>
    <row r="842" customFormat="false" ht="15" hidden="false" customHeight="false" outlineLevel="0" collapsed="false">
      <c r="A842" s="22" t="n">
        <v>841</v>
      </c>
      <c r="B842" s="22" t="s">
        <v>3773</v>
      </c>
      <c r="C842" s="22" t="s">
        <v>3774</v>
      </c>
      <c r="D842" s="22"/>
      <c r="E842" s="22" t="s">
        <v>139</v>
      </c>
      <c r="F842" s="22" t="s">
        <v>108</v>
      </c>
      <c r="G842" s="23" t="n">
        <v>46020</v>
      </c>
      <c r="H842" s="24" t="n">
        <f aca="false">IF(G842="","",ROUND((Config!$C$4-G842)/365.25,2))</f>
        <v>0.76</v>
      </c>
      <c r="I842" s="25" t="str">
        <f aca="false">IF(H842="","",IF(H842&lt;=1,"Tramo 1",IF(H842&lt;=3,"Tramo 2",IF(H842&lt;=5,"Tramo 3","Tramo 4"))))</f>
        <v>Tramo 1</v>
      </c>
      <c r="J842" s="22" t="s">
        <v>2639</v>
      </c>
      <c r="K842" s="22"/>
      <c r="L842" s="22"/>
      <c r="M842" s="26"/>
      <c r="N842" s="22"/>
      <c r="O842" s="22" t="s">
        <v>63</v>
      </c>
      <c r="P842" s="25" t="str">
        <f aca="false">IF(OR(O842="",O842="Sin información"),"",IFERROR(INDEX(Listas!$B$2:$B$9,MATCH(O842,Listas!$A$2:$A$9,0)),""))</f>
        <v/>
      </c>
      <c r="Q842" s="25" t="str">
        <f aca="false">IF(OR(O842="",O842="Sin información"),"",IFERROR(INDEX(Listas!$C$2:$C$9,MATCH(O842,Listas!$A$2:$A$9,0)),""))</f>
        <v/>
      </c>
      <c r="R842" s="22"/>
      <c r="S842" s="22"/>
      <c r="T842" s="25" t="str">
        <f aca="false">IF(S842="","",IFERROR(INDEX(Empleadores!$B$2:$B$601,MATCH(S842,Empleadores!$A$2:$A$601,0)),"No encontrado"))</f>
        <v/>
      </c>
      <c r="U842" s="25" t="str">
        <f aca="false">IF(C842="","",IF(V842="","No",IF(Config!$C$4-V842&lt;=Config!$C$15,"Sí","No")))</f>
        <v>No</v>
      </c>
      <c r="V842" s="23"/>
      <c r="W842" s="22"/>
      <c r="X842" s="22"/>
      <c r="Y842" s="22"/>
      <c r="Z842" s="27"/>
      <c r="AA842" s="22"/>
      <c r="AB842" s="22"/>
    </row>
    <row r="843" customFormat="false" ht="15" hidden="false" customHeight="false" outlineLevel="0" collapsed="false">
      <c r="A843" s="22" t="n">
        <v>842</v>
      </c>
      <c r="B843" s="22" t="s">
        <v>3775</v>
      </c>
      <c r="C843" s="22" t="s">
        <v>3776</v>
      </c>
      <c r="D843" s="22"/>
      <c r="E843" s="22" t="s">
        <v>139</v>
      </c>
      <c r="F843" s="22" t="s">
        <v>108</v>
      </c>
      <c r="G843" s="23" t="n">
        <v>46020</v>
      </c>
      <c r="H843" s="24" t="n">
        <f aca="false">IF(G843="","",ROUND((Config!$C$4-G843)/365.25,2))</f>
        <v>0.76</v>
      </c>
      <c r="I843" s="25" t="str">
        <f aca="false">IF(H843="","",IF(H843&lt;=1,"Tramo 1",IF(H843&lt;=3,"Tramo 2",IF(H843&lt;=5,"Tramo 3","Tramo 4"))))</f>
        <v>Tramo 1</v>
      </c>
      <c r="J843" s="22" t="s">
        <v>2639</v>
      </c>
      <c r="K843" s="22"/>
      <c r="L843" s="22"/>
      <c r="M843" s="26"/>
      <c r="N843" s="22"/>
      <c r="O843" s="22" t="s">
        <v>63</v>
      </c>
      <c r="P843" s="25" t="str">
        <f aca="false">IF(OR(O843="",O843="Sin información"),"",IFERROR(INDEX(Listas!$B$2:$B$9,MATCH(O843,Listas!$A$2:$A$9,0)),""))</f>
        <v/>
      </c>
      <c r="Q843" s="25" t="str">
        <f aca="false">IF(OR(O843="",O843="Sin información"),"",IFERROR(INDEX(Listas!$C$2:$C$9,MATCH(O843,Listas!$A$2:$A$9,0)),""))</f>
        <v/>
      </c>
      <c r="R843" s="22"/>
      <c r="S843" s="22"/>
      <c r="T843" s="25" t="str">
        <f aca="false">IF(S843="","",IFERROR(INDEX(Empleadores!$B$2:$B$601,MATCH(S843,Empleadores!$A$2:$A$601,0)),"No encontrado"))</f>
        <v/>
      </c>
      <c r="U843" s="25" t="str">
        <f aca="false">IF(C843="","",IF(V843="","No",IF(Config!$C$4-V843&lt;=Config!$C$15,"Sí","No")))</f>
        <v>No</v>
      </c>
      <c r="V843" s="23"/>
      <c r="W843" s="22"/>
      <c r="X843" s="22"/>
      <c r="Y843" s="22"/>
      <c r="Z843" s="27"/>
      <c r="AA843" s="22" t="s">
        <v>3777</v>
      </c>
      <c r="AB843" s="22" t="s">
        <v>1691</v>
      </c>
    </row>
    <row r="844" customFormat="false" ht="15" hidden="false" customHeight="false" outlineLevel="0" collapsed="false">
      <c r="A844" s="22" t="n">
        <v>843</v>
      </c>
      <c r="B844" s="22" t="s">
        <v>3778</v>
      </c>
      <c r="C844" s="22" t="s">
        <v>3779</v>
      </c>
      <c r="D844" s="22"/>
      <c r="E844" s="22" t="s">
        <v>139</v>
      </c>
      <c r="F844" s="22" t="s">
        <v>108</v>
      </c>
      <c r="G844" s="23" t="n">
        <v>46020</v>
      </c>
      <c r="H844" s="24" t="n">
        <f aca="false">IF(G844="","",ROUND((Config!$C$4-G844)/365.25,2))</f>
        <v>0.76</v>
      </c>
      <c r="I844" s="25" t="str">
        <f aca="false">IF(H844="","",IF(H844&lt;=1,"Tramo 1",IF(H844&lt;=3,"Tramo 2",IF(H844&lt;=5,"Tramo 3","Tramo 4"))))</f>
        <v>Tramo 1</v>
      </c>
      <c r="J844" s="22" t="s">
        <v>2639</v>
      </c>
      <c r="K844" s="22"/>
      <c r="L844" s="22"/>
      <c r="M844" s="26"/>
      <c r="N844" s="22"/>
      <c r="O844" s="22" t="s">
        <v>63</v>
      </c>
      <c r="P844" s="25" t="str">
        <f aca="false">IF(OR(O844="",O844="Sin información"),"",IFERROR(INDEX(Listas!$B$2:$B$9,MATCH(O844,Listas!$A$2:$A$9,0)),""))</f>
        <v/>
      </c>
      <c r="Q844" s="25" t="str">
        <f aca="false">IF(OR(O844="",O844="Sin información"),"",IFERROR(INDEX(Listas!$C$2:$C$9,MATCH(O844,Listas!$A$2:$A$9,0)),""))</f>
        <v/>
      </c>
      <c r="R844" s="22"/>
      <c r="S844" s="22"/>
      <c r="T844" s="25" t="str">
        <f aca="false">IF(S844="","",IFERROR(INDEX(Empleadores!$B$2:$B$601,MATCH(S844,Empleadores!$A$2:$A$601,0)),"No encontrado"))</f>
        <v/>
      </c>
      <c r="U844" s="25" t="str">
        <f aca="false">IF(C844="","",IF(V844="","No",IF(Config!$C$4-V844&lt;=Config!$C$15,"Sí","No")))</f>
        <v>No</v>
      </c>
      <c r="V844" s="23"/>
      <c r="W844" s="22"/>
      <c r="X844" s="22"/>
      <c r="Y844" s="22"/>
      <c r="Z844" s="27"/>
      <c r="AA844" s="22" t="s">
        <v>3780</v>
      </c>
      <c r="AB844" s="22" t="s">
        <v>1691</v>
      </c>
    </row>
    <row r="845" customFormat="false" ht="15" hidden="false" customHeight="false" outlineLevel="0" collapsed="false">
      <c r="A845" s="22" t="n">
        <v>844</v>
      </c>
      <c r="B845" s="22" t="s">
        <v>3781</v>
      </c>
      <c r="C845" s="22" t="s">
        <v>3782</v>
      </c>
      <c r="D845" s="22"/>
      <c r="E845" s="22" t="s">
        <v>139</v>
      </c>
      <c r="F845" s="22" t="s">
        <v>108</v>
      </c>
      <c r="G845" s="23" t="n">
        <v>46020</v>
      </c>
      <c r="H845" s="24" t="n">
        <f aca="false">IF(G845="","",ROUND((Config!$C$4-G845)/365.25,2))</f>
        <v>0.76</v>
      </c>
      <c r="I845" s="25" t="str">
        <f aca="false">IF(H845="","",IF(H845&lt;=1,"Tramo 1",IF(H845&lt;=3,"Tramo 2",IF(H845&lt;=5,"Tramo 3","Tramo 4"))))</f>
        <v>Tramo 1</v>
      </c>
      <c r="J845" s="22" t="s">
        <v>2639</v>
      </c>
      <c r="K845" s="22"/>
      <c r="L845" s="22"/>
      <c r="M845" s="26"/>
      <c r="N845" s="22"/>
      <c r="O845" s="22" t="s">
        <v>63</v>
      </c>
      <c r="P845" s="25" t="str">
        <f aca="false">IF(OR(O845="",O845="Sin información"),"",IFERROR(INDEX(Listas!$B$2:$B$9,MATCH(O845,Listas!$A$2:$A$9,0)),""))</f>
        <v/>
      </c>
      <c r="Q845" s="25" t="str">
        <f aca="false">IF(OR(O845="",O845="Sin información"),"",IFERROR(INDEX(Listas!$C$2:$C$9,MATCH(O845,Listas!$A$2:$A$9,0)),""))</f>
        <v/>
      </c>
      <c r="R845" s="22"/>
      <c r="S845" s="22"/>
      <c r="T845" s="25" t="str">
        <f aca="false">IF(S845="","",IFERROR(INDEX(Empleadores!$B$2:$B$601,MATCH(S845,Empleadores!$A$2:$A$601,0)),"No encontrado"))</f>
        <v/>
      </c>
      <c r="U845" s="25" t="str">
        <f aca="false">IF(C845="","",IF(V845="","No",IF(Config!$C$4-V845&lt;=Config!$C$15,"Sí","No")))</f>
        <v>No</v>
      </c>
      <c r="V845" s="23"/>
      <c r="W845" s="22"/>
      <c r="X845" s="22"/>
      <c r="Y845" s="22"/>
      <c r="Z845" s="27"/>
      <c r="AA845" s="22" t="s">
        <v>3783</v>
      </c>
      <c r="AB845" s="22" t="s">
        <v>1691</v>
      </c>
    </row>
    <row r="846" customFormat="false" ht="15" hidden="false" customHeight="false" outlineLevel="0" collapsed="false">
      <c r="A846" s="22" t="n">
        <v>845</v>
      </c>
      <c r="B846" s="22" t="s">
        <v>3784</v>
      </c>
      <c r="C846" s="22" t="s">
        <v>3785</v>
      </c>
      <c r="D846" s="22"/>
      <c r="E846" s="22" t="s">
        <v>139</v>
      </c>
      <c r="F846" s="22" t="s">
        <v>108</v>
      </c>
      <c r="G846" s="23" t="n">
        <v>46020</v>
      </c>
      <c r="H846" s="24" t="n">
        <f aca="false">IF(G846="","",ROUND((Config!$C$4-G846)/365.25,2))</f>
        <v>0.76</v>
      </c>
      <c r="I846" s="25" t="str">
        <f aca="false">IF(H846="","",IF(H846&lt;=1,"Tramo 1",IF(H846&lt;=3,"Tramo 2",IF(H846&lt;=5,"Tramo 3","Tramo 4"))))</f>
        <v>Tramo 1</v>
      </c>
      <c r="J846" s="22" t="s">
        <v>2639</v>
      </c>
      <c r="K846" s="22"/>
      <c r="L846" s="22"/>
      <c r="M846" s="26"/>
      <c r="N846" s="22"/>
      <c r="O846" s="22" t="s">
        <v>63</v>
      </c>
      <c r="P846" s="25" t="str">
        <f aca="false">IF(OR(O846="",O846="Sin información"),"",IFERROR(INDEX(Listas!$B$2:$B$9,MATCH(O846,Listas!$A$2:$A$9,0)),""))</f>
        <v/>
      </c>
      <c r="Q846" s="25" t="str">
        <f aca="false">IF(OR(O846="",O846="Sin información"),"",IFERROR(INDEX(Listas!$C$2:$C$9,MATCH(O846,Listas!$A$2:$A$9,0)),""))</f>
        <v/>
      </c>
      <c r="R846" s="22"/>
      <c r="S846" s="22"/>
      <c r="T846" s="25" t="str">
        <f aca="false">IF(S846="","",IFERROR(INDEX(Empleadores!$B$2:$B$601,MATCH(S846,Empleadores!$A$2:$A$601,0)),"No encontrado"))</f>
        <v/>
      </c>
      <c r="U846" s="25" t="str">
        <f aca="false">IF(C846="","",IF(V846="","No",IF(Config!$C$4-V846&lt;=Config!$C$15,"Sí","No")))</f>
        <v>No</v>
      </c>
      <c r="V846" s="23"/>
      <c r="W846" s="22"/>
      <c r="X846" s="22"/>
      <c r="Y846" s="22"/>
      <c r="Z846" s="27"/>
      <c r="AA846" s="22" t="s">
        <v>3786</v>
      </c>
      <c r="AB846" s="22" t="s">
        <v>1691</v>
      </c>
    </row>
    <row r="847" customFormat="false" ht="15" hidden="false" customHeight="false" outlineLevel="0" collapsed="false">
      <c r="A847" s="22" t="n">
        <v>846</v>
      </c>
      <c r="B847" s="22" t="s">
        <v>3787</v>
      </c>
      <c r="C847" s="22" t="s">
        <v>3788</v>
      </c>
      <c r="D847" s="22"/>
      <c r="E847" s="22" t="s">
        <v>139</v>
      </c>
      <c r="F847" s="22" t="s">
        <v>108</v>
      </c>
      <c r="G847" s="23" t="n">
        <v>46020</v>
      </c>
      <c r="H847" s="24" t="n">
        <f aca="false">IF(G847="","",ROUND((Config!$C$4-G847)/365.25,2))</f>
        <v>0.76</v>
      </c>
      <c r="I847" s="25" t="str">
        <f aca="false">IF(H847="","",IF(H847&lt;=1,"Tramo 1",IF(H847&lt;=3,"Tramo 2",IF(H847&lt;=5,"Tramo 3","Tramo 4"))))</f>
        <v>Tramo 1</v>
      </c>
      <c r="J847" s="22" t="s">
        <v>2639</v>
      </c>
      <c r="K847" s="22"/>
      <c r="L847" s="22"/>
      <c r="M847" s="26"/>
      <c r="N847" s="22"/>
      <c r="O847" s="22" t="s">
        <v>63</v>
      </c>
      <c r="P847" s="25" t="str">
        <f aca="false">IF(OR(O847="",O847="Sin información"),"",IFERROR(INDEX(Listas!$B$2:$B$9,MATCH(O847,Listas!$A$2:$A$9,0)),""))</f>
        <v/>
      </c>
      <c r="Q847" s="25" t="str">
        <f aca="false">IF(OR(O847="",O847="Sin información"),"",IFERROR(INDEX(Listas!$C$2:$C$9,MATCH(O847,Listas!$A$2:$A$9,0)),""))</f>
        <v/>
      </c>
      <c r="R847" s="22"/>
      <c r="S847" s="22"/>
      <c r="T847" s="25" t="str">
        <f aca="false">IF(S847="","",IFERROR(INDEX(Empleadores!$B$2:$B$601,MATCH(S847,Empleadores!$A$2:$A$601,0)),"No encontrado"))</f>
        <v/>
      </c>
      <c r="U847" s="25" t="str">
        <f aca="false">IF(C847="","",IF(V847="","No",IF(Config!$C$4-V847&lt;=Config!$C$15,"Sí","No")))</f>
        <v>No</v>
      </c>
      <c r="V847" s="23"/>
      <c r="W847" s="22"/>
      <c r="X847" s="22"/>
      <c r="Y847" s="22"/>
      <c r="Z847" s="27"/>
      <c r="AA847" s="22"/>
      <c r="AB847" s="22"/>
    </row>
    <row r="848" customFormat="false" ht="15" hidden="false" customHeight="false" outlineLevel="0" collapsed="false">
      <c r="A848" s="22" t="n">
        <v>847</v>
      </c>
      <c r="B848" s="22" t="s">
        <v>3789</v>
      </c>
      <c r="C848" s="22" t="s">
        <v>3790</v>
      </c>
      <c r="D848" s="22"/>
      <c r="E848" s="22" t="s">
        <v>139</v>
      </c>
      <c r="F848" s="22" t="s">
        <v>108</v>
      </c>
      <c r="G848" s="23" t="n">
        <v>46020</v>
      </c>
      <c r="H848" s="24" t="n">
        <f aca="false">IF(G848="","",ROUND((Config!$C$4-G848)/365.25,2))</f>
        <v>0.76</v>
      </c>
      <c r="I848" s="25" t="str">
        <f aca="false">IF(H848="","",IF(H848&lt;=1,"Tramo 1",IF(H848&lt;=3,"Tramo 2",IF(H848&lt;=5,"Tramo 3","Tramo 4"))))</f>
        <v>Tramo 1</v>
      </c>
      <c r="J848" s="22" t="s">
        <v>2639</v>
      </c>
      <c r="K848" s="22"/>
      <c r="L848" s="22"/>
      <c r="M848" s="26"/>
      <c r="N848" s="22"/>
      <c r="O848" s="22" t="s">
        <v>63</v>
      </c>
      <c r="P848" s="25" t="str">
        <f aca="false">IF(OR(O848="",O848="Sin información"),"",IFERROR(INDEX(Listas!$B$2:$B$9,MATCH(O848,Listas!$A$2:$A$9,0)),""))</f>
        <v/>
      </c>
      <c r="Q848" s="25" t="str">
        <f aca="false">IF(OR(O848="",O848="Sin información"),"",IFERROR(INDEX(Listas!$C$2:$C$9,MATCH(O848,Listas!$A$2:$A$9,0)),""))</f>
        <v/>
      </c>
      <c r="R848" s="22"/>
      <c r="S848" s="22"/>
      <c r="T848" s="25" t="str">
        <f aca="false">IF(S848="","",IFERROR(INDEX(Empleadores!$B$2:$B$601,MATCH(S848,Empleadores!$A$2:$A$601,0)),"No encontrado"))</f>
        <v/>
      </c>
      <c r="U848" s="25" t="str">
        <f aca="false">IF(C848="","",IF(V848="","No",IF(Config!$C$4-V848&lt;=Config!$C$15,"Sí","No")))</f>
        <v>No</v>
      </c>
      <c r="V848" s="23"/>
      <c r="W848" s="22"/>
      <c r="X848" s="22"/>
      <c r="Y848" s="22"/>
      <c r="Z848" s="27"/>
      <c r="AA848" s="22"/>
      <c r="AB848" s="22"/>
    </row>
    <row r="849" customFormat="false" ht="15" hidden="false" customHeight="false" outlineLevel="0" collapsed="false">
      <c r="A849" s="22" t="n">
        <v>848</v>
      </c>
      <c r="B849" s="22" t="s">
        <v>3791</v>
      </c>
      <c r="C849" s="22" t="s">
        <v>3792</v>
      </c>
      <c r="D849" s="22"/>
      <c r="E849" s="22" t="s">
        <v>139</v>
      </c>
      <c r="F849" s="22" t="s">
        <v>108</v>
      </c>
      <c r="G849" s="23" t="n">
        <v>46020</v>
      </c>
      <c r="H849" s="24" t="n">
        <f aca="false">IF(G849="","",ROUND((Config!$C$4-G849)/365.25,2))</f>
        <v>0.76</v>
      </c>
      <c r="I849" s="25" t="str">
        <f aca="false">IF(H849="","",IF(H849&lt;=1,"Tramo 1",IF(H849&lt;=3,"Tramo 2",IF(H849&lt;=5,"Tramo 3","Tramo 4"))))</f>
        <v>Tramo 1</v>
      </c>
      <c r="J849" s="22" t="s">
        <v>2639</v>
      </c>
      <c r="K849" s="22"/>
      <c r="L849" s="22"/>
      <c r="M849" s="26"/>
      <c r="N849" s="22"/>
      <c r="O849" s="22" t="s">
        <v>63</v>
      </c>
      <c r="P849" s="25" t="str">
        <f aca="false">IF(OR(O849="",O849="Sin información"),"",IFERROR(INDEX(Listas!$B$2:$B$9,MATCH(O849,Listas!$A$2:$A$9,0)),""))</f>
        <v/>
      </c>
      <c r="Q849" s="25" t="str">
        <f aca="false">IF(OR(O849="",O849="Sin información"),"",IFERROR(INDEX(Listas!$C$2:$C$9,MATCH(O849,Listas!$A$2:$A$9,0)),""))</f>
        <v/>
      </c>
      <c r="R849" s="22"/>
      <c r="S849" s="22"/>
      <c r="T849" s="25" t="str">
        <f aca="false">IF(S849="","",IFERROR(INDEX(Empleadores!$B$2:$B$601,MATCH(S849,Empleadores!$A$2:$A$601,0)),"No encontrado"))</f>
        <v/>
      </c>
      <c r="U849" s="25" t="str">
        <f aca="false">IF(C849="","",IF(V849="","No",IF(Config!$C$4-V849&lt;=Config!$C$15,"Sí","No")))</f>
        <v>No</v>
      </c>
      <c r="V849" s="23"/>
      <c r="W849" s="22"/>
      <c r="X849" s="22"/>
      <c r="Y849" s="22"/>
      <c r="Z849" s="27"/>
      <c r="AA849" s="22"/>
      <c r="AB849" s="22"/>
    </row>
    <row r="850" customFormat="false" ht="15" hidden="false" customHeight="false" outlineLevel="0" collapsed="false">
      <c r="A850" s="22" t="n">
        <v>849</v>
      </c>
      <c r="B850" s="22" t="s">
        <v>3793</v>
      </c>
      <c r="C850" s="22" t="s">
        <v>3794</v>
      </c>
      <c r="D850" s="22"/>
      <c r="E850" s="22" t="s">
        <v>139</v>
      </c>
      <c r="F850" s="22" t="s">
        <v>108</v>
      </c>
      <c r="G850" s="23" t="n">
        <v>46020</v>
      </c>
      <c r="H850" s="24" t="n">
        <f aca="false">IF(G850="","",ROUND((Config!$C$4-G850)/365.25,2))</f>
        <v>0.76</v>
      </c>
      <c r="I850" s="25" t="str">
        <f aca="false">IF(H850="","",IF(H850&lt;=1,"Tramo 1",IF(H850&lt;=3,"Tramo 2",IF(H850&lt;=5,"Tramo 3","Tramo 4"))))</f>
        <v>Tramo 1</v>
      </c>
      <c r="J850" s="22" t="s">
        <v>2639</v>
      </c>
      <c r="K850" s="22"/>
      <c r="L850" s="22"/>
      <c r="M850" s="26"/>
      <c r="N850" s="22"/>
      <c r="O850" s="22" t="s">
        <v>63</v>
      </c>
      <c r="P850" s="25" t="str">
        <f aca="false">IF(OR(O850="",O850="Sin información"),"",IFERROR(INDEX(Listas!$B$2:$B$9,MATCH(O850,Listas!$A$2:$A$9,0)),""))</f>
        <v/>
      </c>
      <c r="Q850" s="25" t="str">
        <f aca="false">IF(OR(O850="",O850="Sin información"),"",IFERROR(INDEX(Listas!$C$2:$C$9,MATCH(O850,Listas!$A$2:$A$9,0)),""))</f>
        <v/>
      </c>
      <c r="R850" s="22"/>
      <c r="S850" s="22"/>
      <c r="T850" s="25" t="str">
        <f aca="false">IF(S850="","",IFERROR(INDEX(Empleadores!$B$2:$B$601,MATCH(S850,Empleadores!$A$2:$A$601,0)),"No encontrado"))</f>
        <v/>
      </c>
      <c r="U850" s="25" t="str">
        <f aca="false">IF(C850="","",IF(V850="","No",IF(Config!$C$4-V850&lt;=Config!$C$15,"Sí","No")))</f>
        <v>No</v>
      </c>
      <c r="V850" s="23"/>
      <c r="W850" s="22"/>
      <c r="X850" s="22"/>
      <c r="Y850" s="22"/>
      <c r="Z850" s="27"/>
      <c r="AA850" s="22"/>
      <c r="AB850" s="22"/>
    </row>
    <row r="851" customFormat="false" ht="15" hidden="false" customHeight="false" outlineLevel="0" collapsed="false">
      <c r="A851" s="22" t="n">
        <v>850</v>
      </c>
      <c r="B851" s="22" t="s">
        <v>3795</v>
      </c>
      <c r="C851" s="22" t="s">
        <v>3796</v>
      </c>
      <c r="D851" s="22"/>
      <c r="E851" s="22" t="s">
        <v>139</v>
      </c>
      <c r="F851" s="22" t="s">
        <v>108</v>
      </c>
      <c r="G851" s="23" t="n">
        <v>46020</v>
      </c>
      <c r="H851" s="24" t="n">
        <f aca="false">IF(G851="","",ROUND((Config!$C$4-G851)/365.25,2))</f>
        <v>0.76</v>
      </c>
      <c r="I851" s="25" t="str">
        <f aca="false">IF(H851="","",IF(H851&lt;=1,"Tramo 1",IF(H851&lt;=3,"Tramo 2",IF(H851&lt;=5,"Tramo 3","Tramo 4"))))</f>
        <v>Tramo 1</v>
      </c>
      <c r="J851" s="22" t="s">
        <v>2639</v>
      </c>
      <c r="K851" s="22"/>
      <c r="L851" s="22"/>
      <c r="M851" s="26"/>
      <c r="N851" s="22"/>
      <c r="O851" s="22" t="s">
        <v>63</v>
      </c>
      <c r="P851" s="25" t="str">
        <f aca="false">IF(OR(O851="",O851="Sin información"),"",IFERROR(INDEX(Listas!$B$2:$B$9,MATCH(O851,Listas!$A$2:$A$9,0)),""))</f>
        <v/>
      </c>
      <c r="Q851" s="25" t="str">
        <f aca="false">IF(OR(O851="",O851="Sin información"),"",IFERROR(INDEX(Listas!$C$2:$C$9,MATCH(O851,Listas!$A$2:$A$9,0)),""))</f>
        <v/>
      </c>
      <c r="R851" s="22"/>
      <c r="S851" s="22"/>
      <c r="T851" s="25" t="str">
        <f aca="false">IF(S851="","",IFERROR(INDEX(Empleadores!$B$2:$B$601,MATCH(S851,Empleadores!$A$2:$A$601,0)),"No encontrado"))</f>
        <v/>
      </c>
      <c r="U851" s="25" t="str">
        <f aca="false">IF(C851="","",IF(V851="","No",IF(Config!$C$4-V851&lt;=Config!$C$15,"Sí","No")))</f>
        <v>No</v>
      </c>
      <c r="V851" s="23"/>
      <c r="W851" s="22"/>
      <c r="X851" s="22"/>
      <c r="Y851" s="22"/>
      <c r="Z851" s="27"/>
      <c r="AA851" s="22" t="s">
        <v>3797</v>
      </c>
      <c r="AB851" s="22" t="s">
        <v>1691</v>
      </c>
    </row>
    <row r="852" customFormat="false" ht="15" hidden="false" customHeight="false" outlineLevel="0" collapsed="false">
      <c r="A852" s="22" t="n">
        <v>851</v>
      </c>
      <c r="B852" s="22" t="s">
        <v>3798</v>
      </c>
      <c r="C852" s="22" t="s">
        <v>3799</v>
      </c>
      <c r="D852" s="22"/>
      <c r="E852" s="22" t="s">
        <v>139</v>
      </c>
      <c r="F852" s="22" t="s">
        <v>108</v>
      </c>
      <c r="G852" s="23" t="n">
        <v>46020</v>
      </c>
      <c r="H852" s="24" t="n">
        <f aca="false">IF(G852="","",ROUND((Config!$C$4-G852)/365.25,2))</f>
        <v>0.76</v>
      </c>
      <c r="I852" s="25" t="str">
        <f aca="false">IF(H852="","",IF(H852&lt;=1,"Tramo 1",IF(H852&lt;=3,"Tramo 2",IF(H852&lt;=5,"Tramo 3","Tramo 4"))))</f>
        <v>Tramo 1</v>
      </c>
      <c r="J852" s="22" t="s">
        <v>2639</v>
      </c>
      <c r="K852" s="22"/>
      <c r="L852" s="22"/>
      <c r="M852" s="26"/>
      <c r="N852" s="22"/>
      <c r="O852" s="22" t="s">
        <v>63</v>
      </c>
      <c r="P852" s="25" t="str">
        <f aca="false">IF(OR(O852="",O852="Sin información"),"",IFERROR(INDEX(Listas!$B$2:$B$9,MATCH(O852,Listas!$A$2:$A$9,0)),""))</f>
        <v/>
      </c>
      <c r="Q852" s="25" t="str">
        <f aca="false">IF(OR(O852="",O852="Sin información"),"",IFERROR(INDEX(Listas!$C$2:$C$9,MATCH(O852,Listas!$A$2:$A$9,0)),""))</f>
        <v/>
      </c>
      <c r="R852" s="22"/>
      <c r="S852" s="22"/>
      <c r="T852" s="25" t="str">
        <f aca="false">IF(S852="","",IFERROR(INDEX(Empleadores!$B$2:$B$601,MATCH(S852,Empleadores!$A$2:$A$601,0)),"No encontrado"))</f>
        <v/>
      </c>
      <c r="U852" s="25" t="str">
        <f aca="false">IF(C852="","",IF(V852="","No",IF(Config!$C$4-V852&lt;=Config!$C$15,"Sí","No")))</f>
        <v>No</v>
      </c>
      <c r="V852" s="23"/>
      <c r="W852" s="22"/>
      <c r="X852" s="22"/>
      <c r="Y852" s="22"/>
      <c r="Z852" s="27"/>
      <c r="AA852" s="22"/>
      <c r="AB852" s="22"/>
    </row>
    <row r="853" customFormat="false" ht="15" hidden="false" customHeight="false" outlineLevel="0" collapsed="false">
      <c r="A853" s="22" t="n">
        <v>852</v>
      </c>
      <c r="B853" s="22" t="s">
        <v>3800</v>
      </c>
      <c r="C853" s="22" t="s">
        <v>3801</v>
      </c>
      <c r="D853" s="22"/>
      <c r="E853" s="22" t="s">
        <v>139</v>
      </c>
      <c r="F853" s="22" t="s">
        <v>108</v>
      </c>
      <c r="G853" s="23" t="n">
        <v>46020</v>
      </c>
      <c r="H853" s="24" t="n">
        <f aca="false">IF(G853="","",ROUND((Config!$C$4-G853)/365.25,2))</f>
        <v>0.76</v>
      </c>
      <c r="I853" s="25" t="str">
        <f aca="false">IF(H853="","",IF(H853&lt;=1,"Tramo 1",IF(H853&lt;=3,"Tramo 2",IF(H853&lt;=5,"Tramo 3","Tramo 4"))))</f>
        <v>Tramo 1</v>
      </c>
      <c r="J853" s="22" t="s">
        <v>2639</v>
      </c>
      <c r="K853" s="22"/>
      <c r="L853" s="22"/>
      <c r="M853" s="26"/>
      <c r="N853" s="22"/>
      <c r="O853" s="22" t="s">
        <v>63</v>
      </c>
      <c r="P853" s="25" t="str">
        <f aca="false">IF(OR(O853="",O853="Sin información"),"",IFERROR(INDEX(Listas!$B$2:$B$9,MATCH(O853,Listas!$A$2:$A$9,0)),""))</f>
        <v/>
      </c>
      <c r="Q853" s="25" t="str">
        <f aca="false">IF(OR(O853="",O853="Sin información"),"",IFERROR(INDEX(Listas!$C$2:$C$9,MATCH(O853,Listas!$A$2:$A$9,0)),""))</f>
        <v/>
      </c>
      <c r="R853" s="22"/>
      <c r="S853" s="22"/>
      <c r="T853" s="25" t="str">
        <f aca="false">IF(S853="","",IFERROR(INDEX(Empleadores!$B$2:$B$601,MATCH(S853,Empleadores!$A$2:$A$601,0)),"No encontrado"))</f>
        <v/>
      </c>
      <c r="U853" s="25" t="str">
        <f aca="false">IF(C853="","",IF(V853="","No",IF(Config!$C$4-V853&lt;=Config!$C$15,"Sí","No")))</f>
        <v>No</v>
      </c>
      <c r="V853" s="23"/>
      <c r="W853" s="22"/>
      <c r="X853" s="22"/>
      <c r="Y853" s="22"/>
      <c r="Z853" s="27"/>
      <c r="AA853" s="22"/>
      <c r="AB853" s="22"/>
    </row>
    <row r="854" customFormat="false" ht="15" hidden="false" customHeight="false" outlineLevel="0" collapsed="false">
      <c r="A854" s="22" t="n">
        <v>853</v>
      </c>
      <c r="B854" s="22" t="s">
        <v>3802</v>
      </c>
      <c r="C854" s="22" t="s">
        <v>3803</v>
      </c>
      <c r="D854" s="22"/>
      <c r="E854" s="22" t="s">
        <v>139</v>
      </c>
      <c r="F854" s="22" t="s">
        <v>108</v>
      </c>
      <c r="G854" s="23" t="n">
        <v>46020</v>
      </c>
      <c r="H854" s="24" t="n">
        <f aca="false">IF(G854="","",ROUND((Config!$C$4-G854)/365.25,2))</f>
        <v>0.76</v>
      </c>
      <c r="I854" s="25" t="str">
        <f aca="false">IF(H854="","",IF(H854&lt;=1,"Tramo 1",IF(H854&lt;=3,"Tramo 2",IF(H854&lt;=5,"Tramo 3","Tramo 4"))))</f>
        <v>Tramo 1</v>
      </c>
      <c r="J854" s="22" t="s">
        <v>2639</v>
      </c>
      <c r="K854" s="22"/>
      <c r="L854" s="22"/>
      <c r="M854" s="26"/>
      <c r="N854" s="22"/>
      <c r="O854" s="22" t="s">
        <v>63</v>
      </c>
      <c r="P854" s="25" t="str">
        <f aca="false">IF(OR(O854="",O854="Sin información"),"",IFERROR(INDEX(Listas!$B$2:$B$9,MATCH(O854,Listas!$A$2:$A$9,0)),""))</f>
        <v/>
      </c>
      <c r="Q854" s="25" t="str">
        <f aca="false">IF(OR(O854="",O854="Sin información"),"",IFERROR(INDEX(Listas!$C$2:$C$9,MATCH(O854,Listas!$A$2:$A$9,0)),""))</f>
        <v/>
      </c>
      <c r="R854" s="22"/>
      <c r="S854" s="22"/>
      <c r="T854" s="25" t="str">
        <f aca="false">IF(S854="","",IFERROR(INDEX(Empleadores!$B$2:$B$601,MATCH(S854,Empleadores!$A$2:$A$601,0)),"No encontrado"))</f>
        <v/>
      </c>
      <c r="U854" s="25" t="str">
        <f aca="false">IF(C854="","",IF(V854="","No",IF(Config!$C$4-V854&lt;=Config!$C$15,"Sí","No")))</f>
        <v>No</v>
      </c>
      <c r="V854" s="23"/>
      <c r="W854" s="22"/>
      <c r="X854" s="22"/>
      <c r="Y854" s="22"/>
      <c r="Z854" s="27"/>
      <c r="AA854" s="22" t="s">
        <v>3804</v>
      </c>
      <c r="AB854" s="22" t="s">
        <v>1691</v>
      </c>
    </row>
    <row r="855" customFormat="false" ht="15" hidden="false" customHeight="false" outlineLevel="0" collapsed="false">
      <c r="A855" s="22" t="n">
        <v>854</v>
      </c>
      <c r="B855" s="22" t="s">
        <v>3805</v>
      </c>
      <c r="C855" s="22" t="s">
        <v>3806</v>
      </c>
      <c r="D855" s="22"/>
      <c r="E855" s="22" t="s">
        <v>139</v>
      </c>
      <c r="F855" s="22" t="s">
        <v>108</v>
      </c>
      <c r="G855" s="23" t="n">
        <v>46020</v>
      </c>
      <c r="H855" s="24" t="n">
        <f aca="false">IF(G855="","",ROUND((Config!$C$4-G855)/365.25,2))</f>
        <v>0.76</v>
      </c>
      <c r="I855" s="25" t="str">
        <f aca="false">IF(H855="","",IF(H855&lt;=1,"Tramo 1",IF(H855&lt;=3,"Tramo 2",IF(H855&lt;=5,"Tramo 3","Tramo 4"))))</f>
        <v>Tramo 1</v>
      </c>
      <c r="J855" s="22" t="s">
        <v>2639</v>
      </c>
      <c r="K855" s="22"/>
      <c r="L855" s="22"/>
      <c r="M855" s="26"/>
      <c r="N855" s="22"/>
      <c r="O855" s="22" t="s">
        <v>63</v>
      </c>
      <c r="P855" s="25" t="str">
        <f aca="false">IF(OR(O855="",O855="Sin información"),"",IFERROR(INDEX(Listas!$B$2:$B$9,MATCH(O855,Listas!$A$2:$A$9,0)),""))</f>
        <v/>
      </c>
      <c r="Q855" s="25" t="str">
        <f aca="false">IF(OR(O855="",O855="Sin información"),"",IFERROR(INDEX(Listas!$C$2:$C$9,MATCH(O855,Listas!$A$2:$A$9,0)),""))</f>
        <v/>
      </c>
      <c r="R855" s="22"/>
      <c r="S855" s="22"/>
      <c r="T855" s="25" t="str">
        <f aca="false">IF(S855="","",IFERROR(INDEX(Empleadores!$B$2:$B$601,MATCH(S855,Empleadores!$A$2:$A$601,0)),"No encontrado"))</f>
        <v/>
      </c>
      <c r="U855" s="25" t="str">
        <f aca="false">IF(C855="","",IF(V855="","No",IF(Config!$C$4-V855&lt;=Config!$C$15,"Sí","No")))</f>
        <v>No</v>
      </c>
      <c r="V855" s="23"/>
      <c r="W855" s="22"/>
      <c r="X855" s="22"/>
      <c r="Y855" s="22"/>
      <c r="Z855" s="27"/>
      <c r="AA855" s="22"/>
      <c r="AB855" s="22"/>
    </row>
    <row r="856" customFormat="false" ht="15" hidden="false" customHeight="false" outlineLevel="0" collapsed="false">
      <c r="A856" s="22" t="n">
        <v>855</v>
      </c>
      <c r="B856" s="22" t="s">
        <v>3807</v>
      </c>
      <c r="C856" s="22" t="s">
        <v>3808</v>
      </c>
      <c r="D856" s="22"/>
      <c r="E856" s="22" t="s">
        <v>139</v>
      </c>
      <c r="F856" s="22" t="s">
        <v>108</v>
      </c>
      <c r="G856" s="23" t="n">
        <v>46020</v>
      </c>
      <c r="H856" s="24" t="n">
        <f aca="false">IF(G856="","",ROUND((Config!$C$4-G856)/365.25,2))</f>
        <v>0.76</v>
      </c>
      <c r="I856" s="25" t="str">
        <f aca="false">IF(H856="","",IF(H856&lt;=1,"Tramo 1",IF(H856&lt;=3,"Tramo 2",IF(H856&lt;=5,"Tramo 3","Tramo 4"))))</f>
        <v>Tramo 1</v>
      </c>
      <c r="J856" s="22" t="s">
        <v>2639</v>
      </c>
      <c r="K856" s="22"/>
      <c r="L856" s="22"/>
      <c r="M856" s="26"/>
      <c r="N856" s="22"/>
      <c r="O856" s="22" t="s">
        <v>63</v>
      </c>
      <c r="P856" s="25" t="str">
        <f aca="false">IF(OR(O856="",O856="Sin información"),"",IFERROR(INDEX(Listas!$B$2:$B$9,MATCH(O856,Listas!$A$2:$A$9,0)),""))</f>
        <v/>
      </c>
      <c r="Q856" s="25" t="str">
        <f aca="false">IF(OR(O856="",O856="Sin información"),"",IFERROR(INDEX(Listas!$C$2:$C$9,MATCH(O856,Listas!$A$2:$A$9,0)),""))</f>
        <v/>
      </c>
      <c r="R856" s="22"/>
      <c r="S856" s="22"/>
      <c r="T856" s="25" t="str">
        <f aca="false">IF(S856="","",IFERROR(INDEX(Empleadores!$B$2:$B$601,MATCH(S856,Empleadores!$A$2:$A$601,0)),"No encontrado"))</f>
        <v/>
      </c>
      <c r="U856" s="25" t="str">
        <f aca="false">IF(C856="","",IF(V856="","No",IF(Config!$C$4-V856&lt;=Config!$C$15,"Sí","No")))</f>
        <v>No</v>
      </c>
      <c r="V856" s="23"/>
      <c r="W856" s="22"/>
      <c r="X856" s="22"/>
      <c r="Y856" s="22"/>
      <c r="Z856" s="27"/>
      <c r="AA856" s="22" t="s">
        <v>3809</v>
      </c>
      <c r="AB856" s="22" t="s">
        <v>1691</v>
      </c>
    </row>
    <row r="857" customFormat="false" ht="15" hidden="false" customHeight="false" outlineLevel="0" collapsed="false">
      <c r="A857" s="22" t="n">
        <v>856</v>
      </c>
      <c r="B857" s="22" t="s">
        <v>3810</v>
      </c>
      <c r="C857" s="22" t="s">
        <v>3811</v>
      </c>
      <c r="D857" s="22"/>
      <c r="E857" s="22" t="s">
        <v>139</v>
      </c>
      <c r="F857" s="22" t="s">
        <v>108</v>
      </c>
      <c r="G857" s="23" t="n">
        <v>46020</v>
      </c>
      <c r="H857" s="24" t="n">
        <f aca="false">IF(G857="","",ROUND((Config!$C$4-G857)/365.25,2))</f>
        <v>0.76</v>
      </c>
      <c r="I857" s="25" t="str">
        <f aca="false">IF(H857="","",IF(H857&lt;=1,"Tramo 1",IF(H857&lt;=3,"Tramo 2",IF(H857&lt;=5,"Tramo 3","Tramo 4"))))</f>
        <v>Tramo 1</v>
      </c>
      <c r="J857" s="22" t="s">
        <v>2639</v>
      </c>
      <c r="K857" s="22"/>
      <c r="L857" s="22"/>
      <c r="M857" s="26"/>
      <c r="N857" s="22"/>
      <c r="O857" s="22" t="s">
        <v>63</v>
      </c>
      <c r="P857" s="25" t="str">
        <f aca="false">IF(OR(O857="",O857="Sin información"),"",IFERROR(INDEX(Listas!$B$2:$B$9,MATCH(O857,Listas!$A$2:$A$9,0)),""))</f>
        <v/>
      </c>
      <c r="Q857" s="25" t="str">
        <f aca="false">IF(OR(O857="",O857="Sin información"),"",IFERROR(INDEX(Listas!$C$2:$C$9,MATCH(O857,Listas!$A$2:$A$9,0)),""))</f>
        <v/>
      </c>
      <c r="R857" s="22"/>
      <c r="S857" s="22"/>
      <c r="T857" s="25" t="str">
        <f aca="false">IF(S857="","",IFERROR(INDEX(Empleadores!$B$2:$B$601,MATCH(S857,Empleadores!$A$2:$A$601,0)),"No encontrado"))</f>
        <v/>
      </c>
      <c r="U857" s="25" t="str">
        <f aca="false">IF(C857="","",IF(V857="","No",IF(Config!$C$4-V857&lt;=Config!$C$15,"Sí","No")))</f>
        <v>No</v>
      </c>
      <c r="V857" s="23"/>
      <c r="W857" s="22"/>
      <c r="X857" s="22"/>
      <c r="Y857" s="22"/>
      <c r="Z857" s="27"/>
      <c r="AA857" s="22"/>
      <c r="AB857" s="22"/>
    </row>
    <row r="858" customFormat="false" ht="15" hidden="false" customHeight="false" outlineLevel="0" collapsed="false">
      <c r="A858" s="22" t="n">
        <v>857</v>
      </c>
      <c r="B858" s="22" t="s">
        <v>3812</v>
      </c>
      <c r="C858" s="22" t="s">
        <v>3813</v>
      </c>
      <c r="D858" s="22"/>
      <c r="E858" s="22" t="s">
        <v>139</v>
      </c>
      <c r="F858" s="22" t="s">
        <v>108</v>
      </c>
      <c r="G858" s="23" t="n">
        <v>46020</v>
      </c>
      <c r="H858" s="24" t="n">
        <f aca="false">IF(G858="","",ROUND((Config!$C$4-G858)/365.25,2))</f>
        <v>0.76</v>
      </c>
      <c r="I858" s="25" t="str">
        <f aca="false">IF(H858="","",IF(H858&lt;=1,"Tramo 1",IF(H858&lt;=3,"Tramo 2",IF(H858&lt;=5,"Tramo 3","Tramo 4"))))</f>
        <v>Tramo 1</v>
      </c>
      <c r="J858" s="22" t="s">
        <v>2639</v>
      </c>
      <c r="K858" s="22"/>
      <c r="L858" s="22"/>
      <c r="M858" s="26"/>
      <c r="N858" s="22"/>
      <c r="O858" s="22" t="s">
        <v>63</v>
      </c>
      <c r="P858" s="25" t="str">
        <f aca="false">IF(OR(O858="",O858="Sin información"),"",IFERROR(INDEX(Listas!$B$2:$B$9,MATCH(O858,Listas!$A$2:$A$9,0)),""))</f>
        <v/>
      </c>
      <c r="Q858" s="25" t="str">
        <f aca="false">IF(OR(O858="",O858="Sin información"),"",IFERROR(INDEX(Listas!$C$2:$C$9,MATCH(O858,Listas!$A$2:$A$9,0)),""))</f>
        <v/>
      </c>
      <c r="R858" s="22"/>
      <c r="S858" s="22"/>
      <c r="T858" s="25" t="str">
        <f aca="false">IF(S858="","",IFERROR(INDEX(Empleadores!$B$2:$B$601,MATCH(S858,Empleadores!$A$2:$A$601,0)),"No encontrado"))</f>
        <v/>
      </c>
      <c r="U858" s="25" t="str">
        <f aca="false">IF(C858="","",IF(V858="","No",IF(Config!$C$4-V858&lt;=Config!$C$15,"Sí","No")))</f>
        <v>No</v>
      </c>
      <c r="V858" s="23"/>
      <c r="W858" s="22"/>
      <c r="X858" s="22"/>
      <c r="Y858" s="22"/>
      <c r="Z858" s="27"/>
      <c r="AA858" s="22" t="s">
        <v>3814</v>
      </c>
      <c r="AB858" s="22" t="s">
        <v>1691</v>
      </c>
    </row>
    <row r="859" customFormat="false" ht="15" hidden="false" customHeight="false" outlineLevel="0" collapsed="false">
      <c r="A859" s="22" t="n">
        <v>858</v>
      </c>
      <c r="B859" s="22" t="s">
        <v>3815</v>
      </c>
      <c r="C859" s="22" t="s">
        <v>3816</v>
      </c>
      <c r="D859" s="22"/>
      <c r="E859" s="22" t="s">
        <v>139</v>
      </c>
      <c r="F859" s="22" t="s">
        <v>108</v>
      </c>
      <c r="G859" s="23" t="n">
        <v>46020</v>
      </c>
      <c r="H859" s="24" t="n">
        <f aca="false">IF(G859="","",ROUND((Config!$C$4-G859)/365.25,2))</f>
        <v>0.76</v>
      </c>
      <c r="I859" s="25" t="str">
        <f aca="false">IF(H859="","",IF(H859&lt;=1,"Tramo 1",IF(H859&lt;=3,"Tramo 2",IF(H859&lt;=5,"Tramo 3","Tramo 4"))))</f>
        <v>Tramo 1</v>
      </c>
      <c r="J859" s="22" t="s">
        <v>2639</v>
      </c>
      <c r="K859" s="22"/>
      <c r="L859" s="22"/>
      <c r="M859" s="26"/>
      <c r="N859" s="22"/>
      <c r="O859" s="22" t="s">
        <v>63</v>
      </c>
      <c r="P859" s="25" t="str">
        <f aca="false">IF(OR(O859="",O859="Sin información"),"",IFERROR(INDEX(Listas!$B$2:$B$9,MATCH(O859,Listas!$A$2:$A$9,0)),""))</f>
        <v/>
      </c>
      <c r="Q859" s="25" t="str">
        <f aca="false">IF(OR(O859="",O859="Sin información"),"",IFERROR(INDEX(Listas!$C$2:$C$9,MATCH(O859,Listas!$A$2:$A$9,0)),""))</f>
        <v/>
      </c>
      <c r="R859" s="22"/>
      <c r="S859" s="22"/>
      <c r="T859" s="25" t="str">
        <f aca="false">IF(S859="","",IFERROR(INDEX(Empleadores!$B$2:$B$601,MATCH(S859,Empleadores!$A$2:$A$601,0)),"No encontrado"))</f>
        <v/>
      </c>
      <c r="U859" s="25" t="str">
        <f aca="false">IF(C859="","",IF(V859="","No",IF(Config!$C$4-V859&lt;=Config!$C$15,"Sí","No")))</f>
        <v>No</v>
      </c>
      <c r="V859" s="23"/>
      <c r="W859" s="22"/>
      <c r="X859" s="22"/>
      <c r="Y859" s="22"/>
      <c r="Z859" s="27"/>
      <c r="AA859" s="22"/>
      <c r="AB859" s="22"/>
    </row>
    <row r="860" customFormat="false" ht="15" hidden="false" customHeight="false" outlineLevel="0" collapsed="false">
      <c r="A860" s="22" t="n">
        <v>859</v>
      </c>
      <c r="B860" s="22" t="s">
        <v>3817</v>
      </c>
      <c r="C860" s="22" t="s">
        <v>3818</v>
      </c>
      <c r="D860" s="22"/>
      <c r="E860" s="22" t="s">
        <v>139</v>
      </c>
      <c r="F860" s="22" t="s">
        <v>108</v>
      </c>
      <c r="G860" s="23" t="n">
        <v>46020</v>
      </c>
      <c r="H860" s="24" t="n">
        <f aca="false">IF(G860="","",ROUND((Config!$C$4-G860)/365.25,2))</f>
        <v>0.76</v>
      </c>
      <c r="I860" s="25" t="str">
        <f aca="false">IF(H860="","",IF(H860&lt;=1,"Tramo 1",IF(H860&lt;=3,"Tramo 2",IF(H860&lt;=5,"Tramo 3","Tramo 4"))))</f>
        <v>Tramo 1</v>
      </c>
      <c r="J860" s="22" t="s">
        <v>2639</v>
      </c>
      <c r="K860" s="22"/>
      <c r="L860" s="22"/>
      <c r="M860" s="26"/>
      <c r="N860" s="22"/>
      <c r="O860" s="22" t="s">
        <v>63</v>
      </c>
      <c r="P860" s="25" t="str">
        <f aca="false">IF(OR(O860="",O860="Sin información"),"",IFERROR(INDEX(Listas!$B$2:$B$9,MATCH(O860,Listas!$A$2:$A$9,0)),""))</f>
        <v/>
      </c>
      <c r="Q860" s="25" t="str">
        <f aca="false">IF(OR(O860="",O860="Sin información"),"",IFERROR(INDEX(Listas!$C$2:$C$9,MATCH(O860,Listas!$A$2:$A$9,0)),""))</f>
        <v/>
      </c>
      <c r="R860" s="22"/>
      <c r="S860" s="22"/>
      <c r="T860" s="25" t="str">
        <f aca="false">IF(S860="","",IFERROR(INDEX(Empleadores!$B$2:$B$601,MATCH(S860,Empleadores!$A$2:$A$601,0)),"No encontrado"))</f>
        <v/>
      </c>
      <c r="U860" s="25" t="str">
        <f aca="false">IF(C860="","",IF(V860="","No",IF(Config!$C$4-V860&lt;=Config!$C$15,"Sí","No")))</f>
        <v>No</v>
      </c>
      <c r="V860" s="23"/>
      <c r="W860" s="22"/>
      <c r="X860" s="22"/>
      <c r="Y860" s="22"/>
      <c r="Z860" s="27"/>
      <c r="AA860" s="22"/>
      <c r="AB860" s="22"/>
    </row>
    <row r="861" customFormat="false" ht="15" hidden="false" customHeight="false" outlineLevel="0" collapsed="false">
      <c r="A861" s="22" t="n">
        <v>860</v>
      </c>
      <c r="B861" s="22" t="s">
        <v>3819</v>
      </c>
      <c r="C861" s="22" t="s">
        <v>3820</v>
      </c>
      <c r="D861" s="22"/>
      <c r="E861" s="22" t="s">
        <v>139</v>
      </c>
      <c r="F861" s="22" t="s">
        <v>108</v>
      </c>
      <c r="G861" s="23" t="n">
        <v>46020</v>
      </c>
      <c r="H861" s="24" t="n">
        <f aca="false">IF(G861="","",ROUND((Config!$C$4-G861)/365.25,2))</f>
        <v>0.76</v>
      </c>
      <c r="I861" s="25" t="str">
        <f aca="false">IF(H861="","",IF(H861&lt;=1,"Tramo 1",IF(H861&lt;=3,"Tramo 2",IF(H861&lt;=5,"Tramo 3","Tramo 4"))))</f>
        <v>Tramo 1</v>
      </c>
      <c r="J861" s="22" t="s">
        <v>2639</v>
      </c>
      <c r="K861" s="22"/>
      <c r="L861" s="22"/>
      <c r="M861" s="26"/>
      <c r="N861" s="22"/>
      <c r="O861" s="22" t="s">
        <v>63</v>
      </c>
      <c r="P861" s="25" t="str">
        <f aca="false">IF(OR(O861="",O861="Sin información"),"",IFERROR(INDEX(Listas!$B$2:$B$9,MATCH(O861,Listas!$A$2:$A$9,0)),""))</f>
        <v/>
      </c>
      <c r="Q861" s="25" t="str">
        <f aca="false">IF(OR(O861="",O861="Sin información"),"",IFERROR(INDEX(Listas!$C$2:$C$9,MATCH(O861,Listas!$A$2:$A$9,0)),""))</f>
        <v/>
      </c>
      <c r="R861" s="22"/>
      <c r="S861" s="22"/>
      <c r="T861" s="25" t="str">
        <f aca="false">IF(S861="","",IFERROR(INDEX(Empleadores!$B$2:$B$601,MATCH(S861,Empleadores!$A$2:$A$601,0)),"No encontrado"))</f>
        <v/>
      </c>
      <c r="U861" s="25" t="str">
        <f aca="false">IF(C861="","",IF(V861="","No",IF(Config!$C$4-V861&lt;=Config!$C$15,"Sí","No")))</f>
        <v>No</v>
      </c>
      <c r="V861" s="23"/>
      <c r="W861" s="22"/>
      <c r="X861" s="22"/>
      <c r="Y861" s="22"/>
      <c r="Z861" s="27"/>
      <c r="AA861" s="22"/>
      <c r="AB861" s="22"/>
    </row>
    <row r="862" customFormat="false" ht="15" hidden="false" customHeight="false" outlineLevel="0" collapsed="false">
      <c r="A862" s="22" t="n">
        <v>861</v>
      </c>
      <c r="B862" s="22" t="s">
        <v>3821</v>
      </c>
      <c r="C862" s="22" t="s">
        <v>3822</v>
      </c>
      <c r="D862" s="22"/>
      <c r="E862" s="22" t="s">
        <v>139</v>
      </c>
      <c r="F862" s="22" t="s">
        <v>108</v>
      </c>
      <c r="G862" s="23" t="n">
        <v>46020</v>
      </c>
      <c r="H862" s="24" t="n">
        <f aca="false">IF(G862="","",ROUND((Config!$C$4-G862)/365.25,2))</f>
        <v>0.76</v>
      </c>
      <c r="I862" s="25" t="str">
        <f aca="false">IF(H862="","",IF(H862&lt;=1,"Tramo 1",IF(H862&lt;=3,"Tramo 2",IF(H862&lt;=5,"Tramo 3","Tramo 4"))))</f>
        <v>Tramo 1</v>
      </c>
      <c r="J862" s="22" t="s">
        <v>2639</v>
      </c>
      <c r="K862" s="22"/>
      <c r="L862" s="22"/>
      <c r="M862" s="26"/>
      <c r="N862" s="22"/>
      <c r="O862" s="22" t="s">
        <v>63</v>
      </c>
      <c r="P862" s="25" t="str">
        <f aca="false">IF(OR(O862="",O862="Sin información"),"",IFERROR(INDEX(Listas!$B$2:$B$9,MATCH(O862,Listas!$A$2:$A$9,0)),""))</f>
        <v/>
      </c>
      <c r="Q862" s="25" t="str">
        <f aca="false">IF(OR(O862="",O862="Sin información"),"",IFERROR(INDEX(Listas!$C$2:$C$9,MATCH(O862,Listas!$A$2:$A$9,0)),""))</f>
        <v/>
      </c>
      <c r="R862" s="22"/>
      <c r="S862" s="22"/>
      <c r="T862" s="25" t="str">
        <f aca="false">IF(S862="","",IFERROR(INDEX(Empleadores!$B$2:$B$601,MATCH(S862,Empleadores!$A$2:$A$601,0)),"No encontrado"))</f>
        <v/>
      </c>
      <c r="U862" s="25" t="str">
        <f aca="false">IF(C862="","",IF(V862="","No",IF(Config!$C$4-V862&lt;=Config!$C$15,"Sí","No")))</f>
        <v>No</v>
      </c>
      <c r="V862" s="23"/>
      <c r="W862" s="22"/>
      <c r="X862" s="22"/>
      <c r="Y862" s="22"/>
      <c r="Z862" s="27"/>
      <c r="AA862" s="22"/>
      <c r="AB862" s="22"/>
    </row>
    <row r="863" customFormat="false" ht="15" hidden="false" customHeight="false" outlineLevel="0" collapsed="false">
      <c r="A863" s="22" t="n">
        <v>862</v>
      </c>
      <c r="B863" s="22" t="s">
        <v>3823</v>
      </c>
      <c r="C863" s="22" t="s">
        <v>3824</v>
      </c>
      <c r="D863" s="22"/>
      <c r="E863" s="22" t="s">
        <v>139</v>
      </c>
      <c r="F863" s="22" t="s">
        <v>108</v>
      </c>
      <c r="G863" s="23" t="n">
        <v>46020</v>
      </c>
      <c r="H863" s="24" t="n">
        <f aca="false">IF(G863="","",ROUND((Config!$C$4-G863)/365.25,2))</f>
        <v>0.76</v>
      </c>
      <c r="I863" s="25" t="str">
        <f aca="false">IF(H863="","",IF(H863&lt;=1,"Tramo 1",IF(H863&lt;=3,"Tramo 2",IF(H863&lt;=5,"Tramo 3","Tramo 4"))))</f>
        <v>Tramo 1</v>
      </c>
      <c r="J863" s="22" t="s">
        <v>2639</v>
      </c>
      <c r="K863" s="22"/>
      <c r="L863" s="22"/>
      <c r="M863" s="26"/>
      <c r="N863" s="22"/>
      <c r="O863" s="22" t="s">
        <v>63</v>
      </c>
      <c r="P863" s="25" t="str">
        <f aca="false">IF(OR(O863="",O863="Sin información"),"",IFERROR(INDEX(Listas!$B$2:$B$9,MATCH(O863,Listas!$A$2:$A$9,0)),""))</f>
        <v/>
      </c>
      <c r="Q863" s="25" t="str">
        <f aca="false">IF(OR(O863="",O863="Sin información"),"",IFERROR(INDEX(Listas!$C$2:$C$9,MATCH(O863,Listas!$A$2:$A$9,0)),""))</f>
        <v/>
      </c>
      <c r="R863" s="22"/>
      <c r="S863" s="22"/>
      <c r="T863" s="25" t="str">
        <f aca="false">IF(S863="","",IFERROR(INDEX(Empleadores!$B$2:$B$601,MATCH(S863,Empleadores!$A$2:$A$601,0)),"No encontrado"))</f>
        <v/>
      </c>
      <c r="U863" s="25" t="str">
        <f aca="false">IF(C863="","",IF(V863="","No",IF(Config!$C$4-V863&lt;=Config!$C$15,"Sí","No")))</f>
        <v>No</v>
      </c>
      <c r="V863" s="23"/>
      <c r="W863" s="22"/>
      <c r="X863" s="22"/>
      <c r="Y863" s="22"/>
      <c r="Z863" s="27"/>
      <c r="AA863" s="22"/>
      <c r="AB863" s="22"/>
    </row>
    <row r="864" customFormat="false" ht="15" hidden="false" customHeight="false" outlineLevel="0" collapsed="false">
      <c r="A864" s="22" t="n">
        <v>863</v>
      </c>
      <c r="B864" s="22" t="s">
        <v>3825</v>
      </c>
      <c r="C864" s="22" t="s">
        <v>3826</v>
      </c>
      <c r="D864" s="22"/>
      <c r="E864" s="22" t="s">
        <v>139</v>
      </c>
      <c r="F864" s="22" t="s">
        <v>108</v>
      </c>
      <c r="G864" s="23" t="n">
        <v>46020</v>
      </c>
      <c r="H864" s="24" t="n">
        <f aca="false">IF(G864="","",ROUND((Config!$C$4-G864)/365.25,2))</f>
        <v>0.76</v>
      </c>
      <c r="I864" s="25" t="str">
        <f aca="false">IF(H864="","",IF(H864&lt;=1,"Tramo 1",IF(H864&lt;=3,"Tramo 2",IF(H864&lt;=5,"Tramo 3","Tramo 4"))))</f>
        <v>Tramo 1</v>
      </c>
      <c r="J864" s="22" t="s">
        <v>2639</v>
      </c>
      <c r="K864" s="22"/>
      <c r="L864" s="22"/>
      <c r="M864" s="26"/>
      <c r="N864" s="22"/>
      <c r="O864" s="22" t="s">
        <v>63</v>
      </c>
      <c r="P864" s="25" t="str">
        <f aca="false">IF(OR(O864="",O864="Sin información"),"",IFERROR(INDEX(Listas!$B$2:$B$9,MATCH(O864,Listas!$A$2:$A$9,0)),""))</f>
        <v/>
      </c>
      <c r="Q864" s="25" t="str">
        <f aca="false">IF(OR(O864="",O864="Sin información"),"",IFERROR(INDEX(Listas!$C$2:$C$9,MATCH(O864,Listas!$A$2:$A$9,0)),""))</f>
        <v/>
      </c>
      <c r="R864" s="22"/>
      <c r="S864" s="22"/>
      <c r="T864" s="25" t="str">
        <f aca="false">IF(S864="","",IFERROR(INDEX(Empleadores!$B$2:$B$601,MATCH(S864,Empleadores!$A$2:$A$601,0)),"No encontrado"))</f>
        <v/>
      </c>
      <c r="U864" s="25" t="str">
        <f aca="false">IF(C864="","",IF(V864="","No",IF(Config!$C$4-V864&lt;=Config!$C$15,"Sí","No")))</f>
        <v>No</v>
      </c>
      <c r="V864" s="23"/>
      <c r="W864" s="22"/>
      <c r="X864" s="22"/>
      <c r="Y864" s="22"/>
      <c r="Z864" s="27"/>
      <c r="AA864" s="22"/>
      <c r="AB864" s="22"/>
    </row>
    <row r="865" customFormat="false" ht="15" hidden="false" customHeight="false" outlineLevel="0" collapsed="false">
      <c r="A865" s="22" t="n">
        <v>864</v>
      </c>
      <c r="B865" s="22" t="s">
        <v>3827</v>
      </c>
      <c r="C865" s="22" t="s">
        <v>3828</v>
      </c>
      <c r="D865" s="22"/>
      <c r="E865" s="22" t="s">
        <v>139</v>
      </c>
      <c r="F865" s="22" t="s">
        <v>108</v>
      </c>
      <c r="G865" s="23" t="n">
        <v>46020</v>
      </c>
      <c r="H865" s="24" t="n">
        <f aca="false">IF(G865="","",ROUND((Config!$C$4-G865)/365.25,2))</f>
        <v>0.76</v>
      </c>
      <c r="I865" s="25" t="str">
        <f aca="false">IF(H865="","",IF(H865&lt;=1,"Tramo 1",IF(H865&lt;=3,"Tramo 2",IF(H865&lt;=5,"Tramo 3","Tramo 4"))))</f>
        <v>Tramo 1</v>
      </c>
      <c r="J865" s="22" t="s">
        <v>2639</v>
      </c>
      <c r="K865" s="22"/>
      <c r="L865" s="22"/>
      <c r="M865" s="26"/>
      <c r="N865" s="22"/>
      <c r="O865" s="22" t="s">
        <v>63</v>
      </c>
      <c r="P865" s="25" t="str">
        <f aca="false">IF(OR(O865="",O865="Sin información"),"",IFERROR(INDEX(Listas!$B$2:$B$9,MATCH(O865,Listas!$A$2:$A$9,0)),""))</f>
        <v/>
      </c>
      <c r="Q865" s="25" t="str">
        <f aca="false">IF(OR(O865="",O865="Sin información"),"",IFERROR(INDEX(Listas!$C$2:$C$9,MATCH(O865,Listas!$A$2:$A$9,0)),""))</f>
        <v/>
      </c>
      <c r="R865" s="22"/>
      <c r="S865" s="22"/>
      <c r="T865" s="25" t="str">
        <f aca="false">IF(S865="","",IFERROR(INDEX(Empleadores!$B$2:$B$601,MATCH(S865,Empleadores!$A$2:$A$601,0)),"No encontrado"))</f>
        <v/>
      </c>
      <c r="U865" s="25" t="str">
        <f aca="false">IF(C865="","",IF(V865="","No",IF(Config!$C$4-V865&lt;=Config!$C$15,"Sí","No")))</f>
        <v>No</v>
      </c>
      <c r="V865" s="23"/>
      <c r="W865" s="22"/>
      <c r="X865" s="22"/>
      <c r="Y865" s="22"/>
      <c r="Z865" s="27"/>
      <c r="AA865" s="22"/>
      <c r="AB865" s="22"/>
    </row>
    <row r="866" customFormat="false" ht="15" hidden="false" customHeight="false" outlineLevel="0" collapsed="false">
      <c r="A866" s="22" t="n">
        <v>865</v>
      </c>
      <c r="B866" s="22" t="s">
        <v>3829</v>
      </c>
      <c r="C866" s="22" t="s">
        <v>3830</v>
      </c>
      <c r="D866" s="22"/>
      <c r="E866" s="22" t="s">
        <v>139</v>
      </c>
      <c r="F866" s="22" t="s">
        <v>108</v>
      </c>
      <c r="G866" s="23" t="n">
        <v>46020</v>
      </c>
      <c r="H866" s="24" t="n">
        <f aca="false">IF(G866="","",ROUND((Config!$C$4-G866)/365.25,2))</f>
        <v>0.76</v>
      </c>
      <c r="I866" s="25" t="str">
        <f aca="false">IF(H866="","",IF(H866&lt;=1,"Tramo 1",IF(H866&lt;=3,"Tramo 2",IF(H866&lt;=5,"Tramo 3","Tramo 4"))))</f>
        <v>Tramo 1</v>
      </c>
      <c r="J866" s="22" t="s">
        <v>2639</v>
      </c>
      <c r="K866" s="22"/>
      <c r="L866" s="22"/>
      <c r="M866" s="26"/>
      <c r="N866" s="22"/>
      <c r="O866" s="22" t="s">
        <v>63</v>
      </c>
      <c r="P866" s="25" t="str">
        <f aca="false">IF(OR(O866="",O866="Sin información"),"",IFERROR(INDEX(Listas!$B$2:$B$9,MATCH(O866,Listas!$A$2:$A$9,0)),""))</f>
        <v/>
      </c>
      <c r="Q866" s="25" t="str">
        <f aca="false">IF(OR(O866="",O866="Sin información"),"",IFERROR(INDEX(Listas!$C$2:$C$9,MATCH(O866,Listas!$A$2:$A$9,0)),""))</f>
        <v/>
      </c>
      <c r="R866" s="22"/>
      <c r="S866" s="22"/>
      <c r="T866" s="25" t="str">
        <f aca="false">IF(S866="","",IFERROR(INDEX(Empleadores!$B$2:$B$601,MATCH(S866,Empleadores!$A$2:$A$601,0)),"No encontrado"))</f>
        <v/>
      </c>
      <c r="U866" s="25" t="str">
        <f aca="false">IF(C866="","",IF(V866="","No",IF(Config!$C$4-V866&lt;=Config!$C$15,"Sí","No")))</f>
        <v>No</v>
      </c>
      <c r="V866" s="23"/>
      <c r="W866" s="22"/>
      <c r="X866" s="22"/>
      <c r="Y866" s="22"/>
      <c r="Z866" s="27"/>
      <c r="AA866" s="22"/>
      <c r="AB866" s="22"/>
    </row>
    <row r="867" customFormat="false" ht="15" hidden="false" customHeight="false" outlineLevel="0" collapsed="false">
      <c r="A867" s="22" t="n">
        <v>866</v>
      </c>
      <c r="B867" s="22" t="s">
        <v>3831</v>
      </c>
      <c r="C867" s="22" t="s">
        <v>3832</v>
      </c>
      <c r="D867" s="22"/>
      <c r="E867" s="22" t="s">
        <v>139</v>
      </c>
      <c r="F867" s="22" t="s">
        <v>108</v>
      </c>
      <c r="G867" s="23" t="n">
        <v>46020</v>
      </c>
      <c r="H867" s="24" t="n">
        <f aca="false">IF(G867="","",ROUND((Config!$C$4-G867)/365.25,2))</f>
        <v>0.76</v>
      </c>
      <c r="I867" s="25" t="str">
        <f aca="false">IF(H867="","",IF(H867&lt;=1,"Tramo 1",IF(H867&lt;=3,"Tramo 2",IF(H867&lt;=5,"Tramo 3","Tramo 4"))))</f>
        <v>Tramo 1</v>
      </c>
      <c r="J867" s="22" t="s">
        <v>2639</v>
      </c>
      <c r="K867" s="22"/>
      <c r="L867" s="22"/>
      <c r="M867" s="26"/>
      <c r="N867" s="22"/>
      <c r="O867" s="22" t="s">
        <v>63</v>
      </c>
      <c r="P867" s="25" t="str">
        <f aca="false">IF(OR(O867="",O867="Sin información"),"",IFERROR(INDEX(Listas!$B$2:$B$9,MATCH(O867,Listas!$A$2:$A$9,0)),""))</f>
        <v/>
      </c>
      <c r="Q867" s="25" t="str">
        <f aca="false">IF(OR(O867="",O867="Sin información"),"",IFERROR(INDEX(Listas!$C$2:$C$9,MATCH(O867,Listas!$A$2:$A$9,0)),""))</f>
        <v/>
      </c>
      <c r="R867" s="22"/>
      <c r="S867" s="22"/>
      <c r="T867" s="25" t="str">
        <f aca="false">IF(S867="","",IFERROR(INDEX(Empleadores!$B$2:$B$601,MATCH(S867,Empleadores!$A$2:$A$601,0)),"No encontrado"))</f>
        <v/>
      </c>
      <c r="U867" s="25" t="str">
        <f aca="false">IF(C867="","",IF(V867="","No",IF(Config!$C$4-V867&lt;=Config!$C$15,"Sí","No")))</f>
        <v>No</v>
      </c>
      <c r="V867" s="23"/>
      <c r="W867" s="22"/>
      <c r="X867" s="22"/>
      <c r="Y867" s="22"/>
      <c r="Z867" s="27"/>
      <c r="AA867" s="22"/>
      <c r="AB867" s="22"/>
    </row>
    <row r="868" customFormat="false" ht="15" hidden="false" customHeight="false" outlineLevel="0" collapsed="false">
      <c r="A868" s="22" t="n">
        <v>867</v>
      </c>
      <c r="B868" s="22" t="s">
        <v>3833</v>
      </c>
      <c r="C868" s="22" t="s">
        <v>3834</v>
      </c>
      <c r="D868" s="22"/>
      <c r="E868" s="22" t="s">
        <v>139</v>
      </c>
      <c r="F868" s="22" t="s">
        <v>108</v>
      </c>
      <c r="G868" s="23" t="n">
        <v>46020</v>
      </c>
      <c r="H868" s="24" t="n">
        <f aca="false">IF(G868="","",ROUND((Config!$C$4-G868)/365.25,2))</f>
        <v>0.76</v>
      </c>
      <c r="I868" s="25" t="str">
        <f aca="false">IF(H868="","",IF(H868&lt;=1,"Tramo 1",IF(H868&lt;=3,"Tramo 2",IF(H868&lt;=5,"Tramo 3","Tramo 4"))))</f>
        <v>Tramo 1</v>
      </c>
      <c r="J868" s="22" t="s">
        <v>2639</v>
      </c>
      <c r="K868" s="22"/>
      <c r="L868" s="22"/>
      <c r="M868" s="26"/>
      <c r="N868" s="22"/>
      <c r="O868" s="22" t="s">
        <v>63</v>
      </c>
      <c r="P868" s="25" t="str">
        <f aca="false">IF(OR(O868="",O868="Sin información"),"",IFERROR(INDEX(Listas!$B$2:$B$9,MATCH(O868,Listas!$A$2:$A$9,0)),""))</f>
        <v/>
      </c>
      <c r="Q868" s="25" t="str">
        <f aca="false">IF(OR(O868="",O868="Sin información"),"",IFERROR(INDEX(Listas!$C$2:$C$9,MATCH(O868,Listas!$A$2:$A$9,0)),""))</f>
        <v/>
      </c>
      <c r="R868" s="22"/>
      <c r="S868" s="22"/>
      <c r="T868" s="25" t="str">
        <f aca="false">IF(S868="","",IFERROR(INDEX(Empleadores!$B$2:$B$601,MATCH(S868,Empleadores!$A$2:$A$601,0)),"No encontrado"))</f>
        <v/>
      </c>
      <c r="U868" s="25" t="str">
        <f aca="false">IF(C868="","",IF(V868="","No",IF(Config!$C$4-V868&lt;=Config!$C$15,"Sí","No")))</f>
        <v>No</v>
      </c>
      <c r="V868" s="23"/>
      <c r="W868" s="22"/>
      <c r="X868" s="22"/>
      <c r="Y868" s="22"/>
      <c r="Z868" s="27"/>
      <c r="AA868" s="22"/>
      <c r="AB868" s="22"/>
    </row>
    <row r="869" customFormat="false" ht="15" hidden="false" customHeight="false" outlineLevel="0" collapsed="false">
      <c r="A869" s="22" t="n">
        <v>868</v>
      </c>
      <c r="B869" s="22" t="s">
        <v>3835</v>
      </c>
      <c r="C869" s="22" t="s">
        <v>3836</v>
      </c>
      <c r="D869" s="22"/>
      <c r="E869" s="22" t="s">
        <v>139</v>
      </c>
      <c r="F869" s="22" t="s">
        <v>108</v>
      </c>
      <c r="G869" s="23" t="n">
        <v>46020</v>
      </c>
      <c r="H869" s="24" t="n">
        <f aca="false">IF(G869="","",ROUND((Config!$C$4-G869)/365.25,2))</f>
        <v>0.76</v>
      </c>
      <c r="I869" s="25" t="str">
        <f aca="false">IF(H869="","",IF(H869&lt;=1,"Tramo 1",IF(H869&lt;=3,"Tramo 2",IF(H869&lt;=5,"Tramo 3","Tramo 4"))))</f>
        <v>Tramo 1</v>
      </c>
      <c r="J869" s="22" t="s">
        <v>2639</v>
      </c>
      <c r="K869" s="22"/>
      <c r="L869" s="22"/>
      <c r="M869" s="26"/>
      <c r="N869" s="22"/>
      <c r="O869" s="22" t="s">
        <v>63</v>
      </c>
      <c r="P869" s="25" t="str">
        <f aca="false">IF(OR(O869="",O869="Sin información"),"",IFERROR(INDEX(Listas!$B$2:$B$9,MATCH(O869,Listas!$A$2:$A$9,0)),""))</f>
        <v/>
      </c>
      <c r="Q869" s="25" t="str">
        <f aca="false">IF(OR(O869="",O869="Sin información"),"",IFERROR(INDEX(Listas!$C$2:$C$9,MATCH(O869,Listas!$A$2:$A$9,0)),""))</f>
        <v/>
      </c>
      <c r="R869" s="22"/>
      <c r="S869" s="22"/>
      <c r="T869" s="25" t="str">
        <f aca="false">IF(S869="","",IFERROR(INDEX(Empleadores!$B$2:$B$601,MATCH(S869,Empleadores!$A$2:$A$601,0)),"No encontrado"))</f>
        <v/>
      </c>
      <c r="U869" s="25" t="str">
        <f aca="false">IF(C869="","",IF(V869="","No",IF(Config!$C$4-V869&lt;=Config!$C$15,"Sí","No")))</f>
        <v>No</v>
      </c>
      <c r="V869" s="23"/>
      <c r="W869" s="22"/>
      <c r="X869" s="22"/>
      <c r="Y869" s="22"/>
      <c r="Z869" s="27"/>
      <c r="AA869" s="22" t="s">
        <v>3837</v>
      </c>
      <c r="AB869" s="22" t="s">
        <v>1691</v>
      </c>
    </row>
    <row r="870" customFormat="false" ht="15" hidden="false" customHeight="false" outlineLevel="0" collapsed="false">
      <c r="A870" s="22" t="n">
        <v>869</v>
      </c>
      <c r="B870" s="22" t="s">
        <v>3838</v>
      </c>
      <c r="C870" s="22" t="s">
        <v>3839</v>
      </c>
      <c r="D870" s="22"/>
      <c r="E870" s="22" t="s">
        <v>139</v>
      </c>
      <c r="F870" s="22" t="s">
        <v>108</v>
      </c>
      <c r="G870" s="23" t="n">
        <v>46020</v>
      </c>
      <c r="H870" s="24" t="n">
        <f aca="false">IF(G870="","",ROUND((Config!$C$4-G870)/365.25,2))</f>
        <v>0.76</v>
      </c>
      <c r="I870" s="25" t="str">
        <f aca="false">IF(H870="","",IF(H870&lt;=1,"Tramo 1",IF(H870&lt;=3,"Tramo 2",IF(H870&lt;=5,"Tramo 3","Tramo 4"))))</f>
        <v>Tramo 1</v>
      </c>
      <c r="J870" s="22" t="s">
        <v>2639</v>
      </c>
      <c r="K870" s="22"/>
      <c r="L870" s="22"/>
      <c r="M870" s="26"/>
      <c r="N870" s="22"/>
      <c r="O870" s="22" t="s">
        <v>63</v>
      </c>
      <c r="P870" s="25" t="str">
        <f aca="false">IF(OR(O870="",O870="Sin información"),"",IFERROR(INDEX(Listas!$B$2:$B$9,MATCH(O870,Listas!$A$2:$A$9,0)),""))</f>
        <v/>
      </c>
      <c r="Q870" s="25" t="str">
        <f aca="false">IF(OR(O870="",O870="Sin información"),"",IFERROR(INDEX(Listas!$C$2:$C$9,MATCH(O870,Listas!$A$2:$A$9,0)),""))</f>
        <v/>
      </c>
      <c r="R870" s="22"/>
      <c r="S870" s="22"/>
      <c r="T870" s="25" t="str">
        <f aca="false">IF(S870="","",IFERROR(INDEX(Empleadores!$B$2:$B$601,MATCH(S870,Empleadores!$A$2:$A$601,0)),"No encontrado"))</f>
        <v/>
      </c>
      <c r="U870" s="25" t="str">
        <f aca="false">IF(C870="","",IF(V870="","No",IF(Config!$C$4-V870&lt;=Config!$C$15,"Sí","No")))</f>
        <v>No</v>
      </c>
      <c r="V870" s="23"/>
      <c r="W870" s="22"/>
      <c r="X870" s="22"/>
      <c r="Y870" s="22"/>
      <c r="Z870" s="27"/>
      <c r="AA870" s="22"/>
      <c r="AB870" s="22"/>
    </row>
    <row r="871" customFormat="false" ht="15" hidden="false" customHeight="false" outlineLevel="0" collapsed="false">
      <c r="A871" s="22" t="n">
        <v>870</v>
      </c>
      <c r="B871" s="22" t="s">
        <v>3840</v>
      </c>
      <c r="C871" s="22" t="s">
        <v>3841</v>
      </c>
      <c r="D871" s="22"/>
      <c r="E871" s="22" t="s">
        <v>139</v>
      </c>
      <c r="F871" s="22" t="s">
        <v>108</v>
      </c>
      <c r="G871" s="23" t="n">
        <v>46020</v>
      </c>
      <c r="H871" s="24" t="n">
        <f aca="false">IF(G871="","",ROUND((Config!$C$4-G871)/365.25,2))</f>
        <v>0.76</v>
      </c>
      <c r="I871" s="25" t="str">
        <f aca="false">IF(H871="","",IF(H871&lt;=1,"Tramo 1",IF(H871&lt;=3,"Tramo 2",IF(H871&lt;=5,"Tramo 3","Tramo 4"))))</f>
        <v>Tramo 1</v>
      </c>
      <c r="J871" s="22" t="s">
        <v>2639</v>
      </c>
      <c r="K871" s="22"/>
      <c r="L871" s="22"/>
      <c r="M871" s="26"/>
      <c r="N871" s="22"/>
      <c r="O871" s="22" t="s">
        <v>63</v>
      </c>
      <c r="P871" s="25" t="str">
        <f aca="false">IF(OR(O871="",O871="Sin información"),"",IFERROR(INDEX(Listas!$B$2:$B$9,MATCH(O871,Listas!$A$2:$A$9,0)),""))</f>
        <v/>
      </c>
      <c r="Q871" s="25" t="str">
        <f aca="false">IF(OR(O871="",O871="Sin información"),"",IFERROR(INDEX(Listas!$C$2:$C$9,MATCH(O871,Listas!$A$2:$A$9,0)),""))</f>
        <v/>
      </c>
      <c r="R871" s="22"/>
      <c r="S871" s="22"/>
      <c r="T871" s="25" t="str">
        <f aca="false">IF(S871="","",IFERROR(INDEX(Empleadores!$B$2:$B$601,MATCH(S871,Empleadores!$A$2:$A$601,0)),"No encontrado"))</f>
        <v/>
      </c>
      <c r="U871" s="25" t="str">
        <f aca="false">IF(C871="","",IF(V871="","No",IF(Config!$C$4-V871&lt;=Config!$C$15,"Sí","No")))</f>
        <v>No</v>
      </c>
      <c r="V871" s="23"/>
      <c r="W871" s="22"/>
      <c r="X871" s="22"/>
      <c r="Y871" s="22"/>
      <c r="Z871" s="27"/>
      <c r="AA871" s="22" t="s">
        <v>3842</v>
      </c>
      <c r="AB871" s="22" t="s">
        <v>1691</v>
      </c>
    </row>
    <row r="872" customFormat="false" ht="15" hidden="false" customHeight="false" outlineLevel="0" collapsed="false">
      <c r="A872" s="22" t="n">
        <v>871</v>
      </c>
      <c r="B872" s="22" t="s">
        <v>3843</v>
      </c>
      <c r="C872" s="22" t="s">
        <v>3844</v>
      </c>
      <c r="D872" s="22"/>
      <c r="E872" s="22" t="s">
        <v>139</v>
      </c>
      <c r="F872" s="22" t="s">
        <v>108</v>
      </c>
      <c r="G872" s="23" t="n">
        <v>46020</v>
      </c>
      <c r="H872" s="24" t="n">
        <f aca="false">IF(G872="","",ROUND((Config!$C$4-G872)/365.25,2))</f>
        <v>0.76</v>
      </c>
      <c r="I872" s="25" t="str">
        <f aca="false">IF(H872="","",IF(H872&lt;=1,"Tramo 1",IF(H872&lt;=3,"Tramo 2",IF(H872&lt;=5,"Tramo 3","Tramo 4"))))</f>
        <v>Tramo 1</v>
      </c>
      <c r="J872" s="22" t="s">
        <v>2639</v>
      </c>
      <c r="K872" s="22"/>
      <c r="L872" s="22"/>
      <c r="M872" s="26"/>
      <c r="N872" s="22"/>
      <c r="O872" s="22" t="s">
        <v>63</v>
      </c>
      <c r="P872" s="25" t="str">
        <f aca="false">IF(OR(O872="",O872="Sin información"),"",IFERROR(INDEX(Listas!$B$2:$B$9,MATCH(O872,Listas!$A$2:$A$9,0)),""))</f>
        <v/>
      </c>
      <c r="Q872" s="25" t="str">
        <f aca="false">IF(OR(O872="",O872="Sin información"),"",IFERROR(INDEX(Listas!$C$2:$C$9,MATCH(O872,Listas!$A$2:$A$9,0)),""))</f>
        <v/>
      </c>
      <c r="R872" s="22"/>
      <c r="S872" s="22"/>
      <c r="T872" s="25" t="str">
        <f aca="false">IF(S872="","",IFERROR(INDEX(Empleadores!$B$2:$B$601,MATCH(S872,Empleadores!$A$2:$A$601,0)),"No encontrado"))</f>
        <v/>
      </c>
      <c r="U872" s="25" t="str">
        <f aca="false">IF(C872="","",IF(V872="","No",IF(Config!$C$4-V872&lt;=Config!$C$15,"Sí","No")))</f>
        <v>No</v>
      </c>
      <c r="V872" s="23"/>
      <c r="W872" s="22"/>
      <c r="X872" s="22"/>
      <c r="Y872" s="22"/>
      <c r="Z872" s="27"/>
      <c r="AA872" s="22"/>
      <c r="AB872" s="22"/>
    </row>
    <row r="873" customFormat="false" ht="15" hidden="false" customHeight="false" outlineLevel="0" collapsed="false">
      <c r="A873" s="22" t="n">
        <v>872</v>
      </c>
      <c r="B873" s="22" t="s">
        <v>3845</v>
      </c>
      <c r="C873" s="22" t="s">
        <v>3846</v>
      </c>
      <c r="D873" s="22"/>
      <c r="E873" s="22" t="s">
        <v>139</v>
      </c>
      <c r="F873" s="22" t="s">
        <v>108</v>
      </c>
      <c r="G873" s="23" t="n">
        <v>46020</v>
      </c>
      <c r="H873" s="24" t="n">
        <f aca="false">IF(G873="","",ROUND((Config!$C$4-G873)/365.25,2))</f>
        <v>0.76</v>
      </c>
      <c r="I873" s="25" t="str">
        <f aca="false">IF(H873="","",IF(H873&lt;=1,"Tramo 1",IF(H873&lt;=3,"Tramo 2",IF(H873&lt;=5,"Tramo 3","Tramo 4"))))</f>
        <v>Tramo 1</v>
      </c>
      <c r="J873" s="22" t="s">
        <v>2639</v>
      </c>
      <c r="K873" s="22"/>
      <c r="L873" s="22"/>
      <c r="M873" s="26"/>
      <c r="N873" s="22"/>
      <c r="O873" s="22" t="s">
        <v>63</v>
      </c>
      <c r="P873" s="25" t="str">
        <f aca="false">IF(OR(O873="",O873="Sin información"),"",IFERROR(INDEX(Listas!$B$2:$B$9,MATCH(O873,Listas!$A$2:$A$9,0)),""))</f>
        <v/>
      </c>
      <c r="Q873" s="25" t="str">
        <f aca="false">IF(OR(O873="",O873="Sin información"),"",IFERROR(INDEX(Listas!$C$2:$C$9,MATCH(O873,Listas!$A$2:$A$9,0)),""))</f>
        <v/>
      </c>
      <c r="R873" s="22"/>
      <c r="S873" s="22"/>
      <c r="T873" s="25" t="str">
        <f aca="false">IF(S873="","",IFERROR(INDEX(Empleadores!$B$2:$B$601,MATCH(S873,Empleadores!$A$2:$A$601,0)),"No encontrado"))</f>
        <v/>
      </c>
      <c r="U873" s="25" t="str">
        <f aca="false">IF(C873="","",IF(V873="","No",IF(Config!$C$4-V873&lt;=Config!$C$15,"Sí","No")))</f>
        <v>No</v>
      </c>
      <c r="V873" s="23"/>
      <c r="W873" s="22"/>
      <c r="X873" s="22"/>
      <c r="Y873" s="22"/>
      <c r="Z873" s="27"/>
      <c r="AA873" s="22" t="s">
        <v>3847</v>
      </c>
      <c r="AB873" s="22" t="s">
        <v>1691</v>
      </c>
    </row>
    <row r="874" customFormat="false" ht="15" hidden="false" customHeight="false" outlineLevel="0" collapsed="false">
      <c r="A874" s="22" t="n">
        <v>873</v>
      </c>
      <c r="B874" s="22" t="s">
        <v>3848</v>
      </c>
      <c r="C874" s="22" t="s">
        <v>3849</v>
      </c>
      <c r="D874" s="22"/>
      <c r="E874" s="22" t="s">
        <v>139</v>
      </c>
      <c r="F874" s="22" t="s">
        <v>108</v>
      </c>
      <c r="G874" s="23" t="n">
        <v>46020</v>
      </c>
      <c r="H874" s="24" t="n">
        <f aca="false">IF(G874="","",ROUND((Config!$C$4-G874)/365.25,2))</f>
        <v>0.76</v>
      </c>
      <c r="I874" s="25" t="str">
        <f aca="false">IF(H874="","",IF(H874&lt;=1,"Tramo 1",IF(H874&lt;=3,"Tramo 2",IF(H874&lt;=5,"Tramo 3","Tramo 4"))))</f>
        <v>Tramo 1</v>
      </c>
      <c r="J874" s="22" t="s">
        <v>2639</v>
      </c>
      <c r="K874" s="22"/>
      <c r="L874" s="22"/>
      <c r="M874" s="26"/>
      <c r="N874" s="22"/>
      <c r="O874" s="22" t="s">
        <v>63</v>
      </c>
      <c r="P874" s="25" t="str">
        <f aca="false">IF(OR(O874="",O874="Sin información"),"",IFERROR(INDEX(Listas!$B$2:$B$9,MATCH(O874,Listas!$A$2:$A$9,0)),""))</f>
        <v/>
      </c>
      <c r="Q874" s="25" t="str">
        <f aca="false">IF(OR(O874="",O874="Sin información"),"",IFERROR(INDEX(Listas!$C$2:$C$9,MATCH(O874,Listas!$A$2:$A$9,0)),""))</f>
        <v/>
      </c>
      <c r="R874" s="22"/>
      <c r="S874" s="22"/>
      <c r="T874" s="25" t="str">
        <f aca="false">IF(S874="","",IFERROR(INDEX(Empleadores!$B$2:$B$601,MATCH(S874,Empleadores!$A$2:$A$601,0)),"No encontrado"))</f>
        <v/>
      </c>
      <c r="U874" s="25" t="str">
        <f aca="false">IF(C874="","",IF(V874="","No",IF(Config!$C$4-V874&lt;=Config!$C$15,"Sí","No")))</f>
        <v>No</v>
      </c>
      <c r="V874" s="23"/>
      <c r="W874" s="22"/>
      <c r="X874" s="22"/>
      <c r="Y874" s="22"/>
      <c r="Z874" s="27"/>
      <c r="AA874" s="22"/>
      <c r="AB874" s="22"/>
    </row>
    <row r="875" customFormat="false" ht="15" hidden="false" customHeight="false" outlineLevel="0" collapsed="false">
      <c r="A875" s="22" t="n">
        <v>874</v>
      </c>
      <c r="B875" s="22" t="s">
        <v>3850</v>
      </c>
      <c r="C875" s="22" t="s">
        <v>3851</v>
      </c>
      <c r="D875" s="22"/>
      <c r="E875" s="22" t="s">
        <v>139</v>
      </c>
      <c r="F875" s="22" t="s">
        <v>108</v>
      </c>
      <c r="G875" s="23" t="n">
        <v>46020</v>
      </c>
      <c r="H875" s="24" t="n">
        <f aca="false">IF(G875="","",ROUND((Config!$C$4-G875)/365.25,2))</f>
        <v>0.76</v>
      </c>
      <c r="I875" s="25" t="str">
        <f aca="false">IF(H875="","",IF(H875&lt;=1,"Tramo 1",IF(H875&lt;=3,"Tramo 2",IF(H875&lt;=5,"Tramo 3","Tramo 4"))))</f>
        <v>Tramo 1</v>
      </c>
      <c r="J875" s="22" t="s">
        <v>2639</v>
      </c>
      <c r="K875" s="22"/>
      <c r="L875" s="22"/>
      <c r="M875" s="26"/>
      <c r="N875" s="22"/>
      <c r="O875" s="22" t="s">
        <v>63</v>
      </c>
      <c r="P875" s="25" t="str">
        <f aca="false">IF(OR(O875="",O875="Sin información"),"",IFERROR(INDEX(Listas!$B$2:$B$9,MATCH(O875,Listas!$A$2:$A$9,0)),""))</f>
        <v/>
      </c>
      <c r="Q875" s="25" t="str">
        <f aca="false">IF(OR(O875="",O875="Sin información"),"",IFERROR(INDEX(Listas!$C$2:$C$9,MATCH(O875,Listas!$A$2:$A$9,0)),""))</f>
        <v/>
      </c>
      <c r="R875" s="22"/>
      <c r="S875" s="22"/>
      <c r="T875" s="25" t="str">
        <f aca="false">IF(S875="","",IFERROR(INDEX(Empleadores!$B$2:$B$601,MATCH(S875,Empleadores!$A$2:$A$601,0)),"No encontrado"))</f>
        <v/>
      </c>
      <c r="U875" s="25" t="str">
        <f aca="false">IF(C875="","",IF(V875="","No",IF(Config!$C$4-V875&lt;=Config!$C$15,"Sí","No")))</f>
        <v>No</v>
      </c>
      <c r="V875" s="23"/>
      <c r="W875" s="22"/>
      <c r="X875" s="22"/>
      <c r="Y875" s="22"/>
      <c r="Z875" s="27"/>
      <c r="AA875" s="22" t="s">
        <v>3272</v>
      </c>
      <c r="AB875" s="22" t="s">
        <v>1691</v>
      </c>
    </row>
    <row r="876" customFormat="false" ht="15" hidden="false" customHeight="false" outlineLevel="0" collapsed="false">
      <c r="A876" s="22" t="n">
        <v>875</v>
      </c>
      <c r="B876" s="22" t="s">
        <v>3852</v>
      </c>
      <c r="C876" s="22" t="s">
        <v>3853</v>
      </c>
      <c r="D876" s="22"/>
      <c r="E876" s="22" t="s">
        <v>139</v>
      </c>
      <c r="F876" s="22" t="s">
        <v>108</v>
      </c>
      <c r="G876" s="23" t="n">
        <v>46020</v>
      </c>
      <c r="H876" s="24" t="n">
        <f aca="false">IF(G876="","",ROUND((Config!$C$4-G876)/365.25,2))</f>
        <v>0.76</v>
      </c>
      <c r="I876" s="25" t="str">
        <f aca="false">IF(H876="","",IF(H876&lt;=1,"Tramo 1",IF(H876&lt;=3,"Tramo 2",IF(H876&lt;=5,"Tramo 3","Tramo 4"))))</f>
        <v>Tramo 1</v>
      </c>
      <c r="J876" s="22" t="s">
        <v>2639</v>
      </c>
      <c r="K876" s="22"/>
      <c r="L876" s="22"/>
      <c r="M876" s="26"/>
      <c r="N876" s="22"/>
      <c r="O876" s="22" t="s">
        <v>63</v>
      </c>
      <c r="P876" s="25" t="str">
        <f aca="false">IF(OR(O876="",O876="Sin información"),"",IFERROR(INDEX(Listas!$B$2:$B$9,MATCH(O876,Listas!$A$2:$A$9,0)),""))</f>
        <v/>
      </c>
      <c r="Q876" s="25" t="str">
        <f aca="false">IF(OR(O876="",O876="Sin información"),"",IFERROR(INDEX(Listas!$C$2:$C$9,MATCH(O876,Listas!$A$2:$A$9,0)),""))</f>
        <v/>
      </c>
      <c r="R876" s="22"/>
      <c r="S876" s="22"/>
      <c r="T876" s="25" t="str">
        <f aca="false">IF(S876="","",IFERROR(INDEX(Empleadores!$B$2:$B$601,MATCH(S876,Empleadores!$A$2:$A$601,0)),"No encontrado"))</f>
        <v/>
      </c>
      <c r="U876" s="25" t="str">
        <f aca="false">IF(C876="","",IF(V876="","No",IF(Config!$C$4-V876&lt;=Config!$C$15,"Sí","No")))</f>
        <v>No</v>
      </c>
      <c r="V876" s="23"/>
      <c r="W876" s="22"/>
      <c r="X876" s="22"/>
      <c r="Y876" s="22"/>
      <c r="Z876" s="27"/>
      <c r="AA876" s="22" t="s">
        <v>3854</v>
      </c>
      <c r="AB876" s="22" t="s">
        <v>1691</v>
      </c>
    </row>
    <row r="877" customFormat="false" ht="15" hidden="false" customHeight="false" outlineLevel="0" collapsed="false">
      <c r="A877" s="22" t="n">
        <v>876</v>
      </c>
      <c r="B877" s="22" t="s">
        <v>3855</v>
      </c>
      <c r="C877" s="22" t="s">
        <v>3856</v>
      </c>
      <c r="D877" s="22"/>
      <c r="E877" s="22" t="s">
        <v>139</v>
      </c>
      <c r="F877" s="22" t="s">
        <v>108</v>
      </c>
      <c r="G877" s="23" t="n">
        <v>46020</v>
      </c>
      <c r="H877" s="24" t="n">
        <f aca="false">IF(G877="","",ROUND((Config!$C$4-G877)/365.25,2))</f>
        <v>0.76</v>
      </c>
      <c r="I877" s="25" t="str">
        <f aca="false">IF(H877="","",IF(H877&lt;=1,"Tramo 1",IF(H877&lt;=3,"Tramo 2",IF(H877&lt;=5,"Tramo 3","Tramo 4"))))</f>
        <v>Tramo 1</v>
      </c>
      <c r="J877" s="22" t="s">
        <v>2639</v>
      </c>
      <c r="K877" s="22"/>
      <c r="L877" s="22"/>
      <c r="M877" s="26"/>
      <c r="N877" s="22"/>
      <c r="O877" s="22" t="s">
        <v>63</v>
      </c>
      <c r="P877" s="25" t="str">
        <f aca="false">IF(OR(O877="",O877="Sin información"),"",IFERROR(INDEX(Listas!$B$2:$B$9,MATCH(O877,Listas!$A$2:$A$9,0)),""))</f>
        <v/>
      </c>
      <c r="Q877" s="25" t="str">
        <f aca="false">IF(OR(O877="",O877="Sin información"),"",IFERROR(INDEX(Listas!$C$2:$C$9,MATCH(O877,Listas!$A$2:$A$9,0)),""))</f>
        <v/>
      </c>
      <c r="R877" s="22"/>
      <c r="S877" s="22"/>
      <c r="T877" s="25" t="str">
        <f aca="false">IF(S877="","",IFERROR(INDEX(Empleadores!$B$2:$B$601,MATCH(S877,Empleadores!$A$2:$A$601,0)),"No encontrado"))</f>
        <v/>
      </c>
      <c r="U877" s="25" t="str">
        <f aca="false">IF(C877="","",IF(V877="","No",IF(Config!$C$4-V877&lt;=Config!$C$15,"Sí","No")))</f>
        <v>No</v>
      </c>
      <c r="V877" s="23"/>
      <c r="W877" s="22"/>
      <c r="X877" s="22"/>
      <c r="Y877" s="22"/>
      <c r="Z877" s="27"/>
      <c r="AA877" s="22"/>
      <c r="AB877" s="22"/>
    </row>
    <row r="878" customFormat="false" ht="15" hidden="false" customHeight="false" outlineLevel="0" collapsed="false">
      <c r="A878" s="22" t="n">
        <v>877</v>
      </c>
      <c r="B878" s="22" t="s">
        <v>3857</v>
      </c>
      <c r="C878" s="22" t="s">
        <v>3858</v>
      </c>
      <c r="D878" s="22"/>
      <c r="E878" s="22" t="s">
        <v>139</v>
      </c>
      <c r="F878" s="22" t="s">
        <v>108</v>
      </c>
      <c r="G878" s="23" t="n">
        <v>46020</v>
      </c>
      <c r="H878" s="24" t="n">
        <f aca="false">IF(G878="","",ROUND((Config!$C$4-G878)/365.25,2))</f>
        <v>0.76</v>
      </c>
      <c r="I878" s="25" t="str">
        <f aca="false">IF(H878="","",IF(H878&lt;=1,"Tramo 1",IF(H878&lt;=3,"Tramo 2",IF(H878&lt;=5,"Tramo 3","Tramo 4"))))</f>
        <v>Tramo 1</v>
      </c>
      <c r="J878" s="22" t="s">
        <v>2639</v>
      </c>
      <c r="K878" s="22"/>
      <c r="L878" s="22"/>
      <c r="M878" s="26"/>
      <c r="N878" s="22"/>
      <c r="O878" s="22" t="s">
        <v>63</v>
      </c>
      <c r="P878" s="25" t="str">
        <f aca="false">IF(OR(O878="",O878="Sin información"),"",IFERROR(INDEX(Listas!$B$2:$B$9,MATCH(O878,Listas!$A$2:$A$9,0)),""))</f>
        <v/>
      </c>
      <c r="Q878" s="25" t="str">
        <f aca="false">IF(OR(O878="",O878="Sin información"),"",IFERROR(INDEX(Listas!$C$2:$C$9,MATCH(O878,Listas!$A$2:$A$9,0)),""))</f>
        <v/>
      </c>
      <c r="R878" s="22"/>
      <c r="S878" s="22"/>
      <c r="T878" s="25" t="str">
        <f aca="false">IF(S878="","",IFERROR(INDEX(Empleadores!$B$2:$B$601,MATCH(S878,Empleadores!$A$2:$A$601,0)),"No encontrado"))</f>
        <v/>
      </c>
      <c r="U878" s="25" t="str">
        <f aca="false">IF(C878="","",IF(V878="","No",IF(Config!$C$4-V878&lt;=Config!$C$15,"Sí","No")))</f>
        <v>No</v>
      </c>
      <c r="V878" s="23"/>
      <c r="W878" s="22"/>
      <c r="X878" s="22"/>
      <c r="Y878" s="22"/>
      <c r="Z878" s="27"/>
      <c r="AA878" s="22"/>
      <c r="AB878" s="22"/>
    </row>
    <row r="879" customFormat="false" ht="15" hidden="false" customHeight="false" outlineLevel="0" collapsed="false">
      <c r="A879" s="22" t="n">
        <v>878</v>
      </c>
      <c r="B879" s="22" t="s">
        <v>3859</v>
      </c>
      <c r="C879" s="22" t="s">
        <v>3860</v>
      </c>
      <c r="D879" s="22"/>
      <c r="E879" s="22" t="s">
        <v>139</v>
      </c>
      <c r="F879" s="22" t="s">
        <v>108</v>
      </c>
      <c r="G879" s="23" t="n">
        <v>46020</v>
      </c>
      <c r="H879" s="24" t="n">
        <f aca="false">IF(G879="","",ROUND((Config!$C$4-G879)/365.25,2))</f>
        <v>0.76</v>
      </c>
      <c r="I879" s="25" t="str">
        <f aca="false">IF(H879="","",IF(H879&lt;=1,"Tramo 1",IF(H879&lt;=3,"Tramo 2",IF(H879&lt;=5,"Tramo 3","Tramo 4"))))</f>
        <v>Tramo 1</v>
      </c>
      <c r="J879" s="22" t="s">
        <v>2639</v>
      </c>
      <c r="K879" s="22"/>
      <c r="L879" s="22"/>
      <c r="M879" s="26"/>
      <c r="N879" s="22"/>
      <c r="O879" s="22" t="s">
        <v>63</v>
      </c>
      <c r="P879" s="25" t="str">
        <f aca="false">IF(OR(O879="",O879="Sin información"),"",IFERROR(INDEX(Listas!$B$2:$B$9,MATCH(O879,Listas!$A$2:$A$9,0)),""))</f>
        <v/>
      </c>
      <c r="Q879" s="25" t="str">
        <f aca="false">IF(OR(O879="",O879="Sin información"),"",IFERROR(INDEX(Listas!$C$2:$C$9,MATCH(O879,Listas!$A$2:$A$9,0)),""))</f>
        <v/>
      </c>
      <c r="R879" s="22"/>
      <c r="S879" s="22"/>
      <c r="T879" s="25" t="str">
        <f aca="false">IF(S879="","",IFERROR(INDEX(Empleadores!$B$2:$B$601,MATCH(S879,Empleadores!$A$2:$A$601,0)),"No encontrado"))</f>
        <v/>
      </c>
      <c r="U879" s="25" t="str">
        <f aca="false">IF(C879="","",IF(V879="","No",IF(Config!$C$4-V879&lt;=Config!$C$15,"Sí","No")))</f>
        <v>No</v>
      </c>
      <c r="V879" s="23"/>
      <c r="W879" s="22"/>
      <c r="X879" s="22"/>
      <c r="Y879" s="22"/>
      <c r="Z879" s="27"/>
      <c r="AA879" s="22"/>
      <c r="AB879" s="22"/>
    </row>
    <row r="880" customFormat="false" ht="15" hidden="false" customHeight="false" outlineLevel="0" collapsed="false">
      <c r="A880" s="22" t="n">
        <v>879</v>
      </c>
      <c r="B880" s="22" t="s">
        <v>3861</v>
      </c>
      <c r="C880" s="22" t="s">
        <v>3862</v>
      </c>
      <c r="D880" s="22"/>
      <c r="E880" s="22" t="s">
        <v>139</v>
      </c>
      <c r="F880" s="22" t="s">
        <v>108</v>
      </c>
      <c r="G880" s="23" t="n">
        <v>46020</v>
      </c>
      <c r="H880" s="24" t="n">
        <f aca="false">IF(G880="","",ROUND((Config!$C$4-G880)/365.25,2))</f>
        <v>0.76</v>
      </c>
      <c r="I880" s="25" t="str">
        <f aca="false">IF(H880="","",IF(H880&lt;=1,"Tramo 1",IF(H880&lt;=3,"Tramo 2",IF(H880&lt;=5,"Tramo 3","Tramo 4"))))</f>
        <v>Tramo 1</v>
      </c>
      <c r="J880" s="22" t="s">
        <v>2639</v>
      </c>
      <c r="K880" s="22"/>
      <c r="L880" s="22"/>
      <c r="M880" s="26"/>
      <c r="N880" s="22"/>
      <c r="O880" s="22" t="s">
        <v>63</v>
      </c>
      <c r="P880" s="25" t="str">
        <f aca="false">IF(OR(O880="",O880="Sin información"),"",IFERROR(INDEX(Listas!$B$2:$B$9,MATCH(O880,Listas!$A$2:$A$9,0)),""))</f>
        <v/>
      </c>
      <c r="Q880" s="25" t="str">
        <f aca="false">IF(OR(O880="",O880="Sin información"),"",IFERROR(INDEX(Listas!$C$2:$C$9,MATCH(O880,Listas!$A$2:$A$9,0)),""))</f>
        <v/>
      </c>
      <c r="R880" s="22"/>
      <c r="S880" s="22"/>
      <c r="T880" s="25" t="str">
        <f aca="false">IF(S880="","",IFERROR(INDEX(Empleadores!$B$2:$B$601,MATCH(S880,Empleadores!$A$2:$A$601,0)),"No encontrado"))</f>
        <v/>
      </c>
      <c r="U880" s="25" t="str">
        <f aca="false">IF(C880="","",IF(V880="","No",IF(Config!$C$4-V880&lt;=Config!$C$15,"Sí","No")))</f>
        <v>No</v>
      </c>
      <c r="V880" s="23"/>
      <c r="W880" s="22"/>
      <c r="X880" s="22"/>
      <c r="Y880" s="22"/>
      <c r="Z880" s="27"/>
      <c r="AA880" s="22"/>
      <c r="AB880" s="22"/>
    </row>
    <row r="881" customFormat="false" ht="15" hidden="false" customHeight="false" outlineLevel="0" collapsed="false">
      <c r="A881" s="22" t="n">
        <v>880</v>
      </c>
      <c r="B881" s="22" t="s">
        <v>3863</v>
      </c>
      <c r="C881" s="22" t="s">
        <v>3864</v>
      </c>
      <c r="D881" s="22"/>
      <c r="E881" s="22" t="s">
        <v>139</v>
      </c>
      <c r="F881" s="22" t="s">
        <v>108</v>
      </c>
      <c r="G881" s="23" t="n">
        <v>46020</v>
      </c>
      <c r="H881" s="24" t="n">
        <f aca="false">IF(G881="","",ROUND((Config!$C$4-G881)/365.25,2))</f>
        <v>0.76</v>
      </c>
      <c r="I881" s="25" t="str">
        <f aca="false">IF(H881="","",IF(H881&lt;=1,"Tramo 1",IF(H881&lt;=3,"Tramo 2",IF(H881&lt;=5,"Tramo 3","Tramo 4"))))</f>
        <v>Tramo 1</v>
      </c>
      <c r="J881" s="22" t="s">
        <v>2639</v>
      </c>
      <c r="K881" s="22"/>
      <c r="L881" s="22"/>
      <c r="M881" s="26"/>
      <c r="N881" s="22"/>
      <c r="O881" s="22" t="s">
        <v>63</v>
      </c>
      <c r="P881" s="25" t="str">
        <f aca="false">IF(OR(O881="",O881="Sin información"),"",IFERROR(INDEX(Listas!$B$2:$B$9,MATCH(O881,Listas!$A$2:$A$9,0)),""))</f>
        <v/>
      </c>
      <c r="Q881" s="25" t="str">
        <f aca="false">IF(OR(O881="",O881="Sin información"),"",IFERROR(INDEX(Listas!$C$2:$C$9,MATCH(O881,Listas!$A$2:$A$9,0)),""))</f>
        <v/>
      </c>
      <c r="R881" s="22"/>
      <c r="S881" s="22"/>
      <c r="T881" s="25" t="str">
        <f aca="false">IF(S881="","",IFERROR(INDEX(Empleadores!$B$2:$B$601,MATCH(S881,Empleadores!$A$2:$A$601,0)),"No encontrado"))</f>
        <v/>
      </c>
      <c r="U881" s="25" t="str">
        <f aca="false">IF(C881="","",IF(V881="","No",IF(Config!$C$4-V881&lt;=Config!$C$15,"Sí","No")))</f>
        <v>No</v>
      </c>
      <c r="V881" s="23"/>
      <c r="W881" s="22"/>
      <c r="X881" s="22"/>
      <c r="Y881" s="22"/>
      <c r="Z881" s="27"/>
      <c r="AA881" s="22"/>
      <c r="AB881" s="22"/>
    </row>
    <row r="882" customFormat="false" ht="15" hidden="false" customHeight="false" outlineLevel="0" collapsed="false">
      <c r="A882" s="22" t="n">
        <v>881</v>
      </c>
      <c r="B882" s="22" t="s">
        <v>3865</v>
      </c>
      <c r="C882" s="22" t="s">
        <v>3866</v>
      </c>
      <c r="D882" s="22"/>
      <c r="E882" s="22" t="s">
        <v>139</v>
      </c>
      <c r="F882" s="22" t="s">
        <v>108</v>
      </c>
      <c r="G882" s="23" t="n">
        <v>46020</v>
      </c>
      <c r="H882" s="24" t="n">
        <f aca="false">IF(G882="","",ROUND((Config!$C$4-G882)/365.25,2))</f>
        <v>0.76</v>
      </c>
      <c r="I882" s="25" t="str">
        <f aca="false">IF(H882="","",IF(H882&lt;=1,"Tramo 1",IF(H882&lt;=3,"Tramo 2",IF(H882&lt;=5,"Tramo 3","Tramo 4"))))</f>
        <v>Tramo 1</v>
      </c>
      <c r="J882" s="22" t="s">
        <v>2639</v>
      </c>
      <c r="K882" s="22"/>
      <c r="L882" s="22"/>
      <c r="M882" s="26"/>
      <c r="N882" s="22"/>
      <c r="O882" s="22" t="s">
        <v>63</v>
      </c>
      <c r="P882" s="25" t="str">
        <f aca="false">IF(OR(O882="",O882="Sin información"),"",IFERROR(INDEX(Listas!$B$2:$B$9,MATCH(O882,Listas!$A$2:$A$9,0)),""))</f>
        <v/>
      </c>
      <c r="Q882" s="25" t="str">
        <f aca="false">IF(OR(O882="",O882="Sin información"),"",IFERROR(INDEX(Listas!$C$2:$C$9,MATCH(O882,Listas!$A$2:$A$9,0)),""))</f>
        <v/>
      </c>
      <c r="R882" s="22"/>
      <c r="S882" s="22"/>
      <c r="T882" s="25" t="str">
        <f aca="false">IF(S882="","",IFERROR(INDEX(Empleadores!$B$2:$B$601,MATCH(S882,Empleadores!$A$2:$A$601,0)),"No encontrado"))</f>
        <v/>
      </c>
      <c r="U882" s="25" t="str">
        <f aca="false">IF(C882="","",IF(V882="","No",IF(Config!$C$4-V882&lt;=Config!$C$15,"Sí","No")))</f>
        <v>No</v>
      </c>
      <c r="V882" s="23"/>
      <c r="W882" s="22"/>
      <c r="X882" s="22"/>
      <c r="Y882" s="22"/>
      <c r="Z882" s="27"/>
      <c r="AA882" s="22" t="s">
        <v>3867</v>
      </c>
      <c r="AB882" s="22" t="s">
        <v>1691</v>
      </c>
    </row>
    <row r="883" customFormat="false" ht="15" hidden="false" customHeight="false" outlineLevel="0" collapsed="false">
      <c r="A883" s="22" t="n">
        <v>882</v>
      </c>
      <c r="B883" s="22" t="s">
        <v>3868</v>
      </c>
      <c r="C883" s="22" t="s">
        <v>3869</v>
      </c>
      <c r="D883" s="22"/>
      <c r="E883" s="22" t="s">
        <v>139</v>
      </c>
      <c r="F883" s="22" t="s">
        <v>108</v>
      </c>
      <c r="G883" s="23" t="n">
        <v>46020</v>
      </c>
      <c r="H883" s="24" t="n">
        <f aca="false">IF(G883="","",ROUND((Config!$C$4-G883)/365.25,2))</f>
        <v>0.76</v>
      </c>
      <c r="I883" s="25" t="str">
        <f aca="false">IF(H883="","",IF(H883&lt;=1,"Tramo 1",IF(H883&lt;=3,"Tramo 2",IF(H883&lt;=5,"Tramo 3","Tramo 4"))))</f>
        <v>Tramo 1</v>
      </c>
      <c r="J883" s="22" t="s">
        <v>2639</v>
      </c>
      <c r="K883" s="22"/>
      <c r="L883" s="22"/>
      <c r="M883" s="26"/>
      <c r="N883" s="22"/>
      <c r="O883" s="22" t="s">
        <v>63</v>
      </c>
      <c r="P883" s="25" t="str">
        <f aca="false">IF(OR(O883="",O883="Sin información"),"",IFERROR(INDEX(Listas!$B$2:$B$9,MATCH(O883,Listas!$A$2:$A$9,0)),""))</f>
        <v/>
      </c>
      <c r="Q883" s="25" t="str">
        <f aca="false">IF(OR(O883="",O883="Sin información"),"",IFERROR(INDEX(Listas!$C$2:$C$9,MATCH(O883,Listas!$A$2:$A$9,0)),""))</f>
        <v/>
      </c>
      <c r="R883" s="22"/>
      <c r="S883" s="22"/>
      <c r="T883" s="25" t="str">
        <f aca="false">IF(S883="","",IFERROR(INDEX(Empleadores!$B$2:$B$601,MATCH(S883,Empleadores!$A$2:$A$601,0)),"No encontrado"))</f>
        <v/>
      </c>
      <c r="U883" s="25" t="str">
        <f aca="false">IF(C883="","",IF(V883="","No",IF(Config!$C$4-V883&lt;=Config!$C$15,"Sí","No")))</f>
        <v>No</v>
      </c>
      <c r="V883" s="23"/>
      <c r="W883" s="22"/>
      <c r="X883" s="22"/>
      <c r="Y883" s="22"/>
      <c r="Z883" s="27"/>
      <c r="AA883" s="22"/>
      <c r="AB883" s="22"/>
    </row>
    <row r="884" customFormat="false" ht="15" hidden="false" customHeight="false" outlineLevel="0" collapsed="false">
      <c r="A884" s="22" t="n">
        <v>883</v>
      </c>
      <c r="B884" s="22" t="s">
        <v>3870</v>
      </c>
      <c r="C884" s="22" t="s">
        <v>3871</v>
      </c>
      <c r="D884" s="22"/>
      <c r="E884" s="22" t="s">
        <v>139</v>
      </c>
      <c r="F884" s="22" t="s">
        <v>108</v>
      </c>
      <c r="G884" s="23" t="n">
        <v>46020</v>
      </c>
      <c r="H884" s="24" t="n">
        <f aca="false">IF(G884="","",ROUND((Config!$C$4-G884)/365.25,2))</f>
        <v>0.76</v>
      </c>
      <c r="I884" s="25" t="str">
        <f aca="false">IF(H884="","",IF(H884&lt;=1,"Tramo 1",IF(H884&lt;=3,"Tramo 2",IF(H884&lt;=5,"Tramo 3","Tramo 4"))))</f>
        <v>Tramo 1</v>
      </c>
      <c r="J884" s="22" t="s">
        <v>2639</v>
      </c>
      <c r="K884" s="22"/>
      <c r="L884" s="22"/>
      <c r="M884" s="26"/>
      <c r="N884" s="22"/>
      <c r="O884" s="22" t="s">
        <v>63</v>
      </c>
      <c r="P884" s="25" t="str">
        <f aca="false">IF(OR(O884="",O884="Sin información"),"",IFERROR(INDEX(Listas!$B$2:$B$9,MATCH(O884,Listas!$A$2:$A$9,0)),""))</f>
        <v/>
      </c>
      <c r="Q884" s="25" t="str">
        <f aca="false">IF(OR(O884="",O884="Sin información"),"",IFERROR(INDEX(Listas!$C$2:$C$9,MATCH(O884,Listas!$A$2:$A$9,0)),""))</f>
        <v/>
      </c>
      <c r="R884" s="22"/>
      <c r="S884" s="22"/>
      <c r="T884" s="25" t="str">
        <f aca="false">IF(S884="","",IFERROR(INDEX(Empleadores!$B$2:$B$601,MATCH(S884,Empleadores!$A$2:$A$601,0)),"No encontrado"))</f>
        <v/>
      </c>
      <c r="U884" s="25" t="str">
        <f aca="false">IF(C884="","",IF(V884="","No",IF(Config!$C$4-V884&lt;=Config!$C$15,"Sí","No")))</f>
        <v>No</v>
      </c>
      <c r="V884" s="23"/>
      <c r="W884" s="22"/>
      <c r="X884" s="22"/>
      <c r="Y884" s="22"/>
      <c r="Z884" s="27"/>
      <c r="AA884" s="22" t="s">
        <v>3872</v>
      </c>
      <c r="AB884" s="22" t="s">
        <v>1691</v>
      </c>
    </row>
    <row r="885" customFormat="false" ht="15" hidden="false" customHeight="false" outlineLevel="0" collapsed="false">
      <c r="A885" s="22" t="n">
        <v>884</v>
      </c>
      <c r="B885" s="22" t="s">
        <v>3873</v>
      </c>
      <c r="C885" s="22" t="s">
        <v>3874</v>
      </c>
      <c r="D885" s="22"/>
      <c r="E885" s="22" t="s">
        <v>139</v>
      </c>
      <c r="F885" s="22" t="s">
        <v>108</v>
      </c>
      <c r="G885" s="23" t="n">
        <v>46020</v>
      </c>
      <c r="H885" s="24" t="n">
        <f aca="false">IF(G885="","",ROUND((Config!$C$4-G885)/365.25,2))</f>
        <v>0.76</v>
      </c>
      <c r="I885" s="25" t="str">
        <f aca="false">IF(H885="","",IF(H885&lt;=1,"Tramo 1",IF(H885&lt;=3,"Tramo 2",IF(H885&lt;=5,"Tramo 3","Tramo 4"))))</f>
        <v>Tramo 1</v>
      </c>
      <c r="J885" s="22" t="s">
        <v>2639</v>
      </c>
      <c r="K885" s="22"/>
      <c r="L885" s="22"/>
      <c r="M885" s="26"/>
      <c r="N885" s="22"/>
      <c r="O885" s="22" t="s">
        <v>63</v>
      </c>
      <c r="P885" s="25" t="str">
        <f aca="false">IF(OR(O885="",O885="Sin información"),"",IFERROR(INDEX(Listas!$B$2:$B$9,MATCH(O885,Listas!$A$2:$A$9,0)),""))</f>
        <v/>
      </c>
      <c r="Q885" s="25" t="str">
        <f aca="false">IF(OR(O885="",O885="Sin información"),"",IFERROR(INDEX(Listas!$C$2:$C$9,MATCH(O885,Listas!$A$2:$A$9,0)),""))</f>
        <v/>
      </c>
      <c r="R885" s="22"/>
      <c r="S885" s="22"/>
      <c r="T885" s="25" t="str">
        <f aca="false">IF(S885="","",IFERROR(INDEX(Empleadores!$B$2:$B$601,MATCH(S885,Empleadores!$A$2:$A$601,0)),"No encontrado"))</f>
        <v/>
      </c>
      <c r="U885" s="25" t="str">
        <f aca="false">IF(C885="","",IF(V885="","No",IF(Config!$C$4-V885&lt;=Config!$C$15,"Sí","No")))</f>
        <v>No</v>
      </c>
      <c r="V885" s="23"/>
      <c r="W885" s="22"/>
      <c r="X885" s="22"/>
      <c r="Y885" s="22"/>
      <c r="Z885" s="27"/>
      <c r="AA885" s="22"/>
      <c r="AB885" s="22"/>
    </row>
    <row r="886" customFormat="false" ht="15" hidden="false" customHeight="false" outlineLevel="0" collapsed="false">
      <c r="A886" s="22" t="n">
        <v>885</v>
      </c>
      <c r="B886" s="22" t="s">
        <v>3875</v>
      </c>
      <c r="C886" s="22" t="s">
        <v>3876</v>
      </c>
      <c r="D886" s="22"/>
      <c r="E886" s="22" t="s">
        <v>139</v>
      </c>
      <c r="F886" s="22" t="s">
        <v>108</v>
      </c>
      <c r="G886" s="23" t="n">
        <v>46020</v>
      </c>
      <c r="H886" s="24" t="n">
        <f aca="false">IF(G886="","",ROUND((Config!$C$4-G886)/365.25,2))</f>
        <v>0.76</v>
      </c>
      <c r="I886" s="25" t="str">
        <f aca="false">IF(H886="","",IF(H886&lt;=1,"Tramo 1",IF(H886&lt;=3,"Tramo 2",IF(H886&lt;=5,"Tramo 3","Tramo 4"))))</f>
        <v>Tramo 1</v>
      </c>
      <c r="J886" s="22" t="s">
        <v>2639</v>
      </c>
      <c r="K886" s="22"/>
      <c r="L886" s="22"/>
      <c r="M886" s="26"/>
      <c r="N886" s="22"/>
      <c r="O886" s="22" t="s">
        <v>63</v>
      </c>
      <c r="P886" s="25" t="str">
        <f aca="false">IF(OR(O886="",O886="Sin información"),"",IFERROR(INDEX(Listas!$B$2:$B$9,MATCH(O886,Listas!$A$2:$A$9,0)),""))</f>
        <v/>
      </c>
      <c r="Q886" s="25" t="str">
        <f aca="false">IF(OR(O886="",O886="Sin información"),"",IFERROR(INDEX(Listas!$C$2:$C$9,MATCH(O886,Listas!$A$2:$A$9,0)),""))</f>
        <v/>
      </c>
      <c r="R886" s="22"/>
      <c r="S886" s="22"/>
      <c r="T886" s="25" t="str">
        <f aca="false">IF(S886="","",IFERROR(INDEX(Empleadores!$B$2:$B$601,MATCH(S886,Empleadores!$A$2:$A$601,0)),"No encontrado"))</f>
        <v/>
      </c>
      <c r="U886" s="25" t="str">
        <f aca="false">IF(C886="","",IF(V886="","No",IF(Config!$C$4-V886&lt;=Config!$C$15,"Sí","No")))</f>
        <v>No</v>
      </c>
      <c r="V886" s="23"/>
      <c r="W886" s="22"/>
      <c r="X886" s="22"/>
      <c r="Y886" s="22"/>
      <c r="Z886" s="27"/>
      <c r="AA886" s="22"/>
      <c r="AB886" s="22"/>
    </row>
    <row r="887" customFormat="false" ht="15" hidden="false" customHeight="false" outlineLevel="0" collapsed="false">
      <c r="A887" s="22" t="n">
        <v>886</v>
      </c>
      <c r="B887" s="22" t="s">
        <v>3877</v>
      </c>
      <c r="C887" s="22" t="s">
        <v>3878</v>
      </c>
      <c r="D887" s="22"/>
      <c r="E887" s="22" t="s">
        <v>139</v>
      </c>
      <c r="F887" s="22" t="s">
        <v>108</v>
      </c>
      <c r="G887" s="23" t="n">
        <v>46020</v>
      </c>
      <c r="H887" s="24" t="n">
        <f aca="false">IF(G887="","",ROUND((Config!$C$4-G887)/365.25,2))</f>
        <v>0.76</v>
      </c>
      <c r="I887" s="25" t="str">
        <f aca="false">IF(H887="","",IF(H887&lt;=1,"Tramo 1",IF(H887&lt;=3,"Tramo 2",IF(H887&lt;=5,"Tramo 3","Tramo 4"))))</f>
        <v>Tramo 1</v>
      </c>
      <c r="J887" s="22" t="s">
        <v>2639</v>
      </c>
      <c r="K887" s="22"/>
      <c r="L887" s="22"/>
      <c r="M887" s="26"/>
      <c r="N887" s="22"/>
      <c r="O887" s="22" t="s">
        <v>63</v>
      </c>
      <c r="P887" s="25" t="str">
        <f aca="false">IF(OR(O887="",O887="Sin información"),"",IFERROR(INDEX(Listas!$B$2:$B$9,MATCH(O887,Listas!$A$2:$A$9,0)),""))</f>
        <v/>
      </c>
      <c r="Q887" s="25" t="str">
        <f aca="false">IF(OR(O887="",O887="Sin información"),"",IFERROR(INDEX(Listas!$C$2:$C$9,MATCH(O887,Listas!$A$2:$A$9,0)),""))</f>
        <v/>
      </c>
      <c r="R887" s="22"/>
      <c r="S887" s="22"/>
      <c r="T887" s="25" t="str">
        <f aca="false">IF(S887="","",IFERROR(INDEX(Empleadores!$B$2:$B$601,MATCH(S887,Empleadores!$A$2:$A$601,0)),"No encontrado"))</f>
        <v/>
      </c>
      <c r="U887" s="25" t="str">
        <f aca="false">IF(C887="","",IF(V887="","No",IF(Config!$C$4-V887&lt;=Config!$C$15,"Sí","No")))</f>
        <v>No</v>
      </c>
      <c r="V887" s="23"/>
      <c r="W887" s="22"/>
      <c r="X887" s="22"/>
      <c r="Y887" s="22"/>
      <c r="Z887" s="27"/>
      <c r="AA887" s="22"/>
      <c r="AB887" s="22"/>
    </row>
    <row r="888" customFormat="false" ht="15" hidden="false" customHeight="false" outlineLevel="0" collapsed="false">
      <c r="A888" s="22" t="n">
        <v>887</v>
      </c>
      <c r="B888" s="22" t="s">
        <v>3879</v>
      </c>
      <c r="C888" s="22" t="s">
        <v>3880</v>
      </c>
      <c r="D888" s="22"/>
      <c r="E888" s="22" t="s">
        <v>139</v>
      </c>
      <c r="F888" s="22" t="s">
        <v>108</v>
      </c>
      <c r="G888" s="23" t="n">
        <v>46020</v>
      </c>
      <c r="H888" s="24" t="n">
        <f aca="false">IF(G888="","",ROUND((Config!$C$4-G888)/365.25,2))</f>
        <v>0.76</v>
      </c>
      <c r="I888" s="25" t="str">
        <f aca="false">IF(H888="","",IF(H888&lt;=1,"Tramo 1",IF(H888&lt;=3,"Tramo 2",IF(H888&lt;=5,"Tramo 3","Tramo 4"))))</f>
        <v>Tramo 1</v>
      </c>
      <c r="J888" s="22" t="s">
        <v>2639</v>
      </c>
      <c r="K888" s="22"/>
      <c r="L888" s="22"/>
      <c r="M888" s="26"/>
      <c r="N888" s="22"/>
      <c r="O888" s="22" t="s">
        <v>63</v>
      </c>
      <c r="P888" s="25" t="str">
        <f aca="false">IF(OR(O888="",O888="Sin información"),"",IFERROR(INDEX(Listas!$B$2:$B$9,MATCH(O888,Listas!$A$2:$A$9,0)),""))</f>
        <v/>
      </c>
      <c r="Q888" s="25" t="str">
        <f aca="false">IF(OR(O888="",O888="Sin información"),"",IFERROR(INDEX(Listas!$C$2:$C$9,MATCH(O888,Listas!$A$2:$A$9,0)),""))</f>
        <v/>
      </c>
      <c r="R888" s="22"/>
      <c r="S888" s="22"/>
      <c r="T888" s="25" t="str">
        <f aca="false">IF(S888="","",IFERROR(INDEX(Empleadores!$B$2:$B$601,MATCH(S888,Empleadores!$A$2:$A$601,0)),"No encontrado"))</f>
        <v/>
      </c>
      <c r="U888" s="25" t="str">
        <f aca="false">IF(C888="","",IF(V888="","No",IF(Config!$C$4-V888&lt;=Config!$C$15,"Sí","No")))</f>
        <v>No</v>
      </c>
      <c r="V888" s="23"/>
      <c r="W888" s="22"/>
      <c r="X888" s="22"/>
      <c r="Y888" s="22"/>
      <c r="Z888" s="27"/>
      <c r="AA888" s="22" t="s">
        <v>3881</v>
      </c>
      <c r="AB888" s="22" t="s">
        <v>1691</v>
      </c>
    </row>
    <row r="889" customFormat="false" ht="15" hidden="false" customHeight="false" outlineLevel="0" collapsed="false">
      <c r="A889" s="22" t="n">
        <v>888</v>
      </c>
      <c r="B889" s="22" t="s">
        <v>3882</v>
      </c>
      <c r="C889" s="22" t="s">
        <v>3883</v>
      </c>
      <c r="D889" s="22"/>
      <c r="E889" s="22" t="s">
        <v>139</v>
      </c>
      <c r="F889" s="22" t="s">
        <v>108</v>
      </c>
      <c r="G889" s="23" t="n">
        <v>46020</v>
      </c>
      <c r="H889" s="24" t="n">
        <f aca="false">IF(G889="","",ROUND((Config!$C$4-G889)/365.25,2))</f>
        <v>0.76</v>
      </c>
      <c r="I889" s="25" t="str">
        <f aca="false">IF(H889="","",IF(H889&lt;=1,"Tramo 1",IF(H889&lt;=3,"Tramo 2",IF(H889&lt;=5,"Tramo 3","Tramo 4"))))</f>
        <v>Tramo 1</v>
      </c>
      <c r="J889" s="22" t="s">
        <v>2639</v>
      </c>
      <c r="K889" s="22"/>
      <c r="L889" s="22"/>
      <c r="M889" s="26"/>
      <c r="N889" s="22"/>
      <c r="O889" s="22" t="s">
        <v>63</v>
      </c>
      <c r="P889" s="25" t="str">
        <f aca="false">IF(OR(O889="",O889="Sin información"),"",IFERROR(INDEX(Listas!$B$2:$B$9,MATCH(O889,Listas!$A$2:$A$9,0)),""))</f>
        <v/>
      </c>
      <c r="Q889" s="25" t="str">
        <f aca="false">IF(OR(O889="",O889="Sin información"),"",IFERROR(INDEX(Listas!$C$2:$C$9,MATCH(O889,Listas!$A$2:$A$9,0)),""))</f>
        <v/>
      </c>
      <c r="R889" s="22"/>
      <c r="S889" s="22"/>
      <c r="T889" s="25" t="str">
        <f aca="false">IF(S889="","",IFERROR(INDEX(Empleadores!$B$2:$B$601,MATCH(S889,Empleadores!$A$2:$A$601,0)),"No encontrado"))</f>
        <v/>
      </c>
      <c r="U889" s="25" t="str">
        <f aca="false">IF(C889="","",IF(V889="","No",IF(Config!$C$4-V889&lt;=Config!$C$15,"Sí","No")))</f>
        <v>No</v>
      </c>
      <c r="V889" s="23"/>
      <c r="W889" s="22"/>
      <c r="X889" s="22"/>
      <c r="Y889" s="22"/>
      <c r="Z889" s="27"/>
      <c r="AA889" s="22"/>
      <c r="AB889" s="22"/>
    </row>
    <row r="890" customFormat="false" ht="15" hidden="false" customHeight="false" outlineLevel="0" collapsed="false">
      <c r="A890" s="22" t="n">
        <v>889</v>
      </c>
      <c r="B890" s="22" t="s">
        <v>3884</v>
      </c>
      <c r="C890" s="22" t="s">
        <v>3885</v>
      </c>
      <c r="D890" s="22"/>
      <c r="E890" s="22" t="s">
        <v>139</v>
      </c>
      <c r="F890" s="22" t="s">
        <v>108</v>
      </c>
      <c r="G890" s="23" t="n">
        <v>46020</v>
      </c>
      <c r="H890" s="24" t="n">
        <f aca="false">IF(G890="","",ROUND((Config!$C$4-G890)/365.25,2))</f>
        <v>0.76</v>
      </c>
      <c r="I890" s="25" t="str">
        <f aca="false">IF(H890="","",IF(H890&lt;=1,"Tramo 1",IF(H890&lt;=3,"Tramo 2",IF(H890&lt;=5,"Tramo 3","Tramo 4"))))</f>
        <v>Tramo 1</v>
      </c>
      <c r="J890" s="22" t="s">
        <v>2639</v>
      </c>
      <c r="K890" s="22"/>
      <c r="L890" s="22"/>
      <c r="M890" s="26"/>
      <c r="N890" s="22"/>
      <c r="O890" s="22" t="s">
        <v>63</v>
      </c>
      <c r="P890" s="25" t="str">
        <f aca="false">IF(OR(O890="",O890="Sin información"),"",IFERROR(INDEX(Listas!$B$2:$B$9,MATCH(O890,Listas!$A$2:$A$9,0)),""))</f>
        <v/>
      </c>
      <c r="Q890" s="25" t="str">
        <f aca="false">IF(OR(O890="",O890="Sin información"),"",IFERROR(INDEX(Listas!$C$2:$C$9,MATCH(O890,Listas!$A$2:$A$9,0)),""))</f>
        <v/>
      </c>
      <c r="R890" s="22"/>
      <c r="S890" s="22"/>
      <c r="T890" s="25" t="str">
        <f aca="false">IF(S890="","",IFERROR(INDEX(Empleadores!$B$2:$B$601,MATCH(S890,Empleadores!$A$2:$A$601,0)),"No encontrado"))</f>
        <v/>
      </c>
      <c r="U890" s="25" t="str">
        <f aca="false">IF(C890="","",IF(V890="","No",IF(Config!$C$4-V890&lt;=Config!$C$15,"Sí","No")))</f>
        <v>No</v>
      </c>
      <c r="V890" s="23"/>
      <c r="W890" s="22"/>
      <c r="X890" s="22"/>
      <c r="Y890" s="22"/>
      <c r="Z890" s="27"/>
      <c r="AA890" s="22"/>
      <c r="AB890" s="22"/>
    </row>
    <row r="891" customFormat="false" ht="15" hidden="false" customHeight="false" outlineLevel="0" collapsed="false">
      <c r="A891" s="22" t="n">
        <v>890</v>
      </c>
      <c r="B891" s="22" t="s">
        <v>3886</v>
      </c>
      <c r="C891" s="22" t="s">
        <v>3887</v>
      </c>
      <c r="D891" s="22"/>
      <c r="E891" s="22" t="s">
        <v>139</v>
      </c>
      <c r="F891" s="22" t="s">
        <v>108</v>
      </c>
      <c r="G891" s="23" t="n">
        <v>46020</v>
      </c>
      <c r="H891" s="24" t="n">
        <f aca="false">IF(G891="","",ROUND((Config!$C$4-G891)/365.25,2))</f>
        <v>0.76</v>
      </c>
      <c r="I891" s="25" t="str">
        <f aca="false">IF(H891="","",IF(H891&lt;=1,"Tramo 1",IF(H891&lt;=3,"Tramo 2",IF(H891&lt;=5,"Tramo 3","Tramo 4"))))</f>
        <v>Tramo 1</v>
      </c>
      <c r="J891" s="22" t="s">
        <v>2639</v>
      </c>
      <c r="K891" s="22"/>
      <c r="L891" s="22"/>
      <c r="M891" s="26"/>
      <c r="N891" s="22"/>
      <c r="O891" s="22" t="s">
        <v>63</v>
      </c>
      <c r="P891" s="25" t="str">
        <f aca="false">IF(OR(O891="",O891="Sin información"),"",IFERROR(INDEX(Listas!$B$2:$B$9,MATCH(O891,Listas!$A$2:$A$9,0)),""))</f>
        <v/>
      </c>
      <c r="Q891" s="25" t="str">
        <f aca="false">IF(OR(O891="",O891="Sin información"),"",IFERROR(INDEX(Listas!$C$2:$C$9,MATCH(O891,Listas!$A$2:$A$9,0)),""))</f>
        <v/>
      </c>
      <c r="R891" s="22"/>
      <c r="S891" s="22"/>
      <c r="T891" s="25" t="str">
        <f aca="false">IF(S891="","",IFERROR(INDEX(Empleadores!$B$2:$B$601,MATCH(S891,Empleadores!$A$2:$A$601,0)),"No encontrado"))</f>
        <v/>
      </c>
      <c r="U891" s="25" t="str">
        <f aca="false">IF(C891="","",IF(V891="","No",IF(Config!$C$4-V891&lt;=Config!$C$15,"Sí","No")))</f>
        <v>No</v>
      </c>
      <c r="V891" s="23"/>
      <c r="W891" s="22"/>
      <c r="X891" s="22"/>
      <c r="Y891" s="22"/>
      <c r="Z891" s="27"/>
      <c r="AA891" s="22" t="s">
        <v>3888</v>
      </c>
      <c r="AB891" s="22" t="s">
        <v>1691</v>
      </c>
    </row>
    <row r="892" customFormat="false" ht="15" hidden="false" customHeight="false" outlineLevel="0" collapsed="false">
      <c r="A892" s="22" t="n">
        <v>891</v>
      </c>
      <c r="B892" s="22" t="s">
        <v>3889</v>
      </c>
      <c r="C892" s="22" t="s">
        <v>3890</v>
      </c>
      <c r="D892" s="22"/>
      <c r="E892" s="22" t="s">
        <v>139</v>
      </c>
      <c r="F892" s="22" t="s">
        <v>108</v>
      </c>
      <c r="G892" s="23" t="n">
        <v>46020</v>
      </c>
      <c r="H892" s="24" t="n">
        <f aca="false">IF(G892="","",ROUND((Config!$C$4-G892)/365.25,2))</f>
        <v>0.76</v>
      </c>
      <c r="I892" s="25" t="str">
        <f aca="false">IF(H892="","",IF(H892&lt;=1,"Tramo 1",IF(H892&lt;=3,"Tramo 2",IF(H892&lt;=5,"Tramo 3","Tramo 4"))))</f>
        <v>Tramo 1</v>
      </c>
      <c r="J892" s="22" t="s">
        <v>2639</v>
      </c>
      <c r="K892" s="22"/>
      <c r="L892" s="22"/>
      <c r="M892" s="26"/>
      <c r="N892" s="22"/>
      <c r="O892" s="22" t="s">
        <v>63</v>
      </c>
      <c r="P892" s="25" t="str">
        <f aca="false">IF(OR(O892="",O892="Sin información"),"",IFERROR(INDEX(Listas!$B$2:$B$9,MATCH(O892,Listas!$A$2:$A$9,0)),""))</f>
        <v/>
      </c>
      <c r="Q892" s="25" t="str">
        <f aca="false">IF(OR(O892="",O892="Sin información"),"",IFERROR(INDEX(Listas!$C$2:$C$9,MATCH(O892,Listas!$A$2:$A$9,0)),""))</f>
        <v/>
      </c>
      <c r="R892" s="22"/>
      <c r="S892" s="22"/>
      <c r="T892" s="25" t="str">
        <f aca="false">IF(S892="","",IFERROR(INDEX(Empleadores!$B$2:$B$601,MATCH(S892,Empleadores!$A$2:$A$601,0)),"No encontrado"))</f>
        <v/>
      </c>
      <c r="U892" s="25" t="str">
        <f aca="false">IF(C892="","",IF(V892="","No",IF(Config!$C$4-V892&lt;=Config!$C$15,"Sí","No")))</f>
        <v>No</v>
      </c>
      <c r="V892" s="23"/>
      <c r="W892" s="22"/>
      <c r="X892" s="22"/>
      <c r="Y892" s="22"/>
      <c r="Z892" s="27"/>
      <c r="AA892" s="22" t="s">
        <v>3891</v>
      </c>
      <c r="AB892" s="22" t="s">
        <v>1691</v>
      </c>
    </row>
    <row r="893" customFormat="false" ht="15" hidden="false" customHeight="false" outlineLevel="0" collapsed="false">
      <c r="A893" s="22" t="n">
        <v>892</v>
      </c>
      <c r="B893" s="22" t="s">
        <v>3892</v>
      </c>
      <c r="C893" s="22" t="s">
        <v>3893</v>
      </c>
      <c r="D893" s="22"/>
      <c r="E893" s="22" t="s">
        <v>139</v>
      </c>
      <c r="F893" s="22" t="s">
        <v>108</v>
      </c>
      <c r="G893" s="23" t="n">
        <v>46020</v>
      </c>
      <c r="H893" s="24" t="n">
        <f aca="false">IF(G893="","",ROUND((Config!$C$4-G893)/365.25,2))</f>
        <v>0.76</v>
      </c>
      <c r="I893" s="25" t="str">
        <f aca="false">IF(H893="","",IF(H893&lt;=1,"Tramo 1",IF(H893&lt;=3,"Tramo 2",IF(H893&lt;=5,"Tramo 3","Tramo 4"))))</f>
        <v>Tramo 1</v>
      </c>
      <c r="J893" s="22" t="s">
        <v>2639</v>
      </c>
      <c r="K893" s="22"/>
      <c r="L893" s="22"/>
      <c r="M893" s="26"/>
      <c r="N893" s="22"/>
      <c r="O893" s="22" t="s">
        <v>63</v>
      </c>
      <c r="P893" s="25" t="str">
        <f aca="false">IF(OR(O893="",O893="Sin información"),"",IFERROR(INDEX(Listas!$B$2:$B$9,MATCH(O893,Listas!$A$2:$A$9,0)),""))</f>
        <v/>
      </c>
      <c r="Q893" s="25" t="str">
        <f aca="false">IF(OR(O893="",O893="Sin información"),"",IFERROR(INDEX(Listas!$C$2:$C$9,MATCH(O893,Listas!$A$2:$A$9,0)),""))</f>
        <v/>
      </c>
      <c r="R893" s="22"/>
      <c r="S893" s="22"/>
      <c r="T893" s="25" t="str">
        <f aca="false">IF(S893="","",IFERROR(INDEX(Empleadores!$B$2:$B$601,MATCH(S893,Empleadores!$A$2:$A$601,0)),"No encontrado"))</f>
        <v/>
      </c>
      <c r="U893" s="25" t="str">
        <f aca="false">IF(C893="","",IF(V893="","No",IF(Config!$C$4-V893&lt;=Config!$C$15,"Sí","No")))</f>
        <v>No</v>
      </c>
      <c r="V893" s="23"/>
      <c r="W893" s="22"/>
      <c r="X893" s="22"/>
      <c r="Y893" s="22"/>
      <c r="Z893" s="27"/>
      <c r="AA893" s="22" t="s">
        <v>3894</v>
      </c>
      <c r="AB893" s="22" t="s">
        <v>1691</v>
      </c>
    </row>
    <row r="894" customFormat="false" ht="15" hidden="false" customHeight="false" outlineLevel="0" collapsed="false">
      <c r="A894" s="22" t="n">
        <v>893</v>
      </c>
      <c r="B894" s="22" t="s">
        <v>3895</v>
      </c>
      <c r="C894" s="22" t="s">
        <v>3896</v>
      </c>
      <c r="D894" s="22"/>
      <c r="E894" s="22" t="s">
        <v>139</v>
      </c>
      <c r="F894" s="22" t="s">
        <v>108</v>
      </c>
      <c r="G894" s="23" t="n">
        <v>46020</v>
      </c>
      <c r="H894" s="24" t="n">
        <f aca="false">IF(G894="","",ROUND((Config!$C$4-G894)/365.25,2))</f>
        <v>0.76</v>
      </c>
      <c r="I894" s="25" t="str">
        <f aca="false">IF(H894="","",IF(H894&lt;=1,"Tramo 1",IF(H894&lt;=3,"Tramo 2",IF(H894&lt;=5,"Tramo 3","Tramo 4"))))</f>
        <v>Tramo 1</v>
      </c>
      <c r="J894" s="22" t="s">
        <v>2639</v>
      </c>
      <c r="K894" s="22"/>
      <c r="L894" s="22"/>
      <c r="M894" s="26"/>
      <c r="N894" s="22"/>
      <c r="O894" s="22" t="s">
        <v>63</v>
      </c>
      <c r="P894" s="25" t="str">
        <f aca="false">IF(OR(O894="",O894="Sin información"),"",IFERROR(INDEX(Listas!$B$2:$B$9,MATCH(O894,Listas!$A$2:$A$9,0)),""))</f>
        <v/>
      </c>
      <c r="Q894" s="25" t="str">
        <f aca="false">IF(OR(O894="",O894="Sin información"),"",IFERROR(INDEX(Listas!$C$2:$C$9,MATCH(O894,Listas!$A$2:$A$9,0)),""))</f>
        <v/>
      </c>
      <c r="R894" s="22"/>
      <c r="S894" s="22"/>
      <c r="T894" s="25" t="str">
        <f aca="false">IF(S894="","",IFERROR(INDEX(Empleadores!$B$2:$B$601,MATCH(S894,Empleadores!$A$2:$A$601,0)),"No encontrado"))</f>
        <v/>
      </c>
      <c r="U894" s="25" t="str">
        <f aca="false">IF(C894="","",IF(V894="","No",IF(Config!$C$4-V894&lt;=Config!$C$15,"Sí","No")))</f>
        <v>No</v>
      </c>
      <c r="V894" s="23"/>
      <c r="W894" s="22"/>
      <c r="X894" s="22"/>
      <c r="Y894" s="22"/>
      <c r="Z894" s="27"/>
      <c r="AA894" s="22"/>
      <c r="AB894" s="22"/>
    </row>
    <row r="895" customFormat="false" ht="15" hidden="false" customHeight="false" outlineLevel="0" collapsed="false">
      <c r="A895" s="22" t="n">
        <v>894</v>
      </c>
      <c r="B895" s="22" t="s">
        <v>3897</v>
      </c>
      <c r="C895" s="22" t="s">
        <v>3898</v>
      </c>
      <c r="D895" s="22"/>
      <c r="E895" s="22" t="s">
        <v>139</v>
      </c>
      <c r="F895" s="22" t="s">
        <v>108</v>
      </c>
      <c r="G895" s="23" t="n">
        <v>46020</v>
      </c>
      <c r="H895" s="24" t="n">
        <f aca="false">IF(G895="","",ROUND((Config!$C$4-G895)/365.25,2))</f>
        <v>0.76</v>
      </c>
      <c r="I895" s="25" t="str">
        <f aca="false">IF(H895="","",IF(H895&lt;=1,"Tramo 1",IF(H895&lt;=3,"Tramo 2",IF(H895&lt;=5,"Tramo 3","Tramo 4"))))</f>
        <v>Tramo 1</v>
      </c>
      <c r="J895" s="22" t="s">
        <v>2639</v>
      </c>
      <c r="K895" s="22"/>
      <c r="L895" s="22"/>
      <c r="M895" s="26"/>
      <c r="N895" s="22"/>
      <c r="O895" s="22" t="s">
        <v>63</v>
      </c>
      <c r="P895" s="25" t="str">
        <f aca="false">IF(OR(O895="",O895="Sin información"),"",IFERROR(INDEX(Listas!$B$2:$B$9,MATCH(O895,Listas!$A$2:$A$9,0)),""))</f>
        <v/>
      </c>
      <c r="Q895" s="25" t="str">
        <f aca="false">IF(OR(O895="",O895="Sin información"),"",IFERROR(INDEX(Listas!$C$2:$C$9,MATCH(O895,Listas!$A$2:$A$9,0)),""))</f>
        <v/>
      </c>
      <c r="R895" s="22"/>
      <c r="S895" s="22"/>
      <c r="T895" s="25" t="str">
        <f aca="false">IF(S895="","",IFERROR(INDEX(Empleadores!$B$2:$B$601,MATCH(S895,Empleadores!$A$2:$A$601,0)),"No encontrado"))</f>
        <v/>
      </c>
      <c r="U895" s="25" t="str">
        <f aca="false">IF(C895="","",IF(V895="","No",IF(Config!$C$4-V895&lt;=Config!$C$15,"Sí","No")))</f>
        <v>No</v>
      </c>
      <c r="V895" s="23"/>
      <c r="W895" s="22"/>
      <c r="X895" s="22"/>
      <c r="Y895" s="22"/>
      <c r="Z895" s="27"/>
      <c r="AA895" s="22" t="s">
        <v>3899</v>
      </c>
      <c r="AB895" s="22" t="s">
        <v>1691</v>
      </c>
    </row>
    <row r="896" customFormat="false" ht="15" hidden="false" customHeight="false" outlineLevel="0" collapsed="false">
      <c r="A896" s="22" t="n">
        <v>895</v>
      </c>
      <c r="B896" s="22" t="s">
        <v>3900</v>
      </c>
      <c r="C896" s="22" t="s">
        <v>3901</v>
      </c>
      <c r="D896" s="22"/>
      <c r="E896" s="22" t="s">
        <v>139</v>
      </c>
      <c r="F896" s="22" t="s">
        <v>108</v>
      </c>
      <c r="G896" s="23" t="n">
        <v>46020</v>
      </c>
      <c r="H896" s="24" t="n">
        <f aca="false">IF(G896="","",ROUND((Config!$C$4-G896)/365.25,2))</f>
        <v>0.76</v>
      </c>
      <c r="I896" s="25" t="str">
        <f aca="false">IF(H896="","",IF(H896&lt;=1,"Tramo 1",IF(H896&lt;=3,"Tramo 2",IF(H896&lt;=5,"Tramo 3","Tramo 4"))))</f>
        <v>Tramo 1</v>
      </c>
      <c r="J896" s="22" t="s">
        <v>2639</v>
      </c>
      <c r="K896" s="22"/>
      <c r="L896" s="22"/>
      <c r="M896" s="26"/>
      <c r="N896" s="22"/>
      <c r="O896" s="22" t="s">
        <v>63</v>
      </c>
      <c r="P896" s="25" t="str">
        <f aca="false">IF(OR(O896="",O896="Sin información"),"",IFERROR(INDEX(Listas!$B$2:$B$9,MATCH(O896,Listas!$A$2:$A$9,0)),""))</f>
        <v/>
      </c>
      <c r="Q896" s="25" t="str">
        <f aca="false">IF(OR(O896="",O896="Sin información"),"",IFERROR(INDEX(Listas!$C$2:$C$9,MATCH(O896,Listas!$A$2:$A$9,0)),""))</f>
        <v/>
      </c>
      <c r="R896" s="22"/>
      <c r="S896" s="22"/>
      <c r="T896" s="25" t="str">
        <f aca="false">IF(S896="","",IFERROR(INDEX(Empleadores!$B$2:$B$601,MATCH(S896,Empleadores!$A$2:$A$601,0)),"No encontrado"))</f>
        <v/>
      </c>
      <c r="U896" s="25" t="str">
        <f aca="false">IF(C896="","",IF(V896="","No",IF(Config!$C$4-V896&lt;=Config!$C$15,"Sí","No")))</f>
        <v>No</v>
      </c>
      <c r="V896" s="23"/>
      <c r="W896" s="22"/>
      <c r="X896" s="22"/>
      <c r="Y896" s="22"/>
      <c r="Z896" s="27"/>
      <c r="AA896" s="22"/>
      <c r="AB896" s="22"/>
    </row>
    <row r="897" customFormat="false" ht="15" hidden="false" customHeight="false" outlineLevel="0" collapsed="false">
      <c r="A897" s="22" t="n">
        <v>896</v>
      </c>
      <c r="B897" s="22" t="s">
        <v>3902</v>
      </c>
      <c r="C897" s="22" t="s">
        <v>3903</v>
      </c>
      <c r="D897" s="22"/>
      <c r="E897" s="22" t="s">
        <v>139</v>
      </c>
      <c r="F897" s="22" t="s">
        <v>108</v>
      </c>
      <c r="G897" s="23" t="n">
        <v>46020</v>
      </c>
      <c r="H897" s="24" t="n">
        <f aca="false">IF(G897="","",ROUND((Config!$C$4-G897)/365.25,2))</f>
        <v>0.76</v>
      </c>
      <c r="I897" s="25" t="str">
        <f aca="false">IF(H897="","",IF(H897&lt;=1,"Tramo 1",IF(H897&lt;=3,"Tramo 2",IF(H897&lt;=5,"Tramo 3","Tramo 4"))))</f>
        <v>Tramo 1</v>
      </c>
      <c r="J897" s="22" t="s">
        <v>2639</v>
      </c>
      <c r="K897" s="22"/>
      <c r="L897" s="22"/>
      <c r="M897" s="26"/>
      <c r="N897" s="22"/>
      <c r="O897" s="22" t="s">
        <v>63</v>
      </c>
      <c r="P897" s="25" t="str">
        <f aca="false">IF(OR(O897="",O897="Sin información"),"",IFERROR(INDEX(Listas!$B$2:$B$9,MATCH(O897,Listas!$A$2:$A$9,0)),""))</f>
        <v/>
      </c>
      <c r="Q897" s="25" t="str">
        <f aca="false">IF(OR(O897="",O897="Sin información"),"",IFERROR(INDEX(Listas!$C$2:$C$9,MATCH(O897,Listas!$A$2:$A$9,0)),""))</f>
        <v/>
      </c>
      <c r="R897" s="22"/>
      <c r="S897" s="22"/>
      <c r="T897" s="25" t="str">
        <f aca="false">IF(S897="","",IFERROR(INDEX(Empleadores!$B$2:$B$601,MATCH(S897,Empleadores!$A$2:$A$601,0)),"No encontrado"))</f>
        <v/>
      </c>
      <c r="U897" s="25" t="str">
        <f aca="false">IF(C897="","",IF(V897="","No",IF(Config!$C$4-V897&lt;=Config!$C$15,"Sí","No")))</f>
        <v>No</v>
      </c>
      <c r="V897" s="23"/>
      <c r="W897" s="22"/>
      <c r="X897" s="22"/>
      <c r="Y897" s="22"/>
      <c r="Z897" s="27"/>
      <c r="AA897" s="22"/>
      <c r="AB897" s="22"/>
    </row>
    <row r="898" customFormat="false" ht="15" hidden="false" customHeight="false" outlineLevel="0" collapsed="false">
      <c r="A898" s="22" t="n">
        <v>897</v>
      </c>
      <c r="B898" s="22" t="s">
        <v>3904</v>
      </c>
      <c r="C898" s="22" t="s">
        <v>3905</v>
      </c>
      <c r="D898" s="22"/>
      <c r="E898" s="22" t="s">
        <v>139</v>
      </c>
      <c r="F898" s="22" t="s">
        <v>108</v>
      </c>
      <c r="G898" s="23" t="n">
        <v>46020</v>
      </c>
      <c r="H898" s="24" t="n">
        <f aca="false">IF(G898="","",ROUND((Config!$C$4-G898)/365.25,2))</f>
        <v>0.76</v>
      </c>
      <c r="I898" s="25" t="str">
        <f aca="false">IF(H898="","",IF(H898&lt;=1,"Tramo 1",IF(H898&lt;=3,"Tramo 2",IF(H898&lt;=5,"Tramo 3","Tramo 4"))))</f>
        <v>Tramo 1</v>
      </c>
      <c r="J898" s="22" t="s">
        <v>2639</v>
      </c>
      <c r="K898" s="22"/>
      <c r="L898" s="22"/>
      <c r="M898" s="26"/>
      <c r="N898" s="22"/>
      <c r="O898" s="22" t="s">
        <v>63</v>
      </c>
      <c r="P898" s="25" t="str">
        <f aca="false">IF(OR(O898="",O898="Sin información"),"",IFERROR(INDEX(Listas!$B$2:$B$9,MATCH(O898,Listas!$A$2:$A$9,0)),""))</f>
        <v/>
      </c>
      <c r="Q898" s="25" t="str">
        <f aca="false">IF(OR(O898="",O898="Sin información"),"",IFERROR(INDEX(Listas!$C$2:$C$9,MATCH(O898,Listas!$A$2:$A$9,0)),""))</f>
        <v/>
      </c>
      <c r="R898" s="22"/>
      <c r="S898" s="22"/>
      <c r="T898" s="25" t="str">
        <f aca="false">IF(S898="","",IFERROR(INDEX(Empleadores!$B$2:$B$601,MATCH(S898,Empleadores!$A$2:$A$601,0)),"No encontrado"))</f>
        <v/>
      </c>
      <c r="U898" s="25" t="str">
        <f aca="false">IF(C898="","",IF(V898="","No",IF(Config!$C$4-V898&lt;=Config!$C$15,"Sí","No")))</f>
        <v>No</v>
      </c>
      <c r="V898" s="23"/>
      <c r="W898" s="22"/>
      <c r="X898" s="22"/>
      <c r="Y898" s="22"/>
      <c r="Z898" s="27"/>
      <c r="AA898" s="22"/>
      <c r="AB898" s="22"/>
    </row>
    <row r="899" customFormat="false" ht="15" hidden="false" customHeight="false" outlineLevel="0" collapsed="false">
      <c r="A899" s="22" t="n">
        <v>898</v>
      </c>
      <c r="B899" s="22" t="s">
        <v>3906</v>
      </c>
      <c r="C899" s="22" t="s">
        <v>3907</v>
      </c>
      <c r="D899" s="22"/>
      <c r="E899" s="22" t="s">
        <v>139</v>
      </c>
      <c r="F899" s="22" t="s">
        <v>108</v>
      </c>
      <c r="G899" s="23" t="n">
        <v>46020</v>
      </c>
      <c r="H899" s="24" t="n">
        <f aca="false">IF(G899="","",ROUND((Config!$C$4-G899)/365.25,2))</f>
        <v>0.76</v>
      </c>
      <c r="I899" s="25" t="str">
        <f aca="false">IF(H899="","",IF(H899&lt;=1,"Tramo 1",IF(H899&lt;=3,"Tramo 2",IF(H899&lt;=5,"Tramo 3","Tramo 4"))))</f>
        <v>Tramo 1</v>
      </c>
      <c r="J899" s="22" t="s">
        <v>2639</v>
      </c>
      <c r="K899" s="22"/>
      <c r="L899" s="22"/>
      <c r="M899" s="26"/>
      <c r="N899" s="22"/>
      <c r="O899" s="22" t="s">
        <v>63</v>
      </c>
      <c r="P899" s="25" t="str">
        <f aca="false">IF(OR(O899="",O899="Sin información"),"",IFERROR(INDEX(Listas!$B$2:$B$9,MATCH(O899,Listas!$A$2:$A$9,0)),""))</f>
        <v/>
      </c>
      <c r="Q899" s="25" t="str">
        <f aca="false">IF(OR(O899="",O899="Sin información"),"",IFERROR(INDEX(Listas!$C$2:$C$9,MATCH(O899,Listas!$A$2:$A$9,0)),""))</f>
        <v/>
      </c>
      <c r="R899" s="22"/>
      <c r="S899" s="22"/>
      <c r="T899" s="25" t="str">
        <f aca="false">IF(S899="","",IFERROR(INDEX(Empleadores!$B$2:$B$601,MATCH(S899,Empleadores!$A$2:$A$601,0)),"No encontrado"))</f>
        <v/>
      </c>
      <c r="U899" s="25" t="str">
        <f aca="false">IF(C899="","",IF(V899="","No",IF(Config!$C$4-V899&lt;=Config!$C$15,"Sí","No")))</f>
        <v>No</v>
      </c>
      <c r="V899" s="23"/>
      <c r="W899" s="22"/>
      <c r="X899" s="22"/>
      <c r="Y899" s="22"/>
      <c r="Z899" s="27"/>
      <c r="AA899" s="22" t="s">
        <v>3908</v>
      </c>
      <c r="AB899" s="22" t="s">
        <v>1691</v>
      </c>
    </row>
    <row r="900" customFormat="false" ht="15" hidden="false" customHeight="false" outlineLevel="0" collapsed="false">
      <c r="A900" s="22" t="n">
        <v>899</v>
      </c>
      <c r="B900" s="22" t="s">
        <v>3909</v>
      </c>
      <c r="C900" s="22" t="s">
        <v>3910</v>
      </c>
      <c r="D900" s="22"/>
      <c r="E900" s="22" t="s">
        <v>139</v>
      </c>
      <c r="F900" s="22" t="s">
        <v>108</v>
      </c>
      <c r="G900" s="23" t="n">
        <v>46020</v>
      </c>
      <c r="H900" s="24" t="n">
        <f aca="false">IF(G900="","",ROUND((Config!$C$4-G900)/365.25,2))</f>
        <v>0.76</v>
      </c>
      <c r="I900" s="25" t="str">
        <f aca="false">IF(H900="","",IF(H900&lt;=1,"Tramo 1",IF(H900&lt;=3,"Tramo 2",IF(H900&lt;=5,"Tramo 3","Tramo 4"))))</f>
        <v>Tramo 1</v>
      </c>
      <c r="J900" s="22" t="s">
        <v>2639</v>
      </c>
      <c r="K900" s="22"/>
      <c r="L900" s="22"/>
      <c r="M900" s="26"/>
      <c r="N900" s="22"/>
      <c r="O900" s="22" t="s">
        <v>63</v>
      </c>
      <c r="P900" s="25" t="str">
        <f aca="false">IF(OR(O900="",O900="Sin información"),"",IFERROR(INDEX(Listas!$B$2:$B$9,MATCH(O900,Listas!$A$2:$A$9,0)),""))</f>
        <v/>
      </c>
      <c r="Q900" s="25" t="str">
        <f aca="false">IF(OR(O900="",O900="Sin información"),"",IFERROR(INDEX(Listas!$C$2:$C$9,MATCH(O900,Listas!$A$2:$A$9,0)),""))</f>
        <v/>
      </c>
      <c r="R900" s="22"/>
      <c r="S900" s="22"/>
      <c r="T900" s="25" t="str">
        <f aca="false">IF(S900="","",IFERROR(INDEX(Empleadores!$B$2:$B$601,MATCH(S900,Empleadores!$A$2:$A$601,0)),"No encontrado"))</f>
        <v/>
      </c>
      <c r="U900" s="25" t="str">
        <f aca="false">IF(C900="","",IF(V900="","No",IF(Config!$C$4-V900&lt;=Config!$C$15,"Sí","No")))</f>
        <v>No</v>
      </c>
      <c r="V900" s="23"/>
      <c r="W900" s="22"/>
      <c r="X900" s="22"/>
      <c r="Y900" s="22"/>
      <c r="Z900" s="27"/>
      <c r="AA900" s="22" t="s">
        <v>3911</v>
      </c>
      <c r="AB900" s="22" t="s">
        <v>1691</v>
      </c>
    </row>
    <row r="901" customFormat="false" ht="15" hidden="false" customHeight="false" outlineLevel="0" collapsed="false">
      <c r="A901" s="22" t="n">
        <v>900</v>
      </c>
      <c r="B901" s="22" t="s">
        <v>3912</v>
      </c>
      <c r="C901" s="22" t="s">
        <v>3913</v>
      </c>
      <c r="D901" s="22"/>
      <c r="E901" s="22" t="s">
        <v>139</v>
      </c>
      <c r="F901" s="22" t="s">
        <v>108</v>
      </c>
      <c r="G901" s="23" t="n">
        <v>46020</v>
      </c>
      <c r="H901" s="24" t="n">
        <f aca="false">IF(G901="","",ROUND((Config!$C$4-G901)/365.25,2))</f>
        <v>0.76</v>
      </c>
      <c r="I901" s="25" t="str">
        <f aca="false">IF(H901="","",IF(H901&lt;=1,"Tramo 1",IF(H901&lt;=3,"Tramo 2",IF(H901&lt;=5,"Tramo 3","Tramo 4"))))</f>
        <v>Tramo 1</v>
      </c>
      <c r="J901" s="22" t="s">
        <v>2639</v>
      </c>
      <c r="K901" s="22"/>
      <c r="L901" s="22"/>
      <c r="M901" s="26"/>
      <c r="N901" s="22"/>
      <c r="O901" s="22" t="s">
        <v>63</v>
      </c>
      <c r="P901" s="25" t="str">
        <f aca="false">IF(OR(O901="",O901="Sin información"),"",IFERROR(INDEX(Listas!$B$2:$B$9,MATCH(O901,Listas!$A$2:$A$9,0)),""))</f>
        <v/>
      </c>
      <c r="Q901" s="25" t="str">
        <f aca="false">IF(OR(O901="",O901="Sin información"),"",IFERROR(INDEX(Listas!$C$2:$C$9,MATCH(O901,Listas!$A$2:$A$9,0)),""))</f>
        <v/>
      </c>
      <c r="R901" s="22"/>
      <c r="S901" s="22"/>
      <c r="T901" s="25" t="str">
        <f aca="false">IF(S901="","",IFERROR(INDEX(Empleadores!$B$2:$B$601,MATCH(S901,Empleadores!$A$2:$A$601,0)),"No encontrado"))</f>
        <v/>
      </c>
      <c r="U901" s="25" t="str">
        <f aca="false">IF(C901="","",IF(V901="","No",IF(Config!$C$4-V901&lt;=Config!$C$15,"Sí","No")))</f>
        <v>No</v>
      </c>
      <c r="V901" s="23"/>
      <c r="W901" s="22"/>
      <c r="X901" s="22"/>
      <c r="Y901" s="22"/>
      <c r="Z901" s="27"/>
      <c r="AA901" s="22"/>
      <c r="AB901" s="22"/>
    </row>
    <row r="902" customFormat="false" ht="15" hidden="false" customHeight="false" outlineLevel="0" collapsed="false">
      <c r="A902" s="22" t="n">
        <v>901</v>
      </c>
      <c r="B902" s="22" t="s">
        <v>3914</v>
      </c>
      <c r="C902" s="22" t="s">
        <v>3915</v>
      </c>
      <c r="D902" s="22"/>
      <c r="E902" s="22" t="s">
        <v>139</v>
      </c>
      <c r="F902" s="22" t="s">
        <v>108</v>
      </c>
      <c r="G902" s="23" t="n">
        <v>46020</v>
      </c>
      <c r="H902" s="24" t="n">
        <f aca="false">IF(G902="","",ROUND((Config!$C$4-G902)/365.25,2))</f>
        <v>0.76</v>
      </c>
      <c r="I902" s="25" t="str">
        <f aca="false">IF(H902="","",IF(H902&lt;=1,"Tramo 1",IF(H902&lt;=3,"Tramo 2",IF(H902&lt;=5,"Tramo 3","Tramo 4"))))</f>
        <v>Tramo 1</v>
      </c>
      <c r="J902" s="22" t="s">
        <v>2639</v>
      </c>
      <c r="K902" s="22"/>
      <c r="L902" s="22"/>
      <c r="M902" s="26"/>
      <c r="N902" s="22"/>
      <c r="O902" s="22" t="s">
        <v>63</v>
      </c>
      <c r="P902" s="25" t="str">
        <f aca="false">IF(OR(O902="",O902="Sin información"),"",IFERROR(INDEX(Listas!$B$2:$B$9,MATCH(O902,Listas!$A$2:$A$9,0)),""))</f>
        <v/>
      </c>
      <c r="Q902" s="25" t="str">
        <f aca="false">IF(OR(O902="",O902="Sin información"),"",IFERROR(INDEX(Listas!$C$2:$C$9,MATCH(O902,Listas!$A$2:$A$9,0)),""))</f>
        <v/>
      </c>
      <c r="R902" s="22"/>
      <c r="S902" s="22"/>
      <c r="T902" s="25" t="str">
        <f aca="false">IF(S902="","",IFERROR(INDEX(Empleadores!$B$2:$B$601,MATCH(S902,Empleadores!$A$2:$A$601,0)),"No encontrado"))</f>
        <v/>
      </c>
      <c r="U902" s="25" t="str">
        <f aca="false">IF(C902="","",IF(V902="","No",IF(Config!$C$4-V902&lt;=Config!$C$15,"Sí","No")))</f>
        <v>No</v>
      </c>
      <c r="V902" s="23"/>
      <c r="W902" s="22"/>
      <c r="X902" s="22"/>
      <c r="Y902" s="22"/>
      <c r="Z902" s="27"/>
      <c r="AA902" s="22" t="s">
        <v>3916</v>
      </c>
      <c r="AB902" s="22" t="s">
        <v>1691</v>
      </c>
    </row>
    <row r="903" customFormat="false" ht="15" hidden="false" customHeight="false" outlineLevel="0" collapsed="false">
      <c r="A903" s="22" t="n">
        <v>902</v>
      </c>
      <c r="B903" s="22" t="s">
        <v>3917</v>
      </c>
      <c r="C903" s="22" t="s">
        <v>3918</v>
      </c>
      <c r="D903" s="22"/>
      <c r="E903" s="22" t="s">
        <v>139</v>
      </c>
      <c r="F903" s="22" t="s">
        <v>108</v>
      </c>
      <c r="G903" s="23" t="n">
        <v>46020</v>
      </c>
      <c r="H903" s="24" t="n">
        <f aca="false">IF(G903="","",ROUND((Config!$C$4-G903)/365.25,2))</f>
        <v>0.76</v>
      </c>
      <c r="I903" s="25" t="str">
        <f aca="false">IF(H903="","",IF(H903&lt;=1,"Tramo 1",IF(H903&lt;=3,"Tramo 2",IF(H903&lt;=5,"Tramo 3","Tramo 4"))))</f>
        <v>Tramo 1</v>
      </c>
      <c r="J903" s="22" t="s">
        <v>2639</v>
      </c>
      <c r="K903" s="22"/>
      <c r="L903" s="22"/>
      <c r="M903" s="26"/>
      <c r="N903" s="22"/>
      <c r="O903" s="22" t="s">
        <v>63</v>
      </c>
      <c r="P903" s="25" t="str">
        <f aca="false">IF(OR(O903="",O903="Sin información"),"",IFERROR(INDEX(Listas!$B$2:$B$9,MATCH(O903,Listas!$A$2:$A$9,0)),""))</f>
        <v/>
      </c>
      <c r="Q903" s="25" t="str">
        <f aca="false">IF(OR(O903="",O903="Sin información"),"",IFERROR(INDEX(Listas!$C$2:$C$9,MATCH(O903,Listas!$A$2:$A$9,0)),""))</f>
        <v/>
      </c>
      <c r="R903" s="22"/>
      <c r="S903" s="22"/>
      <c r="T903" s="25" t="str">
        <f aca="false">IF(S903="","",IFERROR(INDEX(Empleadores!$B$2:$B$601,MATCH(S903,Empleadores!$A$2:$A$601,0)),"No encontrado"))</f>
        <v/>
      </c>
      <c r="U903" s="25" t="str">
        <f aca="false">IF(C903="","",IF(V903="","No",IF(Config!$C$4-V903&lt;=Config!$C$15,"Sí","No")))</f>
        <v>No</v>
      </c>
      <c r="V903" s="23"/>
      <c r="W903" s="22"/>
      <c r="X903" s="22"/>
      <c r="Y903" s="22"/>
      <c r="Z903" s="27"/>
      <c r="AA903" s="22"/>
      <c r="AB903" s="22"/>
    </row>
    <row r="904" customFormat="false" ht="15" hidden="false" customHeight="false" outlineLevel="0" collapsed="false">
      <c r="A904" s="22" t="n">
        <v>903</v>
      </c>
      <c r="B904" s="22" t="s">
        <v>3919</v>
      </c>
      <c r="C904" s="22" t="s">
        <v>3920</v>
      </c>
      <c r="D904" s="22"/>
      <c r="E904" s="22" t="s">
        <v>139</v>
      </c>
      <c r="F904" s="22" t="s">
        <v>108</v>
      </c>
      <c r="G904" s="23" t="n">
        <v>46020</v>
      </c>
      <c r="H904" s="24" t="n">
        <f aca="false">IF(G904="","",ROUND((Config!$C$4-G904)/365.25,2))</f>
        <v>0.76</v>
      </c>
      <c r="I904" s="25" t="str">
        <f aca="false">IF(H904="","",IF(H904&lt;=1,"Tramo 1",IF(H904&lt;=3,"Tramo 2",IF(H904&lt;=5,"Tramo 3","Tramo 4"))))</f>
        <v>Tramo 1</v>
      </c>
      <c r="J904" s="22" t="s">
        <v>2639</v>
      </c>
      <c r="K904" s="22"/>
      <c r="L904" s="22"/>
      <c r="M904" s="26"/>
      <c r="N904" s="22"/>
      <c r="O904" s="22" t="s">
        <v>63</v>
      </c>
      <c r="P904" s="25" t="str">
        <f aca="false">IF(OR(O904="",O904="Sin información"),"",IFERROR(INDEX(Listas!$B$2:$B$9,MATCH(O904,Listas!$A$2:$A$9,0)),""))</f>
        <v/>
      </c>
      <c r="Q904" s="25" t="str">
        <f aca="false">IF(OR(O904="",O904="Sin información"),"",IFERROR(INDEX(Listas!$C$2:$C$9,MATCH(O904,Listas!$A$2:$A$9,0)),""))</f>
        <v/>
      </c>
      <c r="R904" s="22"/>
      <c r="S904" s="22"/>
      <c r="T904" s="25" t="str">
        <f aca="false">IF(S904="","",IFERROR(INDEX(Empleadores!$B$2:$B$601,MATCH(S904,Empleadores!$A$2:$A$601,0)),"No encontrado"))</f>
        <v/>
      </c>
      <c r="U904" s="25" t="str">
        <f aca="false">IF(C904="","",IF(V904="","No",IF(Config!$C$4-V904&lt;=Config!$C$15,"Sí","No")))</f>
        <v>No</v>
      </c>
      <c r="V904" s="23"/>
      <c r="W904" s="22"/>
      <c r="X904" s="22"/>
      <c r="Y904" s="22"/>
      <c r="Z904" s="27"/>
      <c r="AA904" s="22"/>
      <c r="AB904" s="22"/>
    </row>
    <row r="905" customFormat="false" ht="15" hidden="false" customHeight="false" outlineLevel="0" collapsed="false">
      <c r="A905" s="22" t="n">
        <v>904</v>
      </c>
      <c r="B905" s="22" t="s">
        <v>3921</v>
      </c>
      <c r="C905" s="22" t="s">
        <v>3922</v>
      </c>
      <c r="D905" s="22"/>
      <c r="E905" s="22" t="s">
        <v>139</v>
      </c>
      <c r="F905" s="22" t="s">
        <v>108</v>
      </c>
      <c r="G905" s="23" t="n">
        <v>46020</v>
      </c>
      <c r="H905" s="24" t="n">
        <f aca="false">IF(G905="","",ROUND((Config!$C$4-G905)/365.25,2))</f>
        <v>0.76</v>
      </c>
      <c r="I905" s="25" t="str">
        <f aca="false">IF(H905="","",IF(H905&lt;=1,"Tramo 1",IF(H905&lt;=3,"Tramo 2",IF(H905&lt;=5,"Tramo 3","Tramo 4"))))</f>
        <v>Tramo 1</v>
      </c>
      <c r="J905" s="22" t="s">
        <v>2639</v>
      </c>
      <c r="K905" s="22"/>
      <c r="L905" s="22"/>
      <c r="M905" s="26"/>
      <c r="N905" s="22"/>
      <c r="O905" s="22" t="s">
        <v>63</v>
      </c>
      <c r="P905" s="25" t="str">
        <f aca="false">IF(OR(O905="",O905="Sin información"),"",IFERROR(INDEX(Listas!$B$2:$B$9,MATCH(O905,Listas!$A$2:$A$9,0)),""))</f>
        <v/>
      </c>
      <c r="Q905" s="25" t="str">
        <f aca="false">IF(OR(O905="",O905="Sin información"),"",IFERROR(INDEX(Listas!$C$2:$C$9,MATCH(O905,Listas!$A$2:$A$9,0)),""))</f>
        <v/>
      </c>
      <c r="R905" s="22"/>
      <c r="S905" s="22"/>
      <c r="T905" s="25" t="str">
        <f aca="false">IF(S905="","",IFERROR(INDEX(Empleadores!$B$2:$B$601,MATCH(S905,Empleadores!$A$2:$A$601,0)),"No encontrado"))</f>
        <v/>
      </c>
      <c r="U905" s="25" t="str">
        <f aca="false">IF(C905="","",IF(V905="","No",IF(Config!$C$4-V905&lt;=Config!$C$15,"Sí","No")))</f>
        <v>No</v>
      </c>
      <c r="V905" s="23"/>
      <c r="W905" s="22"/>
      <c r="X905" s="22"/>
      <c r="Y905" s="22"/>
      <c r="Z905" s="27"/>
      <c r="AA905" s="22"/>
      <c r="AB905" s="22"/>
    </row>
    <row r="906" customFormat="false" ht="15" hidden="false" customHeight="false" outlineLevel="0" collapsed="false">
      <c r="A906" s="22" t="n">
        <v>905</v>
      </c>
      <c r="B906" s="22" t="s">
        <v>3923</v>
      </c>
      <c r="C906" s="22" t="s">
        <v>3924</v>
      </c>
      <c r="D906" s="22"/>
      <c r="E906" s="22" t="s">
        <v>139</v>
      </c>
      <c r="F906" s="22" t="s">
        <v>108</v>
      </c>
      <c r="G906" s="23" t="n">
        <v>46020</v>
      </c>
      <c r="H906" s="24" t="n">
        <f aca="false">IF(G906="","",ROUND((Config!$C$4-G906)/365.25,2))</f>
        <v>0.76</v>
      </c>
      <c r="I906" s="25" t="str">
        <f aca="false">IF(H906="","",IF(H906&lt;=1,"Tramo 1",IF(H906&lt;=3,"Tramo 2",IF(H906&lt;=5,"Tramo 3","Tramo 4"))))</f>
        <v>Tramo 1</v>
      </c>
      <c r="J906" s="22" t="s">
        <v>2639</v>
      </c>
      <c r="K906" s="22"/>
      <c r="L906" s="22"/>
      <c r="M906" s="26"/>
      <c r="N906" s="22"/>
      <c r="O906" s="22" t="s">
        <v>63</v>
      </c>
      <c r="P906" s="25" t="str">
        <f aca="false">IF(OR(O906="",O906="Sin información"),"",IFERROR(INDEX(Listas!$B$2:$B$9,MATCH(O906,Listas!$A$2:$A$9,0)),""))</f>
        <v/>
      </c>
      <c r="Q906" s="25" t="str">
        <f aca="false">IF(OR(O906="",O906="Sin información"),"",IFERROR(INDEX(Listas!$C$2:$C$9,MATCH(O906,Listas!$A$2:$A$9,0)),""))</f>
        <v/>
      </c>
      <c r="R906" s="22"/>
      <c r="S906" s="22"/>
      <c r="T906" s="25" t="str">
        <f aca="false">IF(S906="","",IFERROR(INDEX(Empleadores!$B$2:$B$601,MATCH(S906,Empleadores!$A$2:$A$601,0)),"No encontrado"))</f>
        <v/>
      </c>
      <c r="U906" s="25" t="str">
        <f aca="false">IF(C906="","",IF(V906="","No",IF(Config!$C$4-V906&lt;=Config!$C$15,"Sí","No")))</f>
        <v>No</v>
      </c>
      <c r="V906" s="23"/>
      <c r="W906" s="22"/>
      <c r="X906" s="22"/>
      <c r="Y906" s="22"/>
      <c r="Z906" s="27"/>
      <c r="AA906" s="22"/>
      <c r="AB906" s="22"/>
    </row>
    <row r="907" customFormat="false" ht="15" hidden="false" customHeight="false" outlineLevel="0" collapsed="false">
      <c r="A907" s="22" t="n">
        <v>906</v>
      </c>
      <c r="B907" s="22" t="s">
        <v>3925</v>
      </c>
      <c r="C907" s="22" t="s">
        <v>3926</v>
      </c>
      <c r="D907" s="22"/>
      <c r="E907" s="22" t="s">
        <v>139</v>
      </c>
      <c r="F907" s="22" t="s">
        <v>108</v>
      </c>
      <c r="G907" s="23" t="n">
        <v>46020</v>
      </c>
      <c r="H907" s="24" t="n">
        <f aca="false">IF(G907="","",ROUND((Config!$C$4-G907)/365.25,2))</f>
        <v>0.76</v>
      </c>
      <c r="I907" s="25" t="str">
        <f aca="false">IF(H907="","",IF(H907&lt;=1,"Tramo 1",IF(H907&lt;=3,"Tramo 2",IF(H907&lt;=5,"Tramo 3","Tramo 4"))))</f>
        <v>Tramo 1</v>
      </c>
      <c r="J907" s="22" t="s">
        <v>2639</v>
      </c>
      <c r="K907" s="22"/>
      <c r="L907" s="22"/>
      <c r="M907" s="26"/>
      <c r="N907" s="22"/>
      <c r="O907" s="22" t="s">
        <v>63</v>
      </c>
      <c r="P907" s="25" t="str">
        <f aca="false">IF(OR(O907="",O907="Sin información"),"",IFERROR(INDEX(Listas!$B$2:$B$9,MATCH(O907,Listas!$A$2:$A$9,0)),""))</f>
        <v/>
      </c>
      <c r="Q907" s="25" t="str">
        <f aca="false">IF(OR(O907="",O907="Sin información"),"",IFERROR(INDEX(Listas!$C$2:$C$9,MATCH(O907,Listas!$A$2:$A$9,0)),""))</f>
        <v/>
      </c>
      <c r="R907" s="22"/>
      <c r="S907" s="22"/>
      <c r="T907" s="25" t="str">
        <f aca="false">IF(S907="","",IFERROR(INDEX(Empleadores!$B$2:$B$601,MATCH(S907,Empleadores!$A$2:$A$601,0)),"No encontrado"))</f>
        <v/>
      </c>
      <c r="U907" s="25" t="str">
        <f aca="false">IF(C907="","",IF(V907="","No",IF(Config!$C$4-V907&lt;=Config!$C$15,"Sí","No")))</f>
        <v>No</v>
      </c>
      <c r="V907" s="23"/>
      <c r="W907" s="22"/>
      <c r="X907" s="22"/>
      <c r="Y907" s="22"/>
      <c r="Z907" s="27"/>
      <c r="AA907" s="22" t="s">
        <v>3927</v>
      </c>
      <c r="AB907" s="22" t="s">
        <v>1691</v>
      </c>
    </row>
    <row r="908" customFormat="false" ht="15" hidden="false" customHeight="false" outlineLevel="0" collapsed="false">
      <c r="A908" s="22" t="n">
        <v>907</v>
      </c>
      <c r="B908" s="22" t="s">
        <v>3928</v>
      </c>
      <c r="C908" s="22" t="s">
        <v>3929</v>
      </c>
      <c r="D908" s="22"/>
      <c r="E908" s="22" t="s">
        <v>139</v>
      </c>
      <c r="F908" s="22" t="s">
        <v>108</v>
      </c>
      <c r="G908" s="23" t="n">
        <v>46020</v>
      </c>
      <c r="H908" s="24" t="n">
        <f aca="false">IF(G908="","",ROUND((Config!$C$4-G908)/365.25,2))</f>
        <v>0.76</v>
      </c>
      <c r="I908" s="25" t="str">
        <f aca="false">IF(H908="","",IF(H908&lt;=1,"Tramo 1",IF(H908&lt;=3,"Tramo 2",IF(H908&lt;=5,"Tramo 3","Tramo 4"))))</f>
        <v>Tramo 1</v>
      </c>
      <c r="J908" s="22" t="s">
        <v>2639</v>
      </c>
      <c r="K908" s="22"/>
      <c r="L908" s="22"/>
      <c r="M908" s="26"/>
      <c r="N908" s="22"/>
      <c r="O908" s="22" t="s">
        <v>63</v>
      </c>
      <c r="P908" s="25" t="str">
        <f aca="false">IF(OR(O908="",O908="Sin información"),"",IFERROR(INDEX(Listas!$B$2:$B$9,MATCH(O908,Listas!$A$2:$A$9,0)),""))</f>
        <v/>
      </c>
      <c r="Q908" s="25" t="str">
        <f aca="false">IF(OR(O908="",O908="Sin información"),"",IFERROR(INDEX(Listas!$C$2:$C$9,MATCH(O908,Listas!$A$2:$A$9,0)),""))</f>
        <v/>
      </c>
      <c r="R908" s="22"/>
      <c r="S908" s="22"/>
      <c r="T908" s="25" t="str">
        <f aca="false">IF(S908="","",IFERROR(INDEX(Empleadores!$B$2:$B$601,MATCH(S908,Empleadores!$A$2:$A$601,0)),"No encontrado"))</f>
        <v/>
      </c>
      <c r="U908" s="25" t="str">
        <f aca="false">IF(C908="","",IF(V908="","No",IF(Config!$C$4-V908&lt;=Config!$C$15,"Sí","No")))</f>
        <v>No</v>
      </c>
      <c r="V908" s="23"/>
      <c r="W908" s="22"/>
      <c r="X908" s="22"/>
      <c r="Y908" s="22"/>
      <c r="Z908" s="27"/>
      <c r="AA908" s="22"/>
      <c r="AB908" s="22"/>
    </row>
    <row r="909" customFormat="false" ht="15" hidden="false" customHeight="false" outlineLevel="0" collapsed="false">
      <c r="A909" s="22" t="n">
        <v>908</v>
      </c>
      <c r="B909" s="22" t="s">
        <v>3930</v>
      </c>
      <c r="C909" s="22" t="s">
        <v>3931</v>
      </c>
      <c r="D909" s="22"/>
      <c r="E909" s="22" t="s">
        <v>139</v>
      </c>
      <c r="F909" s="22" t="s">
        <v>108</v>
      </c>
      <c r="G909" s="23" t="n">
        <v>46020</v>
      </c>
      <c r="H909" s="24" t="n">
        <f aca="false">IF(G909="","",ROUND((Config!$C$4-G909)/365.25,2))</f>
        <v>0.76</v>
      </c>
      <c r="I909" s="25" t="str">
        <f aca="false">IF(H909="","",IF(H909&lt;=1,"Tramo 1",IF(H909&lt;=3,"Tramo 2",IF(H909&lt;=5,"Tramo 3","Tramo 4"))))</f>
        <v>Tramo 1</v>
      </c>
      <c r="J909" s="22" t="s">
        <v>2639</v>
      </c>
      <c r="K909" s="22"/>
      <c r="L909" s="22"/>
      <c r="M909" s="26"/>
      <c r="N909" s="22"/>
      <c r="O909" s="22" t="s">
        <v>63</v>
      </c>
      <c r="P909" s="25" t="str">
        <f aca="false">IF(OR(O909="",O909="Sin información"),"",IFERROR(INDEX(Listas!$B$2:$B$9,MATCH(O909,Listas!$A$2:$A$9,0)),""))</f>
        <v/>
      </c>
      <c r="Q909" s="25" t="str">
        <f aca="false">IF(OR(O909="",O909="Sin información"),"",IFERROR(INDEX(Listas!$C$2:$C$9,MATCH(O909,Listas!$A$2:$A$9,0)),""))</f>
        <v/>
      </c>
      <c r="R909" s="22"/>
      <c r="S909" s="22"/>
      <c r="T909" s="25" t="str">
        <f aca="false">IF(S909="","",IFERROR(INDEX(Empleadores!$B$2:$B$601,MATCH(S909,Empleadores!$A$2:$A$601,0)),"No encontrado"))</f>
        <v/>
      </c>
      <c r="U909" s="25" t="str">
        <f aca="false">IF(C909="","",IF(V909="","No",IF(Config!$C$4-V909&lt;=Config!$C$15,"Sí","No")))</f>
        <v>No</v>
      </c>
      <c r="V909" s="23"/>
      <c r="W909" s="22"/>
      <c r="X909" s="22"/>
      <c r="Y909" s="22"/>
      <c r="Z909" s="27"/>
      <c r="AA909" s="22"/>
      <c r="AB909" s="22"/>
    </row>
    <row r="910" customFormat="false" ht="15" hidden="false" customHeight="false" outlineLevel="0" collapsed="false">
      <c r="A910" s="22" t="n">
        <v>909</v>
      </c>
      <c r="B910" s="22" t="s">
        <v>3932</v>
      </c>
      <c r="C910" s="22" t="s">
        <v>3933</v>
      </c>
      <c r="D910" s="22"/>
      <c r="E910" s="22" t="s">
        <v>139</v>
      </c>
      <c r="F910" s="22" t="s">
        <v>108</v>
      </c>
      <c r="G910" s="23" t="n">
        <v>46020</v>
      </c>
      <c r="H910" s="24" t="n">
        <f aca="false">IF(G910="","",ROUND((Config!$C$4-G910)/365.25,2))</f>
        <v>0.76</v>
      </c>
      <c r="I910" s="25" t="str">
        <f aca="false">IF(H910="","",IF(H910&lt;=1,"Tramo 1",IF(H910&lt;=3,"Tramo 2",IF(H910&lt;=5,"Tramo 3","Tramo 4"))))</f>
        <v>Tramo 1</v>
      </c>
      <c r="J910" s="22" t="s">
        <v>2639</v>
      </c>
      <c r="K910" s="22"/>
      <c r="L910" s="22"/>
      <c r="M910" s="26"/>
      <c r="N910" s="22"/>
      <c r="O910" s="22" t="s">
        <v>63</v>
      </c>
      <c r="P910" s="25" t="str">
        <f aca="false">IF(OR(O910="",O910="Sin información"),"",IFERROR(INDEX(Listas!$B$2:$B$9,MATCH(O910,Listas!$A$2:$A$9,0)),""))</f>
        <v/>
      </c>
      <c r="Q910" s="25" t="str">
        <f aca="false">IF(OR(O910="",O910="Sin información"),"",IFERROR(INDEX(Listas!$C$2:$C$9,MATCH(O910,Listas!$A$2:$A$9,0)),""))</f>
        <v/>
      </c>
      <c r="R910" s="22"/>
      <c r="S910" s="22"/>
      <c r="T910" s="25" t="str">
        <f aca="false">IF(S910="","",IFERROR(INDEX(Empleadores!$B$2:$B$601,MATCH(S910,Empleadores!$A$2:$A$601,0)),"No encontrado"))</f>
        <v/>
      </c>
      <c r="U910" s="25" t="str">
        <f aca="false">IF(C910="","",IF(V910="","No",IF(Config!$C$4-V910&lt;=Config!$C$15,"Sí","No")))</f>
        <v>No</v>
      </c>
      <c r="V910" s="23"/>
      <c r="W910" s="22"/>
      <c r="X910" s="22"/>
      <c r="Y910" s="22"/>
      <c r="Z910" s="27"/>
      <c r="AA910" s="22"/>
      <c r="AB910" s="22"/>
    </row>
    <row r="911" customFormat="false" ht="15" hidden="false" customHeight="false" outlineLevel="0" collapsed="false">
      <c r="A911" s="22" t="n">
        <v>910</v>
      </c>
      <c r="B911" s="22" t="s">
        <v>3934</v>
      </c>
      <c r="C911" s="22" t="s">
        <v>3935</v>
      </c>
      <c r="D911" s="22"/>
      <c r="E911" s="22" t="s">
        <v>139</v>
      </c>
      <c r="F911" s="22" t="s">
        <v>108</v>
      </c>
      <c r="G911" s="23" t="n">
        <v>46020</v>
      </c>
      <c r="H911" s="24" t="n">
        <f aca="false">IF(G911="","",ROUND((Config!$C$4-G911)/365.25,2))</f>
        <v>0.76</v>
      </c>
      <c r="I911" s="25" t="str">
        <f aca="false">IF(H911="","",IF(H911&lt;=1,"Tramo 1",IF(H911&lt;=3,"Tramo 2",IF(H911&lt;=5,"Tramo 3","Tramo 4"))))</f>
        <v>Tramo 1</v>
      </c>
      <c r="J911" s="22" t="s">
        <v>2639</v>
      </c>
      <c r="K911" s="22"/>
      <c r="L911" s="22"/>
      <c r="M911" s="26"/>
      <c r="N911" s="22"/>
      <c r="O911" s="22" t="s">
        <v>63</v>
      </c>
      <c r="P911" s="25" t="str">
        <f aca="false">IF(OR(O911="",O911="Sin información"),"",IFERROR(INDEX(Listas!$B$2:$B$9,MATCH(O911,Listas!$A$2:$A$9,0)),""))</f>
        <v/>
      </c>
      <c r="Q911" s="25" t="str">
        <f aca="false">IF(OR(O911="",O911="Sin información"),"",IFERROR(INDEX(Listas!$C$2:$C$9,MATCH(O911,Listas!$A$2:$A$9,0)),""))</f>
        <v/>
      </c>
      <c r="R911" s="22"/>
      <c r="S911" s="22"/>
      <c r="T911" s="25" t="str">
        <f aca="false">IF(S911="","",IFERROR(INDEX(Empleadores!$B$2:$B$601,MATCH(S911,Empleadores!$A$2:$A$601,0)),"No encontrado"))</f>
        <v/>
      </c>
      <c r="U911" s="25" t="str">
        <f aca="false">IF(C911="","",IF(V911="","No",IF(Config!$C$4-V911&lt;=Config!$C$15,"Sí","No")))</f>
        <v>No</v>
      </c>
      <c r="V911" s="23"/>
      <c r="W911" s="22"/>
      <c r="X911" s="22"/>
      <c r="Y911" s="22"/>
      <c r="Z911" s="27"/>
      <c r="AA911" s="22" t="s">
        <v>3936</v>
      </c>
      <c r="AB911" s="22" t="s">
        <v>1691</v>
      </c>
    </row>
    <row r="912" customFormat="false" ht="15" hidden="false" customHeight="false" outlineLevel="0" collapsed="false">
      <c r="A912" s="22" t="n">
        <v>911</v>
      </c>
      <c r="B912" s="22" t="s">
        <v>3937</v>
      </c>
      <c r="C912" s="22" t="s">
        <v>3938</v>
      </c>
      <c r="D912" s="22"/>
      <c r="E912" s="22" t="s">
        <v>139</v>
      </c>
      <c r="F912" s="22" t="s">
        <v>108</v>
      </c>
      <c r="G912" s="23" t="n">
        <v>46020</v>
      </c>
      <c r="H912" s="24" t="n">
        <f aca="false">IF(G912="","",ROUND((Config!$C$4-G912)/365.25,2))</f>
        <v>0.76</v>
      </c>
      <c r="I912" s="25" t="str">
        <f aca="false">IF(H912="","",IF(H912&lt;=1,"Tramo 1",IF(H912&lt;=3,"Tramo 2",IF(H912&lt;=5,"Tramo 3","Tramo 4"))))</f>
        <v>Tramo 1</v>
      </c>
      <c r="J912" s="22" t="s">
        <v>2639</v>
      </c>
      <c r="K912" s="22"/>
      <c r="L912" s="22"/>
      <c r="M912" s="26"/>
      <c r="N912" s="22"/>
      <c r="O912" s="22" t="s">
        <v>63</v>
      </c>
      <c r="P912" s="25" t="str">
        <f aca="false">IF(OR(O912="",O912="Sin información"),"",IFERROR(INDEX(Listas!$B$2:$B$9,MATCH(O912,Listas!$A$2:$A$9,0)),""))</f>
        <v/>
      </c>
      <c r="Q912" s="25" t="str">
        <f aca="false">IF(OR(O912="",O912="Sin información"),"",IFERROR(INDEX(Listas!$C$2:$C$9,MATCH(O912,Listas!$A$2:$A$9,0)),""))</f>
        <v/>
      </c>
      <c r="R912" s="22"/>
      <c r="S912" s="22"/>
      <c r="T912" s="25" t="str">
        <f aca="false">IF(S912="","",IFERROR(INDEX(Empleadores!$B$2:$B$601,MATCH(S912,Empleadores!$A$2:$A$601,0)),"No encontrado"))</f>
        <v/>
      </c>
      <c r="U912" s="25" t="str">
        <f aca="false">IF(C912="","",IF(V912="","No",IF(Config!$C$4-V912&lt;=Config!$C$15,"Sí","No")))</f>
        <v>No</v>
      </c>
      <c r="V912" s="23"/>
      <c r="W912" s="22"/>
      <c r="X912" s="22"/>
      <c r="Y912" s="22"/>
      <c r="Z912" s="27"/>
      <c r="AA912" s="22" t="s">
        <v>3939</v>
      </c>
      <c r="AB912" s="22" t="s">
        <v>1691</v>
      </c>
    </row>
    <row r="913" customFormat="false" ht="15" hidden="false" customHeight="false" outlineLevel="0" collapsed="false">
      <c r="A913" s="22" t="n">
        <v>912</v>
      </c>
      <c r="B913" s="22" t="s">
        <v>3940</v>
      </c>
      <c r="C913" s="22" t="s">
        <v>3941</v>
      </c>
      <c r="D913" s="22"/>
      <c r="E913" s="22" t="s">
        <v>139</v>
      </c>
      <c r="F913" s="22" t="s">
        <v>108</v>
      </c>
      <c r="G913" s="23" t="n">
        <v>46020</v>
      </c>
      <c r="H913" s="24" t="n">
        <f aca="false">IF(G913="","",ROUND((Config!$C$4-G913)/365.25,2))</f>
        <v>0.76</v>
      </c>
      <c r="I913" s="25" t="str">
        <f aca="false">IF(H913="","",IF(H913&lt;=1,"Tramo 1",IF(H913&lt;=3,"Tramo 2",IF(H913&lt;=5,"Tramo 3","Tramo 4"))))</f>
        <v>Tramo 1</v>
      </c>
      <c r="J913" s="22" t="s">
        <v>2639</v>
      </c>
      <c r="K913" s="22"/>
      <c r="L913" s="22"/>
      <c r="M913" s="26"/>
      <c r="N913" s="22"/>
      <c r="O913" s="22" t="s">
        <v>63</v>
      </c>
      <c r="P913" s="25" t="str">
        <f aca="false">IF(OR(O913="",O913="Sin información"),"",IFERROR(INDEX(Listas!$B$2:$B$9,MATCH(O913,Listas!$A$2:$A$9,0)),""))</f>
        <v/>
      </c>
      <c r="Q913" s="25" t="str">
        <f aca="false">IF(OR(O913="",O913="Sin información"),"",IFERROR(INDEX(Listas!$C$2:$C$9,MATCH(O913,Listas!$A$2:$A$9,0)),""))</f>
        <v/>
      </c>
      <c r="R913" s="22"/>
      <c r="S913" s="22"/>
      <c r="T913" s="25" t="str">
        <f aca="false">IF(S913="","",IFERROR(INDEX(Empleadores!$B$2:$B$601,MATCH(S913,Empleadores!$A$2:$A$601,0)),"No encontrado"))</f>
        <v/>
      </c>
      <c r="U913" s="25" t="str">
        <f aca="false">IF(C913="","",IF(V913="","No",IF(Config!$C$4-V913&lt;=Config!$C$15,"Sí","No")))</f>
        <v>No</v>
      </c>
      <c r="V913" s="23"/>
      <c r="W913" s="22"/>
      <c r="X913" s="22"/>
      <c r="Y913" s="22"/>
      <c r="Z913" s="27"/>
      <c r="AA913" s="22" t="s">
        <v>3942</v>
      </c>
      <c r="AB913" s="22" t="s">
        <v>1691</v>
      </c>
    </row>
    <row r="914" customFormat="false" ht="15" hidden="false" customHeight="false" outlineLevel="0" collapsed="false">
      <c r="A914" s="22" t="n">
        <v>913</v>
      </c>
      <c r="B914" s="22" t="s">
        <v>3943</v>
      </c>
      <c r="C914" s="22" t="s">
        <v>3944</v>
      </c>
      <c r="D914" s="22"/>
      <c r="E914" s="22" t="s">
        <v>139</v>
      </c>
      <c r="F914" s="22" t="s">
        <v>108</v>
      </c>
      <c r="G914" s="23" t="n">
        <v>46020</v>
      </c>
      <c r="H914" s="24" t="n">
        <f aca="false">IF(G914="","",ROUND((Config!$C$4-G914)/365.25,2))</f>
        <v>0.76</v>
      </c>
      <c r="I914" s="25" t="str">
        <f aca="false">IF(H914="","",IF(H914&lt;=1,"Tramo 1",IF(H914&lt;=3,"Tramo 2",IF(H914&lt;=5,"Tramo 3","Tramo 4"))))</f>
        <v>Tramo 1</v>
      </c>
      <c r="J914" s="22" t="s">
        <v>2639</v>
      </c>
      <c r="K914" s="22"/>
      <c r="L914" s="22"/>
      <c r="M914" s="26"/>
      <c r="N914" s="22"/>
      <c r="O914" s="22" t="s">
        <v>63</v>
      </c>
      <c r="P914" s="25" t="str">
        <f aca="false">IF(OR(O914="",O914="Sin información"),"",IFERROR(INDEX(Listas!$B$2:$B$9,MATCH(O914,Listas!$A$2:$A$9,0)),""))</f>
        <v/>
      </c>
      <c r="Q914" s="25" t="str">
        <f aca="false">IF(OR(O914="",O914="Sin información"),"",IFERROR(INDEX(Listas!$C$2:$C$9,MATCH(O914,Listas!$A$2:$A$9,0)),""))</f>
        <v/>
      </c>
      <c r="R914" s="22"/>
      <c r="S914" s="22"/>
      <c r="T914" s="25" t="str">
        <f aca="false">IF(S914="","",IFERROR(INDEX(Empleadores!$B$2:$B$601,MATCH(S914,Empleadores!$A$2:$A$601,0)),"No encontrado"))</f>
        <v/>
      </c>
      <c r="U914" s="25" t="str">
        <f aca="false">IF(C914="","",IF(V914="","No",IF(Config!$C$4-V914&lt;=Config!$C$15,"Sí","No")))</f>
        <v>No</v>
      </c>
      <c r="V914" s="23"/>
      <c r="W914" s="22"/>
      <c r="X914" s="22"/>
      <c r="Y914" s="22"/>
      <c r="Z914" s="27"/>
      <c r="AA914" s="22"/>
      <c r="AB914" s="22"/>
    </row>
    <row r="915" customFormat="false" ht="15" hidden="false" customHeight="false" outlineLevel="0" collapsed="false">
      <c r="A915" s="22" t="n">
        <v>914</v>
      </c>
      <c r="B915" s="22" t="s">
        <v>3945</v>
      </c>
      <c r="C915" s="22" t="s">
        <v>3946</v>
      </c>
      <c r="D915" s="22"/>
      <c r="E915" s="22" t="s">
        <v>139</v>
      </c>
      <c r="F915" s="22" t="s">
        <v>108</v>
      </c>
      <c r="G915" s="23" t="n">
        <v>46020</v>
      </c>
      <c r="H915" s="24" t="n">
        <f aca="false">IF(G915="","",ROUND((Config!$C$4-G915)/365.25,2))</f>
        <v>0.76</v>
      </c>
      <c r="I915" s="25" t="str">
        <f aca="false">IF(H915="","",IF(H915&lt;=1,"Tramo 1",IF(H915&lt;=3,"Tramo 2",IF(H915&lt;=5,"Tramo 3","Tramo 4"))))</f>
        <v>Tramo 1</v>
      </c>
      <c r="J915" s="22" t="s">
        <v>2639</v>
      </c>
      <c r="K915" s="22"/>
      <c r="L915" s="22"/>
      <c r="M915" s="26"/>
      <c r="N915" s="22"/>
      <c r="O915" s="22" t="s">
        <v>63</v>
      </c>
      <c r="P915" s="25" t="str">
        <f aca="false">IF(OR(O915="",O915="Sin información"),"",IFERROR(INDEX(Listas!$B$2:$B$9,MATCH(O915,Listas!$A$2:$A$9,0)),""))</f>
        <v/>
      </c>
      <c r="Q915" s="25" t="str">
        <f aca="false">IF(OR(O915="",O915="Sin información"),"",IFERROR(INDEX(Listas!$C$2:$C$9,MATCH(O915,Listas!$A$2:$A$9,0)),""))</f>
        <v/>
      </c>
      <c r="R915" s="22"/>
      <c r="S915" s="22"/>
      <c r="T915" s="25" t="str">
        <f aca="false">IF(S915="","",IFERROR(INDEX(Empleadores!$B$2:$B$601,MATCH(S915,Empleadores!$A$2:$A$601,0)),"No encontrado"))</f>
        <v/>
      </c>
      <c r="U915" s="25" t="str">
        <f aca="false">IF(C915="","",IF(V915="","No",IF(Config!$C$4-V915&lt;=Config!$C$15,"Sí","No")))</f>
        <v>No</v>
      </c>
      <c r="V915" s="23"/>
      <c r="W915" s="22"/>
      <c r="X915" s="22"/>
      <c r="Y915" s="22"/>
      <c r="Z915" s="27"/>
      <c r="AA915" s="22"/>
      <c r="AB915" s="22"/>
    </row>
    <row r="916" customFormat="false" ht="15" hidden="false" customHeight="false" outlineLevel="0" collapsed="false">
      <c r="A916" s="22" t="n">
        <v>915</v>
      </c>
      <c r="B916" s="22" t="s">
        <v>3947</v>
      </c>
      <c r="C916" s="22" t="s">
        <v>3948</v>
      </c>
      <c r="D916" s="22"/>
      <c r="E916" s="22" t="s">
        <v>139</v>
      </c>
      <c r="F916" s="22" t="s">
        <v>108</v>
      </c>
      <c r="G916" s="23" t="n">
        <v>46020</v>
      </c>
      <c r="H916" s="24" t="n">
        <f aca="false">IF(G916="","",ROUND((Config!$C$4-G916)/365.25,2))</f>
        <v>0.76</v>
      </c>
      <c r="I916" s="25" t="str">
        <f aca="false">IF(H916="","",IF(H916&lt;=1,"Tramo 1",IF(H916&lt;=3,"Tramo 2",IF(H916&lt;=5,"Tramo 3","Tramo 4"))))</f>
        <v>Tramo 1</v>
      </c>
      <c r="J916" s="22" t="s">
        <v>2639</v>
      </c>
      <c r="K916" s="22"/>
      <c r="L916" s="22"/>
      <c r="M916" s="26"/>
      <c r="N916" s="22"/>
      <c r="O916" s="22" t="s">
        <v>63</v>
      </c>
      <c r="P916" s="25" t="str">
        <f aca="false">IF(OR(O916="",O916="Sin información"),"",IFERROR(INDEX(Listas!$B$2:$B$9,MATCH(O916,Listas!$A$2:$A$9,0)),""))</f>
        <v/>
      </c>
      <c r="Q916" s="25" t="str">
        <f aca="false">IF(OR(O916="",O916="Sin información"),"",IFERROR(INDEX(Listas!$C$2:$C$9,MATCH(O916,Listas!$A$2:$A$9,0)),""))</f>
        <v/>
      </c>
      <c r="R916" s="22"/>
      <c r="S916" s="22"/>
      <c r="T916" s="25" t="str">
        <f aca="false">IF(S916="","",IFERROR(INDEX(Empleadores!$B$2:$B$601,MATCH(S916,Empleadores!$A$2:$A$601,0)),"No encontrado"))</f>
        <v/>
      </c>
      <c r="U916" s="25" t="str">
        <f aca="false">IF(C916="","",IF(V916="","No",IF(Config!$C$4-V916&lt;=Config!$C$15,"Sí","No")))</f>
        <v>No</v>
      </c>
      <c r="V916" s="23"/>
      <c r="W916" s="22"/>
      <c r="X916" s="22"/>
      <c r="Y916" s="22"/>
      <c r="Z916" s="27"/>
      <c r="AA916" s="22"/>
      <c r="AB916" s="22"/>
    </row>
    <row r="917" customFormat="false" ht="15" hidden="false" customHeight="false" outlineLevel="0" collapsed="false">
      <c r="A917" s="22" t="n">
        <v>916</v>
      </c>
      <c r="B917" s="22" t="s">
        <v>3949</v>
      </c>
      <c r="C917" s="22" t="s">
        <v>3950</v>
      </c>
      <c r="D917" s="22"/>
      <c r="E917" s="22" t="s">
        <v>139</v>
      </c>
      <c r="F917" s="22" t="s">
        <v>108</v>
      </c>
      <c r="G917" s="23" t="n">
        <v>46020</v>
      </c>
      <c r="H917" s="24" t="n">
        <f aca="false">IF(G917="","",ROUND((Config!$C$4-G917)/365.25,2))</f>
        <v>0.76</v>
      </c>
      <c r="I917" s="25" t="str">
        <f aca="false">IF(H917="","",IF(H917&lt;=1,"Tramo 1",IF(H917&lt;=3,"Tramo 2",IF(H917&lt;=5,"Tramo 3","Tramo 4"))))</f>
        <v>Tramo 1</v>
      </c>
      <c r="J917" s="22" t="s">
        <v>2639</v>
      </c>
      <c r="K917" s="22"/>
      <c r="L917" s="22"/>
      <c r="M917" s="26"/>
      <c r="N917" s="22"/>
      <c r="O917" s="22" t="s">
        <v>63</v>
      </c>
      <c r="P917" s="25" t="str">
        <f aca="false">IF(OR(O917="",O917="Sin información"),"",IFERROR(INDEX(Listas!$B$2:$B$9,MATCH(O917,Listas!$A$2:$A$9,0)),""))</f>
        <v/>
      </c>
      <c r="Q917" s="25" t="str">
        <f aca="false">IF(OR(O917="",O917="Sin información"),"",IFERROR(INDEX(Listas!$C$2:$C$9,MATCH(O917,Listas!$A$2:$A$9,0)),""))</f>
        <v/>
      </c>
      <c r="R917" s="22"/>
      <c r="S917" s="22"/>
      <c r="T917" s="25" t="str">
        <f aca="false">IF(S917="","",IFERROR(INDEX(Empleadores!$B$2:$B$601,MATCH(S917,Empleadores!$A$2:$A$601,0)),"No encontrado"))</f>
        <v/>
      </c>
      <c r="U917" s="25" t="str">
        <f aca="false">IF(C917="","",IF(V917="","No",IF(Config!$C$4-V917&lt;=Config!$C$15,"Sí","No")))</f>
        <v>No</v>
      </c>
      <c r="V917" s="23"/>
      <c r="W917" s="22"/>
      <c r="X917" s="22"/>
      <c r="Y917" s="22"/>
      <c r="Z917" s="27"/>
      <c r="AA917" s="22"/>
      <c r="AB917" s="22"/>
    </row>
    <row r="918" customFormat="false" ht="15" hidden="false" customHeight="false" outlineLevel="0" collapsed="false">
      <c r="A918" s="22" t="n">
        <v>917</v>
      </c>
      <c r="B918" s="22" t="s">
        <v>3951</v>
      </c>
      <c r="C918" s="22" t="s">
        <v>3952</v>
      </c>
      <c r="D918" s="22"/>
      <c r="E918" s="22" t="s">
        <v>139</v>
      </c>
      <c r="F918" s="22" t="s">
        <v>108</v>
      </c>
      <c r="G918" s="23" t="n">
        <v>46020</v>
      </c>
      <c r="H918" s="24" t="n">
        <f aca="false">IF(G918="","",ROUND((Config!$C$4-G918)/365.25,2))</f>
        <v>0.76</v>
      </c>
      <c r="I918" s="25" t="str">
        <f aca="false">IF(H918="","",IF(H918&lt;=1,"Tramo 1",IF(H918&lt;=3,"Tramo 2",IF(H918&lt;=5,"Tramo 3","Tramo 4"))))</f>
        <v>Tramo 1</v>
      </c>
      <c r="J918" s="22" t="s">
        <v>2639</v>
      </c>
      <c r="K918" s="22"/>
      <c r="L918" s="22"/>
      <c r="M918" s="26"/>
      <c r="N918" s="22"/>
      <c r="O918" s="22" t="s">
        <v>63</v>
      </c>
      <c r="P918" s="25" t="str">
        <f aca="false">IF(OR(O918="",O918="Sin información"),"",IFERROR(INDEX(Listas!$B$2:$B$9,MATCH(O918,Listas!$A$2:$A$9,0)),""))</f>
        <v/>
      </c>
      <c r="Q918" s="25" t="str">
        <f aca="false">IF(OR(O918="",O918="Sin información"),"",IFERROR(INDEX(Listas!$C$2:$C$9,MATCH(O918,Listas!$A$2:$A$9,0)),""))</f>
        <v/>
      </c>
      <c r="R918" s="22"/>
      <c r="S918" s="22"/>
      <c r="T918" s="25" t="str">
        <f aca="false">IF(S918="","",IFERROR(INDEX(Empleadores!$B$2:$B$601,MATCH(S918,Empleadores!$A$2:$A$601,0)),"No encontrado"))</f>
        <v/>
      </c>
      <c r="U918" s="25" t="str">
        <f aca="false">IF(C918="","",IF(V918="","No",IF(Config!$C$4-V918&lt;=Config!$C$15,"Sí","No")))</f>
        <v>No</v>
      </c>
      <c r="V918" s="23"/>
      <c r="W918" s="22"/>
      <c r="X918" s="22"/>
      <c r="Y918" s="22"/>
      <c r="Z918" s="27"/>
      <c r="AA918" s="22" t="s">
        <v>3953</v>
      </c>
      <c r="AB918" s="22" t="s">
        <v>1691</v>
      </c>
    </row>
    <row r="919" customFormat="false" ht="15" hidden="false" customHeight="false" outlineLevel="0" collapsed="false">
      <c r="A919" s="22" t="n">
        <v>918</v>
      </c>
      <c r="B919" s="22" t="s">
        <v>3954</v>
      </c>
      <c r="C919" s="22" t="s">
        <v>3955</v>
      </c>
      <c r="D919" s="22"/>
      <c r="E919" s="22" t="s">
        <v>139</v>
      </c>
      <c r="F919" s="22" t="s">
        <v>108</v>
      </c>
      <c r="G919" s="23" t="n">
        <v>46020</v>
      </c>
      <c r="H919" s="24" t="n">
        <f aca="false">IF(G919="","",ROUND((Config!$C$4-G919)/365.25,2))</f>
        <v>0.76</v>
      </c>
      <c r="I919" s="25" t="str">
        <f aca="false">IF(H919="","",IF(H919&lt;=1,"Tramo 1",IF(H919&lt;=3,"Tramo 2",IF(H919&lt;=5,"Tramo 3","Tramo 4"))))</f>
        <v>Tramo 1</v>
      </c>
      <c r="J919" s="22" t="s">
        <v>2639</v>
      </c>
      <c r="K919" s="22"/>
      <c r="L919" s="22"/>
      <c r="M919" s="26"/>
      <c r="N919" s="22"/>
      <c r="O919" s="22" t="s">
        <v>63</v>
      </c>
      <c r="P919" s="25" t="str">
        <f aca="false">IF(OR(O919="",O919="Sin información"),"",IFERROR(INDEX(Listas!$B$2:$B$9,MATCH(O919,Listas!$A$2:$A$9,0)),""))</f>
        <v/>
      </c>
      <c r="Q919" s="25" t="str">
        <f aca="false">IF(OR(O919="",O919="Sin información"),"",IFERROR(INDEX(Listas!$C$2:$C$9,MATCH(O919,Listas!$A$2:$A$9,0)),""))</f>
        <v/>
      </c>
      <c r="R919" s="22"/>
      <c r="S919" s="22"/>
      <c r="T919" s="25" t="str">
        <f aca="false">IF(S919="","",IFERROR(INDEX(Empleadores!$B$2:$B$601,MATCH(S919,Empleadores!$A$2:$A$601,0)),"No encontrado"))</f>
        <v/>
      </c>
      <c r="U919" s="25" t="str">
        <f aca="false">IF(C919="","",IF(V919="","No",IF(Config!$C$4-V919&lt;=Config!$C$15,"Sí","No")))</f>
        <v>No</v>
      </c>
      <c r="V919" s="23"/>
      <c r="W919" s="22"/>
      <c r="X919" s="22"/>
      <c r="Y919" s="22"/>
      <c r="Z919" s="27"/>
      <c r="AA919" s="22"/>
      <c r="AB919" s="22"/>
    </row>
    <row r="920" customFormat="false" ht="15" hidden="false" customHeight="false" outlineLevel="0" collapsed="false">
      <c r="A920" s="22" t="n">
        <v>919</v>
      </c>
      <c r="B920" s="22" t="s">
        <v>3956</v>
      </c>
      <c r="C920" s="22" t="s">
        <v>3957</v>
      </c>
      <c r="D920" s="22"/>
      <c r="E920" s="22" t="s">
        <v>139</v>
      </c>
      <c r="F920" s="22" t="s">
        <v>108</v>
      </c>
      <c r="G920" s="23" t="n">
        <v>46020</v>
      </c>
      <c r="H920" s="24" t="n">
        <f aca="false">IF(G920="","",ROUND((Config!$C$4-G920)/365.25,2))</f>
        <v>0.76</v>
      </c>
      <c r="I920" s="25" t="str">
        <f aca="false">IF(H920="","",IF(H920&lt;=1,"Tramo 1",IF(H920&lt;=3,"Tramo 2",IF(H920&lt;=5,"Tramo 3","Tramo 4"))))</f>
        <v>Tramo 1</v>
      </c>
      <c r="J920" s="22" t="s">
        <v>2639</v>
      </c>
      <c r="K920" s="22"/>
      <c r="L920" s="22"/>
      <c r="M920" s="26"/>
      <c r="N920" s="22"/>
      <c r="O920" s="22" t="s">
        <v>63</v>
      </c>
      <c r="P920" s="25" t="str">
        <f aca="false">IF(OR(O920="",O920="Sin información"),"",IFERROR(INDEX(Listas!$B$2:$B$9,MATCH(O920,Listas!$A$2:$A$9,0)),""))</f>
        <v/>
      </c>
      <c r="Q920" s="25" t="str">
        <f aca="false">IF(OR(O920="",O920="Sin información"),"",IFERROR(INDEX(Listas!$C$2:$C$9,MATCH(O920,Listas!$A$2:$A$9,0)),""))</f>
        <v/>
      </c>
      <c r="R920" s="22"/>
      <c r="S920" s="22"/>
      <c r="T920" s="25" t="str">
        <f aca="false">IF(S920="","",IFERROR(INDEX(Empleadores!$B$2:$B$601,MATCH(S920,Empleadores!$A$2:$A$601,0)),"No encontrado"))</f>
        <v/>
      </c>
      <c r="U920" s="25" t="str">
        <f aca="false">IF(C920="","",IF(V920="","No",IF(Config!$C$4-V920&lt;=Config!$C$15,"Sí","No")))</f>
        <v>No</v>
      </c>
      <c r="V920" s="23"/>
      <c r="W920" s="22"/>
      <c r="X920" s="22"/>
      <c r="Y920" s="22"/>
      <c r="Z920" s="27"/>
      <c r="AA920" s="22" t="s">
        <v>3958</v>
      </c>
      <c r="AB920" s="22" t="s">
        <v>1691</v>
      </c>
    </row>
    <row r="921" customFormat="false" ht="15" hidden="false" customHeight="false" outlineLevel="0" collapsed="false">
      <c r="A921" s="22" t="n">
        <v>920</v>
      </c>
      <c r="B921" s="22" t="s">
        <v>3959</v>
      </c>
      <c r="C921" s="22" t="s">
        <v>3960</v>
      </c>
      <c r="D921" s="22"/>
      <c r="E921" s="22" t="s">
        <v>139</v>
      </c>
      <c r="F921" s="22" t="s">
        <v>108</v>
      </c>
      <c r="G921" s="23" t="n">
        <v>46020</v>
      </c>
      <c r="H921" s="24" t="n">
        <f aca="false">IF(G921="","",ROUND((Config!$C$4-G921)/365.25,2))</f>
        <v>0.76</v>
      </c>
      <c r="I921" s="25" t="str">
        <f aca="false">IF(H921="","",IF(H921&lt;=1,"Tramo 1",IF(H921&lt;=3,"Tramo 2",IF(H921&lt;=5,"Tramo 3","Tramo 4"))))</f>
        <v>Tramo 1</v>
      </c>
      <c r="J921" s="22" t="s">
        <v>2639</v>
      </c>
      <c r="K921" s="22"/>
      <c r="L921" s="22"/>
      <c r="M921" s="26"/>
      <c r="N921" s="22"/>
      <c r="O921" s="22" t="s">
        <v>63</v>
      </c>
      <c r="P921" s="25" t="str">
        <f aca="false">IF(OR(O921="",O921="Sin información"),"",IFERROR(INDEX(Listas!$B$2:$B$9,MATCH(O921,Listas!$A$2:$A$9,0)),""))</f>
        <v/>
      </c>
      <c r="Q921" s="25" t="str">
        <f aca="false">IF(OR(O921="",O921="Sin información"),"",IFERROR(INDEX(Listas!$C$2:$C$9,MATCH(O921,Listas!$A$2:$A$9,0)),""))</f>
        <v/>
      </c>
      <c r="R921" s="22"/>
      <c r="S921" s="22"/>
      <c r="T921" s="25" t="str">
        <f aca="false">IF(S921="","",IFERROR(INDEX(Empleadores!$B$2:$B$601,MATCH(S921,Empleadores!$A$2:$A$601,0)),"No encontrado"))</f>
        <v/>
      </c>
      <c r="U921" s="25" t="str">
        <f aca="false">IF(C921="","",IF(V921="","No",IF(Config!$C$4-V921&lt;=Config!$C$15,"Sí","No")))</f>
        <v>No</v>
      </c>
      <c r="V921" s="23"/>
      <c r="W921" s="22"/>
      <c r="X921" s="22"/>
      <c r="Y921" s="22"/>
      <c r="Z921" s="27"/>
      <c r="AA921" s="22"/>
      <c r="AB921" s="22"/>
    </row>
    <row r="922" customFormat="false" ht="15" hidden="false" customHeight="false" outlineLevel="0" collapsed="false">
      <c r="A922" s="22" t="n">
        <v>921</v>
      </c>
      <c r="B922" s="22" t="s">
        <v>3961</v>
      </c>
      <c r="C922" s="22" t="s">
        <v>3962</v>
      </c>
      <c r="D922" s="22"/>
      <c r="E922" s="22" t="s">
        <v>139</v>
      </c>
      <c r="F922" s="22" t="s">
        <v>108</v>
      </c>
      <c r="G922" s="23" t="n">
        <v>46020</v>
      </c>
      <c r="H922" s="24" t="n">
        <f aca="false">IF(G922="","",ROUND((Config!$C$4-G922)/365.25,2))</f>
        <v>0.76</v>
      </c>
      <c r="I922" s="25" t="str">
        <f aca="false">IF(H922="","",IF(H922&lt;=1,"Tramo 1",IF(H922&lt;=3,"Tramo 2",IF(H922&lt;=5,"Tramo 3","Tramo 4"))))</f>
        <v>Tramo 1</v>
      </c>
      <c r="J922" s="22" t="s">
        <v>2639</v>
      </c>
      <c r="K922" s="22"/>
      <c r="L922" s="22"/>
      <c r="M922" s="26"/>
      <c r="N922" s="22"/>
      <c r="O922" s="22" t="s">
        <v>63</v>
      </c>
      <c r="P922" s="25" t="str">
        <f aca="false">IF(OR(O922="",O922="Sin información"),"",IFERROR(INDEX(Listas!$B$2:$B$9,MATCH(O922,Listas!$A$2:$A$9,0)),""))</f>
        <v/>
      </c>
      <c r="Q922" s="25" t="str">
        <f aca="false">IF(OR(O922="",O922="Sin información"),"",IFERROR(INDEX(Listas!$C$2:$C$9,MATCH(O922,Listas!$A$2:$A$9,0)),""))</f>
        <v/>
      </c>
      <c r="R922" s="22"/>
      <c r="S922" s="22"/>
      <c r="T922" s="25" t="str">
        <f aca="false">IF(S922="","",IFERROR(INDEX(Empleadores!$B$2:$B$601,MATCH(S922,Empleadores!$A$2:$A$601,0)),"No encontrado"))</f>
        <v/>
      </c>
      <c r="U922" s="25" t="str">
        <f aca="false">IF(C922="","",IF(V922="","No",IF(Config!$C$4-V922&lt;=Config!$C$15,"Sí","No")))</f>
        <v>No</v>
      </c>
      <c r="V922" s="23"/>
      <c r="W922" s="22"/>
      <c r="X922" s="22"/>
      <c r="Y922" s="22"/>
      <c r="Z922" s="27"/>
      <c r="AA922" s="22" t="s">
        <v>3963</v>
      </c>
      <c r="AB922" s="22" t="s">
        <v>1691</v>
      </c>
    </row>
    <row r="923" customFormat="false" ht="15" hidden="false" customHeight="false" outlineLevel="0" collapsed="false">
      <c r="A923" s="22" t="n">
        <v>922</v>
      </c>
      <c r="B923" s="22" t="s">
        <v>3964</v>
      </c>
      <c r="C923" s="22" t="s">
        <v>3965</v>
      </c>
      <c r="D923" s="22"/>
      <c r="E923" s="22" t="s">
        <v>139</v>
      </c>
      <c r="F923" s="22" t="s">
        <v>108</v>
      </c>
      <c r="G923" s="23" t="n">
        <v>46020</v>
      </c>
      <c r="H923" s="24" t="n">
        <f aca="false">IF(G923="","",ROUND((Config!$C$4-G923)/365.25,2))</f>
        <v>0.76</v>
      </c>
      <c r="I923" s="25" t="str">
        <f aca="false">IF(H923="","",IF(H923&lt;=1,"Tramo 1",IF(H923&lt;=3,"Tramo 2",IF(H923&lt;=5,"Tramo 3","Tramo 4"))))</f>
        <v>Tramo 1</v>
      </c>
      <c r="J923" s="22" t="s">
        <v>2639</v>
      </c>
      <c r="K923" s="22"/>
      <c r="L923" s="22"/>
      <c r="M923" s="26"/>
      <c r="N923" s="22"/>
      <c r="O923" s="22" t="s">
        <v>63</v>
      </c>
      <c r="P923" s="25" t="str">
        <f aca="false">IF(OR(O923="",O923="Sin información"),"",IFERROR(INDEX(Listas!$B$2:$B$9,MATCH(O923,Listas!$A$2:$A$9,0)),""))</f>
        <v/>
      </c>
      <c r="Q923" s="25" t="str">
        <f aca="false">IF(OR(O923="",O923="Sin información"),"",IFERROR(INDEX(Listas!$C$2:$C$9,MATCH(O923,Listas!$A$2:$A$9,0)),""))</f>
        <v/>
      </c>
      <c r="R923" s="22"/>
      <c r="S923" s="22"/>
      <c r="T923" s="25" t="str">
        <f aca="false">IF(S923="","",IFERROR(INDEX(Empleadores!$B$2:$B$601,MATCH(S923,Empleadores!$A$2:$A$601,0)),"No encontrado"))</f>
        <v/>
      </c>
      <c r="U923" s="25" t="str">
        <f aca="false">IF(C923="","",IF(V923="","No",IF(Config!$C$4-V923&lt;=Config!$C$15,"Sí","No")))</f>
        <v>No</v>
      </c>
      <c r="V923" s="23"/>
      <c r="W923" s="22"/>
      <c r="X923" s="22"/>
      <c r="Y923" s="22"/>
      <c r="Z923" s="27"/>
      <c r="AA923" s="22"/>
      <c r="AB923" s="22"/>
    </row>
    <row r="924" customFormat="false" ht="15" hidden="false" customHeight="false" outlineLevel="0" collapsed="false">
      <c r="A924" s="22" t="n">
        <v>923</v>
      </c>
      <c r="B924" s="22" t="s">
        <v>3966</v>
      </c>
      <c r="C924" s="22" t="s">
        <v>3967</v>
      </c>
      <c r="D924" s="22"/>
      <c r="E924" s="22" t="s">
        <v>139</v>
      </c>
      <c r="F924" s="22" t="s">
        <v>108</v>
      </c>
      <c r="G924" s="23" t="n">
        <v>46020</v>
      </c>
      <c r="H924" s="24" t="n">
        <f aca="false">IF(G924="","",ROUND((Config!$C$4-G924)/365.25,2))</f>
        <v>0.76</v>
      </c>
      <c r="I924" s="25" t="str">
        <f aca="false">IF(H924="","",IF(H924&lt;=1,"Tramo 1",IF(H924&lt;=3,"Tramo 2",IF(H924&lt;=5,"Tramo 3","Tramo 4"))))</f>
        <v>Tramo 1</v>
      </c>
      <c r="J924" s="22" t="s">
        <v>2639</v>
      </c>
      <c r="K924" s="22"/>
      <c r="L924" s="22"/>
      <c r="M924" s="26"/>
      <c r="N924" s="22"/>
      <c r="O924" s="22" t="s">
        <v>63</v>
      </c>
      <c r="P924" s="25" t="str">
        <f aca="false">IF(OR(O924="",O924="Sin información"),"",IFERROR(INDEX(Listas!$B$2:$B$9,MATCH(O924,Listas!$A$2:$A$9,0)),""))</f>
        <v/>
      </c>
      <c r="Q924" s="25" t="str">
        <f aca="false">IF(OR(O924="",O924="Sin información"),"",IFERROR(INDEX(Listas!$C$2:$C$9,MATCH(O924,Listas!$A$2:$A$9,0)),""))</f>
        <v/>
      </c>
      <c r="R924" s="22"/>
      <c r="S924" s="22"/>
      <c r="T924" s="25" t="str">
        <f aca="false">IF(S924="","",IFERROR(INDEX(Empleadores!$B$2:$B$601,MATCH(S924,Empleadores!$A$2:$A$601,0)),"No encontrado"))</f>
        <v/>
      </c>
      <c r="U924" s="25" t="str">
        <f aca="false">IF(C924="","",IF(V924="","No",IF(Config!$C$4-V924&lt;=Config!$C$15,"Sí","No")))</f>
        <v>No</v>
      </c>
      <c r="V924" s="23"/>
      <c r="W924" s="22"/>
      <c r="X924" s="22"/>
      <c r="Y924" s="22"/>
      <c r="Z924" s="27"/>
      <c r="AA924" s="22"/>
      <c r="AB924" s="22"/>
    </row>
    <row r="925" customFormat="false" ht="15" hidden="false" customHeight="false" outlineLevel="0" collapsed="false">
      <c r="A925" s="22" t="n">
        <v>924</v>
      </c>
      <c r="B925" s="22" t="s">
        <v>3968</v>
      </c>
      <c r="C925" s="22" t="s">
        <v>3969</v>
      </c>
      <c r="D925" s="22"/>
      <c r="E925" s="22" t="s">
        <v>139</v>
      </c>
      <c r="F925" s="22" t="s">
        <v>108</v>
      </c>
      <c r="G925" s="23" t="n">
        <v>46020</v>
      </c>
      <c r="H925" s="24" t="n">
        <f aca="false">IF(G925="","",ROUND((Config!$C$4-G925)/365.25,2))</f>
        <v>0.76</v>
      </c>
      <c r="I925" s="25" t="str">
        <f aca="false">IF(H925="","",IF(H925&lt;=1,"Tramo 1",IF(H925&lt;=3,"Tramo 2",IF(H925&lt;=5,"Tramo 3","Tramo 4"))))</f>
        <v>Tramo 1</v>
      </c>
      <c r="J925" s="22" t="s">
        <v>2639</v>
      </c>
      <c r="K925" s="22"/>
      <c r="L925" s="22"/>
      <c r="M925" s="26"/>
      <c r="N925" s="22"/>
      <c r="O925" s="22" t="s">
        <v>63</v>
      </c>
      <c r="P925" s="25" t="str">
        <f aca="false">IF(OR(O925="",O925="Sin información"),"",IFERROR(INDEX(Listas!$B$2:$B$9,MATCH(O925,Listas!$A$2:$A$9,0)),""))</f>
        <v/>
      </c>
      <c r="Q925" s="25" t="str">
        <f aca="false">IF(OR(O925="",O925="Sin información"),"",IFERROR(INDEX(Listas!$C$2:$C$9,MATCH(O925,Listas!$A$2:$A$9,0)),""))</f>
        <v/>
      </c>
      <c r="R925" s="22"/>
      <c r="S925" s="22"/>
      <c r="T925" s="25" t="str">
        <f aca="false">IF(S925="","",IFERROR(INDEX(Empleadores!$B$2:$B$601,MATCH(S925,Empleadores!$A$2:$A$601,0)),"No encontrado"))</f>
        <v/>
      </c>
      <c r="U925" s="25" t="str">
        <f aca="false">IF(C925="","",IF(V925="","No",IF(Config!$C$4-V925&lt;=Config!$C$15,"Sí","No")))</f>
        <v>No</v>
      </c>
      <c r="V925" s="23"/>
      <c r="W925" s="22"/>
      <c r="X925" s="22"/>
      <c r="Y925" s="22"/>
      <c r="Z925" s="27"/>
      <c r="AA925" s="22"/>
      <c r="AB925" s="22"/>
    </row>
    <row r="926" customFormat="false" ht="15" hidden="false" customHeight="false" outlineLevel="0" collapsed="false">
      <c r="A926" s="22" t="n">
        <v>925</v>
      </c>
      <c r="B926" s="22" t="s">
        <v>3970</v>
      </c>
      <c r="C926" s="22" t="s">
        <v>3971</v>
      </c>
      <c r="D926" s="22"/>
      <c r="E926" s="22" t="s">
        <v>139</v>
      </c>
      <c r="F926" s="22" t="s">
        <v>108</v>
      </c>
      <c r="G926" s="23" t="n">
        <v>46020</v>
      </c>
      <c r="H926" s="24" t="n">
        <f aca="false">IF(G926="","",ROUND((Config!$C$4-G926)/365.25,2))</f>
        <v>0.76</v>
      </c>
      <c r="I926" s="25" t="str">
        <f aca="false">IF(H926="","",IF(H926&lt;=1,"Tramo 1",IF(H926&lt;=3,"Tramo 2",IF(H926&lt;=5,"Tramo 3","Tramo 4"))))</f>
        <v>Tramo 1</v>
      </c>
      <c r="J926" s="22" t="s">
        <v>2639</v>
      </c>
      <c r="K926" s="22"/>
      <c r="L926" s="22"/>
      <c r="M926" s="26"/>
      <c r="N926" s="22"/>
      <c r="O926" s="22" t="s">
        <v>63</v>
      </c>
      <c r="P926" s="25" t="str">
        <f aca="false">IF(OR(O926="",O926="Sin información"),"",IFERROR(INDEX(Listas!$B$2:$B$9,MATCH(O926,Listas!$A$2:$A$9,0)),""))</f>
        <v/>
      </c>
      <c r="Q926" s="25" t="str">
        <f aca="false">IF(OR(O926="",O926="Sin información"),"",IFERROR(INDEX(Listas!$C$2:$C$9,MATCH(O926,Listas!$A$2:$A$9,0)),""))</f>
        <v/>
      </c>
      <c r="R926" s="22"/>
      <c r="S926" s="22"/>
      <c r="T926" s="25" t="str">
        <f aca="false">IF(S926="","",IFERROR(INDEX(Empleadores!$B$2:$B$601,MATCH(S926,Empleadores!$A$2:$A$601,0)),"No encontrado"))</f>
        <v/>
      </c>
      <c r="U926" s="25" t="str">
        <f aca="false">IF(C926="","",IF(V926="","No",IF(Config!$C$4-V926&lt;=Config!$C$15,"Sí","No")))</f>
        <v>No</v>
      </c>
      <c r="V926" s="23"/>
      <c r="W926" s="22"/>
      <c r="X926" s="22"/>
      <c r="Y926" s="22"/>
      <c r="Z926" s="27"/>
      <c r="AA926" s="22"/>
      <c r="AB926" s="22"/>
    </row>
    <row r="927" customFormat="false" ht="15" hidden="false" customHeight="false" outlineLevel="0" collapsed="false">
      <c r="A927" s="22" t="n">
        <v>926</v>
      </c>
      <c r="B927" s="22" t="s">
        <v>3972</v>
      </c>
      <c r="C927" s="22" t="s">
        <v>3973</v>
      </c>
      <c r="D927" s="22"/>
      <c r="E927" s="22" t="s">
        <v>139</v>
      </c>
      <c r="F927" s="22" t="s">
        <v>108</v>
      </c>
      <c r="G927" s="23" t="n">
        <v>46020</v>
      </c>
      <c r="H927" s="24" t="n">
        <f aca="false">IF(G927="","",ROUND((Config!$C$4-G927)/365.25,2))</f>
        <v>0.76</v>
      </c>
      <c r="I927" s="25" t="str">
        <f aca="false">IF(H927="","",IF(H927&lt;=1,"Tramo 1",IF(H927&lt;=3,"Tramo 2",IF(H927&lt;=5,"Tramo 3","Tramo 4"))))</f>
        <v>Tramo 1</v>
      </c>
      <c r="J927" s="22" t="s">
        <v>2639</v>
      </c>
      <c r="K927" s="22"/>
      <c r="L927" s="22"/>
      <c r="M927" s="26"/>
      <c r="N927" s="22"/>
      <c r="O927" s="22" t="s">
        <v>63</v>
      </c>
      <c r="P927" s="25" t="str">
        <f aca="false">IF(OR(O927="",O927="Sin información"),"",IFERROR(INDEX(Listas!$B$2:$B$9,MATCH(O927,Listas!$A$2:$A$9,0)),""))</f>
        <v/>
      </c>
      <c r="Q927" s="25" t="str">
        <f aca="false">IF(OR(O927="",O927="Sin información"),"",IFERROR(INDEX(Listas!$C$2:$C$9,MATCH(O927,Listas!$A$2:$A$9,0)),""))</f>
        <v/>
      </c>
      <c r="R927" s="22"/>
      <c r="S927" s="22"/>
      <c r="T927" s="25" t="str">
        <f aca="false">IF(S927="","",IFERROR(INDEX(Empleadores!$B$2:$B$601,MATCH(S927,Empleadores!$A$2:$A$601,0)),"No encontrado"))</f>
        <v/>
      </c>
      <c r="U927" s="25" t="str">
        <f aca="false">IF(C927="","",IF(V927="","No",IF(Config!$C$4-V927&lt;=Config!$C$15,"Sí","No")))</f>
        <v>No</v>
      </c>
      <c r="V927" s="23"/>
      <c r="W927" s="22"/>
      <c r="X927" s="22"/>
      <c r="Y927" s="22"/>
      <c r="Z927" s="27"/>
      <c r="AA927" s="22"/>
      <c r="AB927" s="22"/>
    </row>
    <row r="928" customFormat="false" ht="15" hidden="false" customHeight="false" outlineLevel="0" collapsed="false">
      <c r="A928" s="22" t="n">
        <v>927</v>
      </c>
      <c r="B928" s="22" t="s">
        <v>3974</v>
      </c>
      <c r="C928" s="22" t="s">
        <v>3975</v>
      </c>
      <c r="D928" s="22"/>
      <c r="E928" s="22" t="s">
        <v>139</v>
      </c>
      <c r="F928" s="22" t="s">
        <v>108</v>
      </c>
      <c r="G928" s="23" t="n">
        <v>46020</v>
      </c>
      <c r="H928" s="24" t="n">
        <f aca="false">IF(G928="","",ROUND((Config!$C$4-G928)/365.25,2))</f>
        <v>0.76</v>
      </c>
      <c r="I928" s="25" t="str">
        <f aca="false">IF(H928="","",IF(H928&lt;=1,"Tramo 1",IF(H928&lt;=3,"Tramo 2",IF(H928&lt;=5,"Tramo 3","Tramo 4"))))</f>
        <v>Tramo 1</v>
      </c>
      <c r="J928" s="22" t="s">
        <v>2639</v>
      </c>
      <c r="K928" s="22"/>
      <c r="L928" s="22"/>
      <c r="M928" s="26"/>
      <c r="N928" s="22"/>
      <c r="O928" s="22" t="s">
        <v>63</v>
      </c>
      <c r="P928" s="25" t="str">
        <f aca="false">IF(OR(O928="",O928="Sin información"),"",IFERROR(INDEX(Listas!$B$2:$B$9,MATCH(O928,Listas!$A$2:$A$9,0)),""))</f>
        <v/>
      </c>
      <c r="Q928" s="25" t="str">
        <f aca="false">IF(OR(O928="",O928="Sin información"),"",IFERROR(INDEX(Listas!$C$2:$C$9,MATCH(O928,Listas!$A$2:$A$9,0)),""))</f>
        <v/>
      </c>
      <c r="R928" s="22"/>
      <c r="S928" s="22"/>
      <c r="T928" s="25" t="str">
        <f aca="false">IF(S928="","",IFERROR(INDEX(Empleadores!$B$2:$B$601,MATCH(S928,Empleadores!$A$2:$A$601,0)),"No encontrado"))</f>
        <v/>
      </c>
      <c r="U928" s="25" t="str">
        <f aca="false">IF(C928="","",IF(V928="","No",IF(Config!$C$4-V928&lt;=Config!$C$15,"Sí","No")))</f>
        <v>No</v>
      </c>
      <c r="V928" s="23"/>
      <c r="W928" s="22"/>
      <c r="X928" s="22"/>
      <c r="Y928" s="22"/>
      <c r="Z928" s="27"/>
      <c r="AA928" s="22"/>
      <c r="AB928" s="22"/>
    </row>
    <row r="929" customFormat="false" ht="15" hidden="false" customHeight="false" outlineLevel="0" collapsed="false">
      <c r="A929" s="22" t="n">
        <v>928</v>
      </c>
      <c r="B929" s="22" t="s">
        <v>3976</v>
      </c>
      <c r="C929" s="22" t="s">
        <v>3977</v>
      </c>
      <c r="D929" s="22"/>
      <c r="E929" s="22" t="s">
        <v>139</v>
      </c>
      <c r="F929" s="22" t="s">
        <v>108</v>
      </c>
      <c r="G929" s="23" t="n">
        <v>46020</v>
      </c>
      <c r="H929" s="24" t="n">
        <f aca="false">IF(G929="","",ROUND((Config!$C$4-G929)/365.25,2))</f>
        <v>0.76</v>
      </c>
      <c r="I929" s="25" t="str">
        <f aca="false">IF(H929="","",IF(H929&lt;=1,"Tramo 1",IF(H929&lt;=3,"Tramo 2",IF(H929&lt;=5,"Tramo 3","Tramo 4"))))</f>
        <v>Tramo 1</v>
      </c>
      <c r="J929" s="22" t="s">
        <v>2639</v>
      </c>
      <c r="K929" s="22"/>
      <c r="L929" s="22"/>
      <c r="M929" s="26"/>
      <c r="N929" s="22"/>
      <c r="O929" s="22" t="s">
        <v>63</v>
      </c>
      <c r="P929" s="25" t="str">
        <f aca="false">IF(OR(O929="",O929="Sin información"),"",IFERROR(INDEX(Listas!$B$2:$B$9,MATCH(O929,Listas!$A$2:$A$9,0)),""))</f>
        <v/>
      </c>
      <c r="Q929" s="25" t="str">
        <f aca="false">IF(OR(O929="",O929="Sin información"),"",IFERROR(INDEX(Listas!$C$2:$C$9,MATCH(O929,Listas!$A$2:$A$9,0)),""))</f>
        <v/>
      </c>
      <c r="R929" s="22"/>
      <c r="S929" s="22"/>
      <c r="T929" s="25" t="str">
        <f aca="false">IF(S929="","",IFERROR(INDEX(Empleadores!$B$2:$B$601,MATCH(S929,Empleadores!$A$2:$A$601,0)),"No encontrado"))</f>
        <v/>
      </c>
      <c r="U929" s="25" t="str">
        <f aca="false">IF(C929="","",IF(V929="","No",IF(Config!$C$4-V929&lt;=Config!$C$15,"Sí","No")))</f>
        <v>No</v>
      </c>
      <c r="V929" s="23"/>
      <c r="W929" s="22"/>
      <c r="X929" s="22"/>
      <c r="Y929" s="22"/>
      <c r="Z929" s="27"/>
      <c r="AA929" s="22"/>
      <c r="AB929" s="22"/>
    </row>
    <row r="930" customFormat="false" ht="15" hidden="false" customHeight="false" outlineLevel="0" collapsed="false">
      <c r="A930" s="22" t="n">
        <v>929</v>
      </c>
      <c r="B930" s="22" t="s">
        <v>3978</v>
      </c>
      <c r="C930" s="22" t="s">
        <v>3979</v>
      </c>
      <c r="D930" s="22"/>
      <c r="E930" s="22" t="s">
        <v>139</v>
      </c>
      <c r="F930" s="22" t="s">
        <v>108</v>
      </c>
      <c r="G930" s="23" t="n">
        <v>46020</v>
      </c>
      <c r="H930" s="24" t="n">
        <f aca="false">IF(G930="","",ROUND((Config!$C$4-G930)/365.25,2))</f>
        <v>0.76</v>
      </c>
      <c r="I930" s="25" t="str">
        <f aca="false">IF(H930="","",IF(H930&lt;=1,"Tramo 1",IF(H930&lt;=3,"Tramo 2",IF(H930&lt;=5,"Tramo 3","Tramo 4"))))</f>
        <v>Tramo 1</v>
      </c>
      <c r="J930" s="22" t="s">
        <v>2639</v>
      </c>
      <c r="K930" s="22"/>
      <c r="L930" s="22"/>
      <c r="M930" s="26"/>
      <c r="N930" s="22"/>
      <c r="O930" s="22" t="s">
        <v>63</v>
      </c>
      <c r="P930" s="25" t="str">
        <f aca="false">IF(OR(O930="",O930="Sin información"),"",IFERROR(INDEX(Listas!$B$2:$B$9,MATCH(O930,Listas!$A$2:$A$9,0)),""))</f>
        <v/>
      </c>
      <c r="Q930" s="25" t="str">
        <f aca="false">IF(OR(O930="",O930="Sin información"),"",IFERROR(INDEX(Listas!$C$2:$C$9,MATCH(O930,Listas!$A$2:$A$9,0)),""))</f>
        <v/>
      </c>
      <c r="R930" s="22"/>
      <c r="S930" s="22"/>
      <c r="T930" s="25" t="str">
        <f aca="false">IF(S930="","",IFERROR(INDEX(Empleadores!$B$2:$B$601,MATCH(S930,Empleadores!$A$2:$A$601,0)),"No encontrado"))</f>
        <v/>
      </c>
      <c r="U930" s="25" t="str">
        <f aca="false">IF(C930="","",IF(V930="","No",IF(Config!$C$4-V930&lt;=Config!$C$15,"Sí","No")))</f>
        <v>No</v>
      </c>
      <c r="V930" s="23"/>
      <c r="W930" s="22"/>
      <c r="X930" s="22"/>
      <c r="Y930" s="22"/>
      <c r="Z930" s="27"/>
      <c r="AA930" s="22" t="s">
        <v>3980</v>
      </c>
      <c r="AB930" s="22" t="s">
        <v>1691</v>
      </c>
    </row>
    <row r="931" customFormat="false" ht="15" hidden="false" customHeight="false" outlineLevel="0" collapsed="false">
      <c r="A931" s="22" t="n">
        <v>930</v>
      </c>
      <c r="B931" s="22" t="s">
        <v>3981</v>
      </c>
      <c r="C931" s="22" t="s">
        <v>3982</v>
      </c>
      <c r="D931" s="22"/>
      <c r="E931" s="22" t="s">
        <v>139</v>
      </c>
      <c r="F931" s="22" t="s">
        <v>108</v>
      </c>
      <c r="G931" s="23" t="n">
        <v>46020</v>
      </c>
      <c r="H931" s="24" t="n">
        <f aca="false">IF(G931="","",ROUND((Config!$C$4-G931)/365.25,2))</f>
        <v>0.76</v>
      </c>
      <c r="I931" s="25" t="str">
        <f aca="false">IF(H931="","",IF(H931&lt;=1,"Tramo 1",IF(H931&lt;=3,"Tramo 2",IF(H931&lt;=5,"Tramo 3","Tramo 4"))))</f>
        <v>Tramo 1</v>
      </c>
      <c r="J931" s="22" t="s">
        <v>2639</v>
      </c>
      <c r="K931" s="22"/>
      <c r="L931" s="22"/>
      <c r="M931" s="26"/>
      <c r="N931" s="22"/>
      <c r="O931" s="22" t="s">
        <v>63</v>
      </c>
      <c r="P931" s="25" t="str">
        <f aca="false">IF(OR(O931="",O931="Sin información"),"",IFERROR(INDEX(Listas!$B$2:$B$9,MATCH(O931,Listas!$A$2:$A$9,0)),""))</f>
        <v/>
      </c>
      <c r="Q931" s="25" t="str">
        <f aca="false">IF(OR(O931="",O931="Sin información"),"",IFERROR(INDEX(Listas!$C$2:$C$9,MATCH(O931,Listas!$A$2:$A$9,0)),""))</f>
        <v/>
      </c>
      <c r="R931" s="22"/>
      <c r="S931" s="22"/>
      <c r="T931" s="25" t="str">
        <f aca="false">IF(S931="","",IFERROR(INDEX(Empleadores!$B$2:$B$601,MATCH(S931,Empleadores!$A$2:$A$601,0)),"No encontrado"))</f>
        <v/>
      </c>
      <c r="U931" s="25" t="str">
        <f aca="false">IF(C931="","",IF(V931="","No",IF(Config!$C$4-V931&lt;=Config!$C$15,"Sí","No")))</f>
        <v>No</v>
      </c>
      <c r="V931" s="23"/>
      <c r="W931" s="22"/>
      <c r="X931" s="22"/>
      <c r="Y931" s="22"/>
      <c r="Z931" s="27"/>
      <c r="AA931" s="22"/>
      <c r="AB931" s="22"/>
    </row>
    <row r="932" customFormat="false" ht="15" hidden="false" customHeight="false" outlineLevel="0" collapsed="false">
      <c r="A932" s="22" t="n">
        <v>931</v>
      </c>
      <c r="B932" s="22" t="s">
        <v>3983</v>
      </c>
      <c r="C932" s="22" t="s">
        <v>3984</v>
      </c>
      <c r="D932" s="22"/>
      <c r="E932" s="22" t="s">
        <v>139</v>
      </c>
      <c r="F932" s="22" t="s">
        <v>108</v>
      </c>
      <c r="G932" s="23" t="n">
        <v>46020</v>
      </c>
      <c r="H932" s="24" t="n">
        <f aca="false">IF(G932="","",ROUND((Config!$C$4-G932)/365.25,2))</f>
        <v>0.76</v>
      </c>
      <c r="I932" s="25" t="str">
        <f aca="false">IF(H932="","",IF(H932&lt;=1,"Tramo 1",IF(H932&lt;=3,"Tramo 2",IF(H932&lt;=5,"Tramo 3","Tramo 4"))))</f>
        <v>Tramo 1</v>
      </c>
      <c r="J932" s="22" t="s">
        <v>2639</v>
      </c>
      <c r="K932" s="22"/>
      <c r="L932" s="22"/>
      <c r="M932" s="26"/>
      <c r="N932" s="22"/>
      <c r="O932" s="22" t="s">
        <v>63</v>
      </c>
      <c r="P932" s="25" t="str">
        <f aca="false">IF(OR(O932="",O932="Sin información"),"",IFERROR(INDEX(Listas!$B$2:$B$9,MATCH(O932,Listas!$A$2:$A$9,0)),""))</f>
        <v/>
      </c>
      <c r="Q932" s="25" t="str">
        <f aca="false">IF(OR(O932="",O932="Sin información"),"",IFERROR(INDEX(Listas!$C$2:$C$9,MATCH(O932,Listas!$A$2:$A$9,0)),""))</f>
        <v/>
      </c>
      <c r="R932" s="22"/>
      <c r="S932" s="22"/>
      <c r="T932" s="25" t="str">
        <f aca="false">IF(S932="","",IFERROR(INDEX(Empleadores!$B$2:$B$601,MATCH(S932,Empleadores!$A$2:$A$601,0)),"No encontrado"))</f>
        <v/>
      </c>
      <c r="U932" s="25" t="str">
        <f aca="false">IF(C932="","",IF(V932="","No",IF(Config!$C$4-V932&lt;=Config!$C$15,"Sí","No")))</f>
        <v>No</v>
      </c>
      <c r="V932" s="23"/>
      <c r="W932" s="22"/>
      <c r="X932" s="22"/>
      <c r="Y932" s="22"/>
      <c r="Z932" s="27"/>
      <c r="AA932" s="22"/>
      <c r="AB932" s="22"/>
    </row>
    <row r="933" customFormat="false" ht="15" hidden="false" customHeight="false" outlineLevel="0" collapsed="false">
      <c r="A933" s="22" t="n">
        <v>932</v>
      </c>
      <c r="B933" s="22" t="s">
        <v>3985</v>
      </c>
      <c r="C933" s="22" t="s">
        <v>3986</v>
      </c>
      <c r="D933" s="22"/>
      <c r="E933" s="22" t="s">
        <v>139</v>
      </c>
      <c r="F933" s="22" t="s">
        <v>108</v>
      </c>
      <c r="G933" s="23" t="n">
        <v>46020</v>
      </c>
      <c r="H933" s="24" t="n">
        <f aca="false">IF(G933="","",ROUND((Config!$C$4-G933)/365.25,2))</f>
        <v>0.76</v>
      </c>
      <c r="I933" s="25" t="str">
        <f aca="false">IF(H933="","",IF(H933&lt;=1,"Tramo 1",IF(H933&lt;=3,"Tramo 2",IF(H933&lt;=5,"Tramo 3","Tramo 4"))))</f>
        <v>Tramo 1</v>
      </c>
      <c r="J933" s="22" t="s">
        <v>2639</v>
      </c>
      <c r="K933" s="22"/>
      <c r="L933" s="22"/>
      <c r="M933" s="26"/>
      <c r="N933" s="22"/>
      <c r="O933" s="22" t="s">
        <v>63</v>
      </c>
      <c r="P933" s="25" t="str">
        <f aca="false">IF(OR(O933="",O933="Sin información"),"",IFERROR(INDEX(Listas!$B$2:$B$9,MATCH(O933,Listas!$A$2:$A$9,0)),""))</f>
        <v/>
      </c>
      <c r="Q933" s="25" t="str">
        <f aca="false">IF(OR(O933="",O933="Sin información"),"",IFERROR(INDEX(Listas!$C$2:$C$9,MATCH(O933,Listas!$A$2:$A$9,0)),""))</f>
        <v/>
      </c>
      <c r="R933" s="22"/>
      <c r="S933" s="22"/>
      <c r="T933" s="25" t="str">
        <f aca="false">IF(S933="","",IFERROR(INDEX(Empleadores!$B$2:$B$601,MATCH(S933,Empleadores!$A$2:$A$601,0)),"No encontrado"))</f>
        <v/>
      </c>
      <c r="U933" s="25" t="str">
        <f aca="false">IF(C933="","",IF(V933="","No",IF(Config!$C$4-V933&lt;=Config!$C$15,"Sí","No")))</f>
        <v>No</v>
      </c>
      <c r="V933" s="23"/>
      <c r="W933" s="22"/>
      <c r="X933" s="22"/>
      <c r="Y933" s="22"/>
      <c r="Z933" s="27"/>
      <c r="AA933" s="22"/>
      <c r="AB933" s="22"/>
    </row>
    <row r="934" customFormat="false" ht="15" hidden="false" customHeight="false" outlineLevel="0" collapsed="false">
      <c r="A934" s="22" t="n">
        <v>933</v>
      </c>
      <c r="B934" s="22" t="s">
        <v>3987</v>
      </c>
      <c r="C934" s="22" t="s">
        <v>3988</v>
      </c>
      <c r="D934" s="22"/>
      <c r="E934" s="22" t="s">
        <v>139</v>
      </c>
      <c r="F934" s="22" t="s">
        <v>108</v>
      </c>
      <c r="G934" s="23" t="n">
        <v>46020</v>
      </c>
      <c r="H934" s="24" t="n">
        <f aca="false">IF(G934="","",ROUND((Config!$C$4-G934)/365.25,2))</f>
        <v>0.76</v>
      </c>
      <c r="I934" s="25" t="str">
        <f aca="false">IF(H934="","",IF(H934&lt;=1,"Tramo 1",IF(H934&lt;=3,"Tramo 2",IF(H934&lt;=5,"Tramo 3","Tramo 4"))))</f>
        <v>Tramo 1</v>
      </c>
      <c r="J934" s="22" t="s">
        <v>2639</v>
      </c>
      <c r="K934" s="22"/>
      <c r="L934" s="22"/>
      <c r="M934" s="26"/>
      <c r="N934" s="22"/>
      <c r="O934" s="22" t="s">
        <v>63</v>
      </c>
      <c r="P934" s="25" t="str">
        <f aca="false">IF(OR(O934="",O934="Sin información"),"",IFERROR(INDEX(Listas!$B$2:$B$9,MATCH(O934,Listas!$A$2:$A$9,0)),""))</f>
        <v/>
      </c>
      <c r="Q934" s="25" t="str">
        <f aca="false">IF(OR(O934="",O934="Sin información"),"",IFERROR(INDEX(Listas!$C$2:$C$9,MATCH(O934,Listas!$A$2:$A$9,0)),""))</f>
        <v/>
      </c>
      <c r="R934" s="22"/>
      <c r="S934" s="22"/>
      <c r="T934" s="25" t="str">
        <f aca="false">IF(S934="","",IFERROR(INDEX(Empleadores!$B$2:$B$601,MATCH(S934,Empleadores!$A$2:$A$601,0)),"No encontrado"))</f>
        <v/>
      </c>
      <c r="U934" s="25" t="str">
        <f aca="false">IF(C934="","",IF(V934="","No",IF(Config!$C$4-V934&lt;=Config!$C$15,"Sí","No")))</f>
        <v>No</v>
      </c>
      <c r="V934" s="23"/>
      <c r="W934" s="22"/>
      <c r="X934" s="22"/>
      <c r="Y934" s="22"/>
      <c r="Z934" s="27"/>
      <c r="AA934" s="22"/>
      <c r="AB934" s="22"/>
    </row>
    <row r="935" customFormat="false" ht="15" hidden="false" customHeight="false" outlineLevel="0" collapsed="false">
      <c r="A935" s="22" t="n">
        <v>934</v>
      </c>
      <c r="B935" s="22" t="s">
        <v>3989</v>
      </c>
      <c r="C935" s="22" t="s">
        <v>3990</v>
      </c>
      <c r="D935" s="22"/>
      <c r="E935" s="22" t="s">
        <v>139</v>
      </c>
      <c r="F935" s="22" t="s">
        <v>108</v>
      </c>
      <c r="G935" s="23" t="n">
        <v>46020</v>
      </c>
      <c r="H935" s="24" t="n">
        <f aca="false">IF(G935="","",ROUND((Config!$C$4-G935)/365.25,2))</f>
        <v>0.76</v>
      </c>
      <c r="I935" s="25" t="str">
        <f aca="false">IF(H935="","",IF(H935&lt;=1,"Tramo 1",IF(H935&lt;=3,"Tramo 2",IF(H935&lt;=5,"Tramo 3","Tramo 4"))))</f>
        <v>Tramo 1</v>
      </c>
      <c r="J935" s="22" t="s">
        <v>2639</v>
      </c>
      <c r="K935" s="22"/>
      <c r="L935" s="22"/>
      <c r="M935" s="26"/>
      <c r="N935" s="22"/>
      <c r="O935" s="22" t="s">
        <v>63</v>
      </c>
      <c r="P935" s="25" t="str">
        <f aca="false">IF(OR(O935="",O935="Sin información"),"",IFERROR(INDEX(Listas!$B$2:$B$9,MATCH(O935,Listas!$A$2:$A$9,0)),""))</f>
        <v/>
      </c>
      <c r="Q935" s="25" t="str">
        <f aca="false">IF(OR(O935="",O935="Sin información"),"",IFERROR(INDEX(Listas!$C$2:$C$9,MATCH(O935,Listas!$A$2:$A$9,0)),""))</f>
        <v/>
      </c>
      <c r="R935" s="22"/>
      <c r="S935" s="22"/>
      <c r="T935" s="25" t="str">
        <f aca="false">IF(S935="","",IFERROR(INDEX(Empleadores!$B$2:$B$601,MATCH(S935,Empleadores!$A$2:$A$601,0)),"No encontrado"))</f>
        <v/>
      </c>
      <c r="U935" s="25" t="str">
        <f aca="false">IF(C935="","",IF(V935="","No",IF(Config!$C$4-V935&lt;=Config!$C$15,"Sí","No")))</f>
        <v>No</v>
      </c>
      <c r="V935" s="23"/>
      <c r="W935" s="22"/>
      <c r="X935" s="22"/>
      <c r="Y935" s="22"/>
      <c r="Z935" s="27"/>
      <c r="AA935" s="22"/>
      <c r="AB935" s="22"/>
    </row>
    <row r="936" customFormat="false" ht="15" hidden="false" customHeight="false" outlineLevel="0" collapsed="false">
      <c r="A936" s="22" t="n">
        <v>935</v>
      </c>
      <c r="B936" s="22" t="s">
        <v>3991</v>
      </c>
      <c r="C936" s="22" t="s">
        <v>3992</v>
      </c>
      <c r="D936" s="22"/>
      <c r="E936" s="22" t="s">
        <v>139</v>
      </c>
      <c r="F936" s="22" t="s">
        <v>108</v>
      </c>
      <c r="G936" s="23" t="n">
        <v>46020</v>
      </c>
      <c r="H936" s="24" t="n">
        <f aca="false">IF(G936="","",ROUND((Config!$C$4-G936)/365.25,2))</f>
        <v>0.76</v>
      </c>
      <c r="I936" s="25" t="str">
        <f aca="false">IF(H936="","",IF(H936&lt;=1,"Tramo 1",IF(H936&lt;=3,"Tramo 2",IF(H936&lt;=5,"Tramo 3","Tramo 4"))))</f>
        <v>Tramo 1</v>
      </c>
      <c r="J936" s="22" t="s">
        <v>2639</v>
      </c>
      <c r="K936" s="22"/>
      <c r="L936" s="22"/>
      <c r="M936" s="26"/>
      <c r="N936" s="22"/>
      <c r="O936" s="22" t="s">
        <v>63</v>
      </c>
      <c r="P936" s="25" t="str">
        <f aca="false">IF(OR(O936="",O936="Sin información"),"",IFERROR(INDEX(Listas!$B$2:$B$9,MATCH(O936,Listas!$A$2:$A$9,0)),""))</f>
        <v/>
      </c>
      <c r="Q936" s="25" t="str">
        <f aca="false">IF(OR(O936="",O936="Sin información"),"",IFERROR(INDEX(Listas!$C$2:$C$9,MATCH(O936,Listas!$A$2:$A$9,0)),""))</f>
        <v/>
      </c>
      <c r="R936" s="22"/>
      <c r="S936" s="22"/>
      <c r="T936" s="25" t="str">
        <f aca="false">IF(S936="","",IFERROR(INDEX(Empleadores!$B$2:$B$601,MATCH(S936,Empleadores!$A$2:$A$601,0)),"No encontrado"))</f>
        <v/>
      </c>
      <c r="U936" s="25" t="str">
        <f aca="false">IF(C936="","",IF(V936="","No",IF(Config!$C$4-V936&lt;=Config!$C$15,"Sí","No")))</f>
        <v>No</v>
      </c>
      <c r="V936" s="23"/>
      <c r="W936" s="22"/>
      <c r="X936" s="22"/>
      <c r="Y936" s="22"/>
      <c r="Z936" s="27"/>
      <c r="AA936" s="22" t="s">
        <v>3993</v>
      </c>
      <c r="AB936" s="22" t="s">
        <v>1691</v>
      </c>
    </row>
    <row r="937" customFormat="false" ht="15" hidden="false" customHeight="false" outlineLevel="0" collapsed="false">
      <c r="A937" s="22" t="n">
        <v>936</v>
      </c>
      <c r="B937" s="22" t="s">
        <v>3994</v>
      </c>
      <c r="C937" s="22" t="s">
        <v>3995</v>
      </c>
      <c r="D937" s="22"/>
      <c r="E937" s="22" t="s">
        <v>139</v>
      </c>
      <c r="F937" s="22" t="s">
        <v>108</v>
      </c>
      <c r="G937" s="23" t="n">
        <v>46020</v>
      </c>
      <c r="H937" s="24" t="n">
        <f aca="false">IF(G937="","",ROUND((Config!$C$4-G937)/365.25,2))</f>
        <v>0.76</v>
      </c>
      <c r="I937" s="25" t="str">
        <f aca="false">IF(H937="","",IF(H937&lt;=1,"Tramo 1",IF(H937&lt;=3,"Tramo 2",IF(H937&lt;=5,"Tramo 3","Tramo 4"))))</f>
        <v>Tramo 1</v>
      </c>
      <c r="J937" s="22" t="s">
        <v>2639</v>
      </c>
      <c r="K937" s="22"/>
      <c r="L937" s="22"/>
      <c r="M937" s="26"/>
      <c r="N937" s="22"/>
      <c r="O937" s="22" t="s">
        <v>63</v>
      </c>
      <c r="P937" s="25" t="str">
        <f aca="false">IF(OR(O937="",O937="Sin información"),"",IFERROR(INDEX(Listas!$B$2:$B$9,MATCH(O937,Listas!$A$2:$A$9,0)),""))</f>
        <v/>
      </c>
      <c r="Q937" s="25" t="str">
        <f aca="false">IF(OR(O937="",O937="Sin información"),"",IFERROR(INDEX(Listas!$C$2:$C$9,MATCH(O937,Listas!$A$2:$A$9,0)),""))</f>
        <v/>
      </c>
      <c r="R937" s="22"/>
      <c r="S937" s="22"/>
      <c r="T937" s="25" t="str">
        <f aca="false">IF(S937="","",IFERROR(INDEX(Empleadores!$B$2:$B$601,MATCH(S937,Empleadores!$A$2:$A$601,0)),"No encontrado"))</f>
        <v/>
      </c>
      <c r="U937" s="25" t="str">
        <f aca="false">IF(C937="","",IF(V937="","No",IF(Config!$C$4-V937&lt;=Config!$C$15,"Sí","No")))</f>
        <v>No</v>
      </c>
      <c r="V937" s="23"/>
      <c r="W937" s="22"/>
      <c r="X937" s="22"/>
      <c r="Y937" s="22"/>
      <c r="Z937" s="27"/>
      <c r="AA937" s="22"/>
      <c r="AB937" s="22"/>
    </row>
    <row r="938" customFormat="false" ht="15" hidden="false" customHeight="false" outlineLevel="0" collapsed="false">
      <c r="A938" s="22" t="n">
        <v>937</v>
      </c>
      <c r="B938" s="22" t="s">
        <v>3996</v>
      </c>
      <c r="C938" s="22" t="s">
        <v>3997</v>
      </c>
      <c r="D938" s="22"/>
      <c r="E938" s="22" t="s">
        <v>139</v>
      </c>
      <c r="F938" s="22" t="s">
        <v>108</v>
      </c>
      <c r="G938" s="23" t="n">
        <v>46020</v>
      </c>
      <c r="H938" s="24" t="n">
        <f aca="false">IF(G938="","",ROUND((Config!$C$4-G938)/365.25,2))</f>
        <v>0.76</v>
      </c>
      <c r="I938" s="25" t="str">
        <f aca="false">IF(H938="","",IF(H938&lt;=1,"Tramo 1",IF(H938&lt;=3,"Tramo 2",IF(H938&lt;=5,"Tramo 3","Tramo 4"))))</f>
        <v>Tramo 1</v>
      </c>
      <c r="J938" s="22" t="s">
        <v>2639</v>
      </c>
      <c r="K938" s="22"/>
      <c r="L938" s="22"/>
      <c r="M938" s="26"/>
      <c r="N938" s="22"/>
      <c r="O938" s="22" t="s">
        <v>63</v>
      </c>
      <c r="P938" s="25" t="str">
        <f aca="false">IF(OR(O938="",O938="Sin información"),"",IFERROR(INDEX(Listas!$B$2:$B$9,MATCH(O938,Listas!$A$2:$A$9,0)),""))</f>
        <v/>
      </c>
      <c r="Q938" s="25" t="str">
        <f aca="false">IF(OR(O938="",O938="Sin información"),"",IFERROR(INDEX(Listas!$C$2:$C$9,MATCH(O938,Listas!$A$2:$A$9,0)),""))</f>
        <v/>
      </c>
      <c r="R938" s="22"/>
      <c r="S938" s="22"/>
      <c r="T938" s="25" t="str">
        <f aca="false">IF(S938="","",IFERROR(INDEX(Empleadores!$B$2:$B$601,MATCH(S938,Empleadores!$A$2:$A$601,0)),"No encontrado"))</f>
        <v/>
      </c>
      <c r="U938" s="25" t="str">
        <f aca="false">IF(C938="","",IF(V938="","No",IF(Config!$C$4-V938&lt;=Config!$C$15,"Sí","No")))</f>
        <v>No</v>
      </c>
      <c r="V938" s="23"/>
      <c r="W938" s="22"/>
      <c r="X938" s="22"/>
      <c r="Y938" s="22"/>
      <c r="Z938" s="27"/>
      <c r="AA938" s="22"/>
      <c r="AB938" s="22"/>
    </row>
    <row r="939" customFormat="false" ht="15" hidden="false" customHeight="false" outlineLevel="0" collapsed="false">
      <c r="A939" s="22" t="n">
        <v>938</v>
      </c>
      <c r="B939" s="22" t="s">
        <v>3998</v>
      </c>
      <c r="C939" s="22" t="s">
        <v>3999</v>
      </c>
      <c r="D939" s="22"/>
      <c r="E939" s="22" t="s">
        <v>139</v>
      </c>
      <c r="F939" s="22" t="s">
        <v>108</v>
      </c>
      <c r="G939" s="23" t="n">
        <v>46020</v>
      </c>
      <c r="H939" s="24" t="n">
        <f aca="false">IF(G939="","",ROUND((Config!$C$4-G939)/365.25,2))</f>
        <v>0.76</v>
      </c>
      <c r="I939" s="25" t="str">
        <f aca="false">IF(H939="","",IF(H939&lt;=1,"Tramo 1",IF(H939&lt;=3,"Tramo 2",IF(H939&lt;=5,"Tramo 3","Tramo 4"))))</f>
        <v>Tramo 1</v>
      </c>
      <c r="J939" s="22" t="s">
        <v>2639</v>
      </c>
      <c r="K939" s="22"/>
      <c r="L939" s="22"/>
      <c r="M939" s="26"/>
      <c r="N939" s="22"/>
      <c r="O939" s="22" t="s">
        <v>63</v>
      </c>
      <c r="P939" s="25" t="str">
        <f aca="false">IF(OR(O939="",O939="Sin información"),"",IFERROR(INDEX(Listas!$B$2:$B$9,MATCH(O939,Listas!$A$2:$A$9,0)),""))</f>
        <v/>
      </c>
      <c r="Q939" s="25" t="str">
        <f aca="false">IF(OR(O939="",O939="Sin información"),"",IFERROR(INDEX(Listas!$C$2:$C$9,MATCH(O939,Listas!$A$2:$A$9,0)),""))</f>
        <v/>
      </c>
      <c r="R939" s="22"/>
      <c r="S939" s="22"/>
      <c r="T939" s="25" t="str">
        <f aca="false">IF(S939="","",IFERROR(INDEX(Empleadores!$B$2:$B$601,MATCH(S939,Empleadores!$A$2:$A$601,0)),"No encontrado"))</f>
        <v/>
      </c>
      <c r="U939" s="25" t="str">
        <f aca="false">IF(C939="","",IF(V939="","No",IF(Config!$C$4-V939&lt;=Config!$C$15,"Sí","No")))</f>
        <v>No</v>
      </c>
      <c r="V939" s="23"/>
      <c r="W939" s="22"/>
      <c r="X939" s="22"/>
      <c r="Y939" s="22"/>
      <c r="Z939" s="27"/>
      <c r="AA939" s="22" t="s">
        <v>4000</v>
      </c>
      <c r="AB939" s="22" t="s">
        <v>1691</v>
      </c>
    </row>
    <row r="940" customFormat="false" ht="15" hidden="false" customHeight="false" outlineLevel="0" collapsed="false">
      <c r="A940" s="22" t="n">
        <v>939</v>
      </c>
      <c r="B940" s="22" t="s">
        <v>4001</v>
      </c>
      <c r="C940" s="22" t="s">
        <v>4002</v>
      </c>
      <c r="D940" s="22"/>
      <c r="E940" s="22" t="s">
        <v>139</v>
      </c>
      <c r="F940" s="22" t="s">
        <v>108</v>
      </c>
      <c r="G940" s="23" t="n">
        <v>46020</v>
      </c>
      <c r="H940" s="24" t="n">
        <f aca="false">IF(G940="","",ROUND((Config!$C$4-G940)/365.25,2))</f>
        <v>0.76</v>
      </c>
      <c r="I940" s="25" t="str">
        <f aca="false">IF(H940="","",IF(H940&lt;=1,"Tramo 1",IF(H940&lt;=3,"Tramo 2",IF(H940&lt;=5,"Tramo 3","Tramo 4"))))</f>
        <v>Tramo 1</v>
      </c>
      <c r="J940" s="22" t="s">
        <v>2639</v>
      </c>
      <c r="K940" s="22"/>
      <c r="L940" s="22"/>
      <c r="M940" s="26"/>
      <c r="N940" s="22"/>
      <c r="O940" s="22" t="s">
        <v>63</v>
      </c>
      <c r="P940" s="25" t="str">
        <f aca="false">IF(OR(O940="",O940="Sin información"),"",IFERROR(INDEX(Listas!$B$2:$B$9,MATCH(O940,Listas!$A$2:$A$9,0)),""))</f>
        <v/>
      </c>
      <c r="Q940" s="25" t="str">
        <f aca="false">IF(OR(O940="",O940="Sin información"),"",IFERROR(INDEX(Listas!$C$2:$C$9,MATCH(O940,Listas!$A$2:$A$9,0)),""))</f>
        <v/>
      </c>
      <c r="R940" s="22"/>
      <c r="S940" s="22"/>
      <c r="T940" s="25" t="str">
        <f aca="false">IF(S940="","",IFERROR(INDEX(Empleadores!$B$2:$B$601,MATCH(S940,Empleadores!$A$2:$A$601,0)),"No encontrado"))</f>
        <v/>
      </c>
      <c r="U940" s="25" t="str">
        <f aca="false">IF(C940="","",IF(V940="","No",IF(Config!$C$4-V940&lt;=Config!$C$15,"Sí","No")))</f>
        <v>No</v>
      </c>
      <c r="V940" s="23"/>
      <c r="W940" s="22"/>
      <c r="X940" s="22"/>
      <c r="Y940" s="22"/>
      <c r="Z940" s="27"/>
      <c r="AA940" s="22"/>
      <c r="AB940" s="22"/>
    </row>
    <row r="941" customFormat="false" ht="15" hidden="false" customHeight="false" outlineLevel="0" collapsed="false">
      <c r="A941" s="22" t="n">
        <v>940</v>
      </c>
      <c r="B941" s="22" t="s">
        <v>4003</v>
      </c>
      <c r="C941" s="22" t="s">
        <v>4004</v>
      </c>
      <c r="D941" s="22"/>
      <c r="E941" s="22" t="s">
        <v>139</v>
      </c>
      <c r="F941" s="22" t="s">
        <v>108</v>
      </c>
      <c r="G941" s="23" t="n">
        <v>46020</v>
      </c>
      <c r="H941" s="24" t="n">
        <f aca="false">IF(G941="","",ROUND((Config!$C$4-G941)/365.25,2))</f>
        <v>0.76</v>
      </c>
      <c r="I941" s="25" t="str">
        <f aca="false">IF(H941="","",IF(H941&lt;=1,"Tramo 1",IF(H941&lt;=3,"Tramo 2",IF(H941&lt;=5,"Tramo 3","Tramo 4"))))</f>
        <v>Tramo 1</v>
      </c>
      <c r="J941" s="22" t="s">
        <v>2639</v>
      </c>
      <c r="K941" s="22"/>
      <c r="L941" s="22"/>
      <c r="M941" s="26"/>
      <c r="N941" s="22"/>
      <c r="O941" s="22" t="s">
        <v>63</v>
      </c>
      <c r="P941" s="25" t="str">
        <f aca="false">IF(OR(O941="",O941="Sin información"),"",IFERROR(INDEX(Listas!$B$2:$B$9,MATCH(O941,Listas!$A$2:$A$9,0)),""))</f>
        <v/>
      </c>
      <c r="Q941" s="25" t="str">
        <f aca="false">IF(OR(O941="",O941="Sin información"),"",IFERROR(INDEX(Listas!$C$2:$C$9,MATCH(O941,Listas!$A$2:$A$9,0)),""))</f>
        <v/>
      </c>
      <c r="R941" s="22"/>
      <c r="S941" s="22"/>
      <c r="T941" s="25" t="str">
        <f aca="false">IF(S941="","",IFERROR(INDEX(Empleadores!$B$2:$B$601,MATCH(S941,Empleadores!$A$2:$A$601,0)),"No encontrado"))</f>
        <v/>
      </c>
      <c r="U941" s="25" t="str">
        <f aca="false">IF(C941="","",IF(V941="","No",IF(Config!$C$4-V941&lt;=Config!$C$15,"Sí","No")))</f>
        <v>No</v>
      </c>
      <c r="V941" s="23"/>
      <c r="W941" s="22"/>
      <c r="X941" s="22"/>
      <c r="Y941" s="22"/>
      <c r="Z941" s="27"/>
      <c r="AA941" s="22" t="s">
        <v>4005</v>
      </c>
      <c r="AB941" s="22" t="s">
        <v>1691</v>
      </c>
    </row>
    <row r="942" customFormat="false" ht="15" hidden="false" customHeight="false" outlineLevel="0" collapsed="false">
      <c r="A942" s="22" t="n">
        <v>941</v>
      </c>
      <c r="B942" s="22" t="s">
        <v>4006</v>
      </c>
      <c r="C942" s="22" t="s">
        <v>4007</v>
      </c>
      <c r="D942" s="22"/>
      <c r="E942" s="22" t="s">
        <v>139</v>
      </c>
      <c r="F942" s="22" t="s">
        <v>108</v>
      </c>
      <c r="G942" s="23" t="n">
        <v>46020</v>
      </c>
      <c r="H942" s="24" t="n">
        <f aca="false">IF(G942="","",ROUND((Config!$C$4-G942)/365.25,2))</f>
        <v>0.76</v>
      </c>
      <c r="I942" s="25" t="str">
        <f aca="false">IF(H942="","",IF(H942&lt;=1,"Tramo 1",IF(H942&lt;=3,"Tramo 2",IF(H942&lt;=5,"Tramo 3","Tramo 4"))))</f>
        <v>Tramo 1</v>
      </c>
      <c r="J942" s="22" t="s">
        <v>2639</v>
      </c>
      <c r="K942" s="22"/>
      <c r="L942" s="22"/>
      <c r="M942" s="26"/>
      <c r="N942" s="22"/>
      <c r="O942" s="22" t="s">
        <v>63</v>
      </c>
      <c r="P942" s="25" t="str">
        <f aca="false">IF(OR(O942="",O942="Sin información"),"",IFERROR(INDEX(Listas!$B$2:$B$9,MATCH(O942,Listas!$A$2:$A$9,0)),""))</f>
        <v/>
      </c>
      <c r="Q942" s="25" t="str">
        <f aca="false">IF(OR(O942="",O942="Sin información"),"",IFERROR(INDEX(Listas!$C$2:$C$9,MATCH(O942,Listas!$A$2:$A$9,0)),""))</f>
        <v/>
      </c>
      <c r="R942" s="22"/>
      <c r="S942" s="22"/>
      <c r="T942" s="25" t="str">
        <f aca="false">IF(S942="","",IFERROR(INDEX(Empleadores!$B$2:$B$601,MATCH(S942,Empleadores!$A$2:$A$601,0)),"No encontrado"))</f>
        <v/>
      </c>
      <c r="U942" s="25" t="str">
        <f aca="false">IF(C942="","",IF(V942="","No",IF(Config!$C$4-V942&lt;=Config!$C$15,"Sí","No")))</f>
        <v>No</v>
      </c>
      <c r="V942" s="23"/>
      <c r="W942" s="22"/>
      <c r="X942" s="22"/>
      <c r="Y942" s="22"/>
      <c r="Z942" s="27"/>
      <c r="AA942" s="22"/>
      <c r="AB942" s="22"/>
    </row>
    <row r="943" customFormat="false" ht="15" hidden="false" customHeight="false" outlineLevel="0" collapsed="false">
      <c r="A943" s="22" t="n">
        <v>942</v>
      </c>
      <c r="B943" s="22" t="s">
        <v>4008</v>
      </c>
      <c r="C943" s="22" t="s">
        <v>4009</v>
      </c>
      <c r="D943" s="22"/>
      <c r="E943" s="22" t="s">
        <v>139</v>
      </c>
      <c r="F943" s="22" t="s">
        <v>108</v>
      </c>
      <c r="G943" s="23" t="n">
        <v>46020</v>
      </c>
      <c r="H943" s="24" t="n">
        <f aca="false">IF(G943="","",ROUND((Config!$C$4-G943)/365.25,2))</f>
        <v>0.76</v>
      </c>
      <c r="I943" s="25" t="str">
        <f aca="false">IF(H943="","",IF(H943&lt;=1,"Tramo 1",IF(H943&lt;=3,"Tramo 2",IF(H943&lt;=5,"Tramo 3","Tramo 4"))))</f>
        <v>Tramo 1</v>
      </c>
      <c r="J943" s="22" t="s">
        <v>2639</v>
      </c>
      <c r="K943" s="22"/>
      <c r="L943" s="22"/>
      <c r="M943" s="26"/>
      <c r="N943" s="22"/>
      <c r="O943" s="22" t="s">
        <v>63</v>
      </c>
      <c r="P943" s="25" t="str">
        <f aca="false">IF(OR(O943="",O943="Sin información"),"",IFERROR(INDEX(Listas!$B$2:$B$9,MATCH(O943,Listas!$A$2:$A$9,0)),""))</f>
        <v/>
      </c>
      <c r="Q943" s="25" t="str">
        <f aca="false">IF(OR(O943="",O943="Sin información"),"",IFERROR(INDEX(Listas!$C$2:$C$9,MATCH(O943,Listas!$A$2:$A$9,0)),""))</f>
        <v/>
      </c>
      <c r="R943" s="22"/>
      <c r="S943" s="22"/>
      <c r="T943" s="25" t="str">
        <f aca="false">IF(S943="","",IFERROR(INDEX(Empleadores!$B$2:$B$601,MATCH(S943,Empleadores!$A$2:$A$601,0)),"No encontrado"))</f>
        <v/>
      </c>
      <c r="U943" s="25" t="str">
        <f aca="false">IF(C943="","",IF(V943="","No",IF(Config!$C$4-V943&lt;=Config!$C$15,"Sí","No")))</f>
        <v>No</v>
      </c>
      <c r="V943" s="23"/>
      <c r="W943" s="22"/>
      <c r="X943" s="22"/>
      <c r="Y943" s="22"/>
      <c r="Z943" s="27"/>
      <c r="AA943" s="22" t="s">
        <v>4010</v>
      </c>
      <c r="AB943" s="22" t="s">
        <v>1691</v>
      </c>
    </row>
    <row r="944" customFormat="false" ht="15" hidden="false" customHeight="false" outlineLevel="0" collapsed="false">
      <c r="A944" s="22" t="n">
        <v>943</v>
      </c>
      <c r="B944" s="22" t="s">
        <v>4011</v>
      </c>
      <c r="C944" s="22" t="s">
        <v>4012</v>
      </c>
      <c r="D944" s="22"/>
      <c r="E944" s="22" t="s">
        <v>139</v>
      </c>
      <c r="F944" s="22" t="s">
        <v>108</v>
      </c>
      <c r="G944" s="23" t="n">
        <v>46020</v>
      </c>
      <c r="H944" s="24" t="n">
        <f aca="false">IF(G944="","",ROUND((Config!$C$4-G944)/365.25,2))</f>
        <v>0.76</v>
      </c>
      <c r="I944" s="25" t="str">
        <f aca="false">IF(H944="","",IF(H944&lt;=1,"Tramo 1",IF(H944&lt;=3,"Tramo 2",IF(H944&lt;=5,"Tramo 3","Tramo 4"))))</f>
        <v>Tramo 1</v>
      </c>
      <c r="J944" s="22" t="s">
        <v>2639</v>
      </c>
      <c r="K944" s="22"/>
      <c r="L944" s="22"/>
      <c r="M944" s="26"/>
      <c r="N944" s="22"/>
      <c r="O944" s="22" t="s">
        <v>63</v>
      </c>
      <c r="P944" s="25" t="str">
        <f aca="false">IF(OR(O944="",O944="Sin información"),"",IFERROR(INDEX(Listas!$B$2:$B$9,MATCH(O944,Listas!$A$2:$A$9,0)),""))</f>
        <v/>
      </c>
      <c r="Q944" s="25" t="str">
        <f aca="false">IF(OR(O944="",O944="Sin información"),"",IFERROR(INDEX(Listas!$C$2:$C$9,MATCH(O944,Listas!$A$2:$A$9,0)),""))</f>
        <v/>
      </c>
      <c r="R944" s="22"/>
      <c r="S944" s="22"/>
      <c r="T944" s="25" t="str">
        <f aca="false">IF(S944="","",IFERROR(INDEX(Empleadores!$B$2:$B$601,MATCH(S944,Empleadores!$A$2:$A$601,0)),"No encontrado"))</f>
        <v/>
      </c>
      <c r="U944" s="25" t="str">
        <f aca="false">IF(C944="","",IF(V944="","No",IF(Config!$C$4-V944&lt;=Config!$C$15,"Sí","No")))</f>
        <v>No</v>
      </c>
      <c r="V944" s="23"/>
      <c r="W944" s="22"/>
      <c r="X944" s="22"/>
      <c r="Y944" s="22"/>
      <c r="Z944" s="27"/>
      <c r="AA944" s="22" t="s">
        <v>3272</v>
      </c>
      <c r="AB944" s="22" t="s">
        <v>1691</v>
      </c>
    </row>
    <row r="945" customFormat="false" ht="15" hidden="false" customHeight="false" outlineLevel="0" collapsed="false">
      <c r="A945" s="22" t="n">
        <v>944</v>
      </c>
      <c r="B945" s="22" t="s">
        <v>4013</v>
      </c>
      <c r="C945" s="22" t="s">
        <v>4014</v>
      </c>
      <c r="D945" s="22"/>
      <c r="E945" s="22" t="s">
        <v>139</v>
      </c>
      <c r="F945" s="22" t="s">
        <v>108</v>
      </c>
      <c r="G945" s="23" t="n">
        <v>46020</v>
      </c>
      <c r="H945" s="24" t="n">
        <f aca="false">IF(G945="","",ROUND((Config!$C$4-G945)/365.25,2))</f>
        <v>0.76</v>
      </c>
      <c r="I945" s="25" t="str">
        <f aca="false">IF(H945="","",IF(H945&lt;=1,"Tramo 1",IF(H945&lt;=3,"Tramo 2",IF(H945&lt;=5,"Tramo 3","Tramo 4"))))</f>
        <v>Tramo 1</v>
      </c>
      <c r="J945" s="22" t="s">
        <v>2639</v>
      </c>
      <c r="K945" s="22"/>
      <c r="L945" s="22"/>
      <c r="M945" s="26"/>
      <c r="N945" s="22"/>
      <c r="O945" s="22" t="s">
        <v>63</v>
      </c>
      <c r="P945" s="25" t="str">
        <f aca="false">IF(OR(O945="",O945="Sin información"),"",IFERROR(INDEX(Listas!$B$2:$B$9,MATCH(O945,Listas!$A$2:$A$9,0)),""))</f>
        <v/>
      </c>
      <c r="Q945" s="25" t="str">
        <f aca="false">IF(OR(O945="",O945="Sin información"),"",IFERROR(INDEX(Listas!$C$2:$C$9,MATCH(O945,Listas!$A$2:$A$9,0)),""))</f>
        <v/>
      </c>
      <c r="R945" s="22"/>
      <c r="S945" s="22"/>
      <c r="T945" s="25" t="str">
        <f aca="false">IF(S945="","",IFERROR(INDEX(Empleadores!$B$2:$B$601,MATCH(S945,Empleadores!$A$2:$A$601,0)),"No encontrado"))</f>
        <v/>
      </c>
      <c r="U945" s="25" t="str">
        <f aca="false">IF(C945="","",IF(V945="","No",IF(Config!$C$4-V945&lt;=Config!$C$15,"Sí","No")))</f>
        <v>No</v>
      </c>
      <c r="V945" s="23"/>
      <c r="W945" s="22"/>
      <c r="X945" s="22"/>
      <c r="Y945" s="22"/>
      <c r="Z945" s="27"/>
      <c r="AA945" s="22"/>
      <c r="AB945" s="22"/>
    </row>
    <row r="946" customFormat="false" ht="15" hidden="false" customHeight="false" outlineLevel="0" collapsed="false">
      <c r="A946" s="22" t="n">
        <v>945</v>
      </c>
      <c r="B946" s="22" t="s">
        <v>4015</v>
      </c>
      <c r="C946" s="22" t="s">
        <v>4016</v>
      </c>
      <c r="D946" s="22"/>
      <c r="E946" s="22" t="s">
        <v>139</v>
      </c>
      <c r="F946" s="22" t="s">
        <v>108</v>
      </c>
      <c r="G946" s="23" t="n">
        <v>46020</v>
      </c>
      <c r="H946" s="24" t="n">
        <f aca="false">IF(G946="","",ROUND((Config!$C$4-G946)/365.25,2))</f>
        <v>0.76</v>
      </c>
      <c r="I946" s="25" t="str">
        <f aca="false">IF(H946="","",IF(H946&lt;=1,"Tramo 1",IF(H946&lt;=3,"Tramo 2",IF(H946&lt;=5,"Tramo 3","Tramo 4"))))</f>
        <v>Tramo 1</v>
      </c>
      <c r="J946" s="22" t="s">
        <v>2639</v>
      </c>
      <c r="K946" s="22"/>
      <c r="L946" s="22"/>
      <c r="M946" s="26"/>
      <c r="N946" s="22"/>
      <c r="O946" s="22" t="s">
        <v>63</v>
      </c>
      <c r="P946" s="25" t="str">
        <f aca="false">IF(OR(O946="",O946="Sin información"),"",IFERROR(INDEX(Listas!$B$2:$B$9,MATCH(O946,Listas!$A$2:$A$9,0)),""))</f>
        <v/>
      </c>
      <c r="Q946" s="25" t="str">
        <f aca="false">IF(OR(O946="",O946="Sin información"),"",IFERROR(INDEX(Listas!$C$2:$C$9,MATCH(O946,Listas!$A$2:$A$9,0)),""))</f>
        <v/>
      </c>
      <c r="R946" s="22"/>
      <c r="S946" s="22"/>
      <c r="T946" s="25" t="str">
        <f aca="false">IF(S946="","",IFERROR(INDEX(Empleadores!$B$2:$B$601,MATCH(S946,Empleadores!$A$2:$A$601,0)),"No encontrado"))</f>
        <v/>
      </c>
      <c r="U946" s="25" t="str">
        <f aca="false">IF(C946="","",IF(V946="","No",IF(Config!$C$4-V946&lt;=Config!$C$15,"Sí","No")))</f>
        <v>No</v>
      </c>
      <c r="V946" s="23"/>
      <c r="W946" s="22"/>
      <c r="X946" s="22"/>
      <c r="Y946" s="22"/>
      <c r="Z946" s="27"/>
      <c r="AA946" s="22"/>
      <c r="AB946" s="22"/>
    </row>
    <row r="947" customFormat="false" ht="15" hidden="false" customHeight="false" outlineLevel="0" collapsed="false">
      <c r="A947" s="22" t="n">
        <v>946</v>
      </c>
      <c r="B947" s="22" t="s">
        <v>4017</v>
      </c>
      <c r="C947" s="22" t="s">
        <v>4018</v>
      </c>
      <c r="D947" s="22"/>
      <c r="E947" s="22" t="s">
        <v>139</v>
      </c>
      <c r="F947" s="22" t="s">
        <v>108</v>
      </c>
      <c r="G947" s="23" t="n">
        <v>46020</v>
      </c>
      <c r="H947" s="24" t="n">
        <f aca="false">IF(G947="","",ROUND((Config!$C$4-G947)/365.25,2))</f>
        <v>0.76</v>
      </c>
      <c r="I947" s="25" t="str">
        <f aca="false">IF(H947="","",IF(H947&lt;=1,"Tramo 1",IF(H947&lt;=3,"Tramo 2",IF(H947&lt;=5,"Tramo 3","Tramo 4"))))</f>
        <v>Tramo 1</v>
      </c>
      <c r="J947" s="22" t="s">
        <v>2639</v>
      </c>
      <c r="K947" s="22"/>
      <c r="L947" s="22"/>
      <c r="M947" s="26"/>
      <c r="N947" s="22"/>
      <c r="O947" s="22" t="s">
        <v>63</v>
      </c>
      <c r="P947" s="25" t="str">
        <f aca="false">IF(OR(O947="",O947="Sin información"),"",IFERROR(INDEX(Listas!$B$2:$B$9,MATCH(O947,Listas!$A$2:$A$9,0)),""))</f>
        <v/>
      </c>
      <c r="Q947" s="25" t="str">
        <f aca="false">IF(OR(O947="",O947="Sin información"),"",IFERROR(INDEX(Listas!$C$2:$C$9,MATCH(O947,Listas!$A$2:$A$9,0)),""))</f>
        <v/>
      </c>
      <c r="R947" s="22"/>
      <c r="S947" s="22"/>
      <c r="T947" s="25" t="str">
        <f aca="false">IF(S947="","",IFERROR(INDEX(Empleadores!$B$2:$B$601,MATCH(S947,Empleadores!$A$2:$A$601,0)),"No encontrado"))</f>
        <v/>
      </c>
      <c r="U947" s="25" t="str">
        <f aca="false">IF(C947="","",IF(V947="","No",IF(Config!$C$4-V947&lt;=Config!$C$15,"Sí","No")))</f>
        <v>No</v>
      </c>
      <c r="V947" s="23"/>
      <c r="W947" s="22"/>
      <c r="X947" s="22"/>
      <c r="Y947" s="22"/>
      <c r="Z947" s="27"/>
      <c r="AA947" s="22"/>
      <c r="AB947" s="22"/>
    </row>
    <row r="948" customFormat="false" ht="15" hidden="false" customHeight="false" outlineLevel="0" collapsed="false">
      <c r="A948" s="22" t="n">
        <v>947</v>
      </c>
      <c r="B948" s="22" t="s">
        <v>4019</v>
      </c>
      <c r="C948" s="22" t="s">
        <v>4020</v>
      </c>
      <c r="D948" s="22"/>
      <c r="E948" s="22" t="s">
        <v>139</v>
      </c>
      <c r="F948" s="22" t="s">
        <v>108</v>
      </c>
      <c r="G948" s="23" t="n">
        <v>46020</v>
      </c>
      <c r="H948" s="24" t="n">
        <f aca="false">IF(G948="","",ROUND((Config!$C$4-G948)/365.25,2))</f>
        <v>0.76</v>
      </c>
      <c r="I948" s="25" t="str">
        <f aca="false">IF(H948="","",IF(H948&lt;=1,"Tramo 1",IF(H948&lt;=3,"Tramo 2",IF(H948&lt;=5,"Tramo 3","Tramo 4"))))</f>
        <v>Tramo 1</v>
      </c>
      <c r="J948" s="22" t="s">
        <v>2639</v>
      </c>
      <c r="K948" s="22"/>
      <c r="L948" s="22"/>
      <c r="M948" s="26"/>
      <c r="N948" s="22"/>
      <c r="O948" s="22" t="s">
        <v>63</v>
      </c>
      <c r="P948" s="25" t="str">
        <f aca="false">IF(OR(O948="",O948="Sin información"),"",IFERROR(INDEX(Listas!$B$2:$B$9,MATCH(O948,Listas!$A$2:$A$9,0)),""))</f>
        <v/>
      </c>
      <c r="Q948" s="25" t="str">
        <f aca="false">IF(OR(O948="",O948="Sin información"),"",IFERROR(INDEX(Listas!$C$2:$C$9,MATCH(O948,Listas!$A$2:$A$9,0)),""))</f>
        <v/>
      </c>
      <c r="R948" s="22"/>
      <c r="S948" s="22"/>
      <c r="T948" s="25" t="str">
        <f aca="false">IF(S948="","",IFERROR(INDEX(Empleadores!$B$2:$B$601,MATCH(S948,Empleadores!$A$2:$A$601,0)),"No encontrado"))</f>
        <v/>
      </c>
      <c r="U948" s="25" t="str">
        <f aca="false">IF(C948="","",IF(V948="","No",IF(Config!$C$4-V948&lt;=Config!$C$15,"Sí","No")))</f>
        <v>No</v>
      </c>
      <c r="V948" s="23"/>
      <c r="W948" s="22"/>
      <c r="X948" s="22"/>
      <c r="Y948" s="22"/>
      <c r="Z948" s="27"/>
      <c r="AA948" s="22" t="s">
        <v>4021</v>
      </c>
      <c r="AB948" s="22" t="s">
        <v>1691</v>
      </c>
    </row>
    <row r="949" customFormat="false" ht="15" hidden="false" customHeight="false" outlineLevel="0" collapsed="false">
      <c r="A949" s="22" t="n">
        <v>948</v>
      </c>
      <c r="B949" s="22" t="s">
        <v>4022</v>
      </c>
      <c r="C949" s="22" t="s">
        <v>4023</v>
      </c>
      <c r="D949" s="22"/>
      <c r="E949" s="22" t="s">
        <v>139</v>
      </c>
      <c r="F949" s="22" t="s">
        <v>108</v>
      </c>
      <c r="G949" s="23" t="n">
        <v>46020</v>
      </c>
      <c r="H949" s="24" t="n">
        <f aca="false">IF(G949="","",ROUND((Config!$C$4-G949)/365.25,2))</f>
        <v>0.76</v>
      </c>
      <c r="I949" s="25" t="str">
        <f aca="false">IF(H949="","",IF(H949&lt;=1,"Tramo 1",IF(H949&lt;=3,"Tramo 2",IF(H949&lt;=5,"Tramo 3","Tramo 4"))))</f>
        <v>Tramo 1</v>
      </c>
      <c r="J949" s="22" t="s">
        <v>2639</v>
      </c>
      <c r="K949" s="22"/>
      <c r="L949" s="22"/>
      <c r="M949" s="26"/>
      <c r="N949" s="22"/>
      <c r="O949" s="22" t="s">
        <v>63</v>
      </c>
      <c r="P949" s="25" t="str">
        <f aca="false">IF(OR(O949="",O949="Sin información"),"",IFERROR(INDEX(Listas!$B$2:$B$9,MATCH(O949,Listas!$A$2:$A$9,0)),""))</f>
        <v/>
      </c>
      <c r="Q949" s="25" t="str">
        <f aca="false">IF(OR(O949="",O949="Sin información"),"",IFERROR(INDEX(Listas!$C$2:$C$9,MATCH(O949,Listas!$A$2:$A$9,0)),""))</f>
        <v/>
      </c>
      <c r="R949" s="22"/>
      <c r="S949" s="22"/>
      <c r="T949" s="25" t="str">
        <f aca="false">IF(S949="","",IFERROR(INDEX(Empleadores!$B$2:$B$601,MATCH(S949,Empleadores!$A$2:$A$601,0)),"No encontrado"))</f>
        <v/>
      </c>
      <c r="U949" s="25" t="str">
        <f aca="false">IF(C949="","",IF(V949="","No",IF(Config!$C$4-V949&lt;=Config!$C$15,"Sí","No")))</f>
        <v>No</v>
      </c>
      <c r="V949" s="23"/>
      <c r="W949" s="22"/>
      <c r="X949" s="22"/>
      <c r="Y949" s="22"/>
      <c r="Z949" s="27"/>
      <c r="AA949" s="22" t="s">
        <v>4024</v>
      </c>
      <c r="AB949" s="22" t="s">
        <v>1691</v>
      </c>
    </row>
    <row r="950" customFormat="false" ht="15" hidden="false" customHeight="false" outlineLevel="0" collapsed="false">
      <c r="A950" s="22" t="n">
        <v>949</v>
      </c>
      <c r="B950" s="22" t="s">
        <v>4025</v>
      </c>
      <c r="C950" s="22" t="s">
        <v>4026</v>
      </c>
      <c r="D950" s="22"/>
      <c r="E950" s="22" t="s">
        <v>139</v>
      </c>
      <c r="F950" s="22" t="s">
        <v>108</v>
      </c>
      <c r="G950" s="23" t="n">
        <v>46020</v>
      </c>
      <c r="H950" s="24" t="n">
        <f aca="false">IF(G950="","",ROUND((Config!$C$4-G950)/365.25,2))</f>
        <v>0.76</v>
      </c>
      <c r="I950" s="25" t="str">
        <f aca="false">IF(H950="","",IF(H950&lt;=1,"Tramo 1",IF(H950&lt;=3,"Tramo 2",IF(H950&lt;=5,"Tramo 3","Tramo 4"))))</f>
        <v>Tramo 1</v>
      </c>
      <c r="J950" s="22" t="s">
        <v>2639</v>
      </c>
      <c r="K950" s="22"/>
      <c r="L950" s="22"/>
      <c r="M950" s="26"/>
      <c r="N950" s="22"/>
      <c r="O950" s="22" t="s">
        <v>63</v>
      </c>
      <c r="P950" s="25" t="str">
        <f aca="false">IF(OR(O950="",O950="Sin información"),"",IFERROR(INDEX(Listas!$B$2:$B$9,MATCH(O950,Listas!$A$2:$A$9,0)),""))</f>
        <v/>
      </c>
      <c r="Q950" s="25" t="str">
        <f aca="false">IF(OR(O950="",O950="Sin información"),"",IFERROR(INDEX(Listas!$C$2:$C$9,MATCH(O950,Listas!$A$2:$A$9,0)),""))</f>
        <v/>
      </c>
      <c r="R950" s="22"/>
      <c r="S950" s="22"/>
      <c r="T950" s="25" t="str">
        <f aca="false">IF(S950="","",IFERROR(INDEX(Empleadores!$B$2:$B$601,MATCH(S950,Empleadores!$A$2:$A$601,0)),"No encontrado"))</f>
        <v/>
      </c>
      <c r="U950" s="25" t="str">
        <f aca="false">IF(C950="","",IF(V950="","No",IF(Config!$C$4-V950&lt;=Config!$C$15,"Sí","No")))</f>
        <v>No</v>
      </c>
      <c r="V950" s="23"/>
      <c r="W950" s="22"/>
      <c r="X950" s="22"/>
      <c r="Y950" s="22"/>
      <c r="Z950" s="27"/>
      <c r="AA950" s="22" t="s">
        <v>4027</v>
      </c>
      <c r="AB950" s="22" t="s">
        <v>1691</v>
      </c>
    </row>
    <row r="951" customFormat="false" ht="15" hidden="false" customHeight="false" outlineLevel="0" collapsed="false">
      <c r="A951" s="22" t="n">
        <v>950</v>
      </c>
      <c r="B951" s="22" t="s">
        <v>4028</v>
      </c>
      <c r="C951" s="22" t="s">
        <v>4029</v>
      </c>
      <c r="D951" s="22"/>
      <c r="E951" s="22" t="s">
        <v>139</v>
      </c>
      <c r="F951" s="22" t="s">
        <v>108</v>
      </c>
      <c r="G951" s="23" t="n">
        <v>46020</v>
      </c>
      <c r="H951" s="24" t="n">
        <f aca="false">IF(G951="","",ROUND((Config!$C$4-G951)/365.25,2))</f>
        <v>0.76</v>
      </c>
      <c r="I951" s="25" t="str">
        <f aca="false">IF(H951="","",IF(H951&lt;=1,"Tramo 1",IF(H951&lt;=3,"Tramo 2",IF(H951&lt;=5,"Tramo 3","Tramo 4"))))</f>
        <v>Tramo 1</v>
      </c>
      <c r="J951" s="22" t="s">
        <v>2639</v>
      </c>
      <c r="K951" s="22"/>
      <c r="L951" s="22"/>
      <c r="M951" s="26"/>
      <c r="N951" s="22"/>
      <c r="O951" s="22" t="s">
        <v>63</v>
      </c>
      <c r="P951" s="25" t="str">
        <f aca="false">IF(OR(O951="",O951="Sin información"),"",IFERROR(INDEX(Listas!$B$2:$B$9,MATCH(O951,Listas!$A$2:$A$9,0)),""))</f>
        <v/>
      </c>
      <c r="Q951" s="25" t="str">
        <f aca="false">IF(OR(O951="",O951="Sin información"),"",IFERROR(INDEX(Listas!$C$2:$C$9,MATCH(O951,Listas!$A$2:$A$9,0)),""))</f>
        <v/>
      </c>
      <c r="R951" s="22"/>
      <c r="S951" s="22"/>
      <c r="T951" s="25" t="str">
        <f aca="false">IF(S951="","",IFERROR(INDEX(Empleadores!$B$2:$B$601,MATCH(S951,Empleadores!$A$2:$A$601,0)),"No encontrado"))</f>
        <v/>
      </c>
      <c r="U951" s="25" t="str">
        <f aca="false">IF(C951="","",IF(V951="","No",IF(Config!$C$4-V951&lt;=Config!$C$15,"Sí","No")))</f>
        <v>No</v>
      </c>
      <c r="V951" s="23"/>
      <c r="W951" s="22"/>
      <c r="X951" s="22"/>
      <c r="Y951" s="22"/>
      <c r="Z951" s="27"/>
      <c r="AA951" s="22"/>
      <c r="AB951" s="22"/>
    </row>
    <row r="952" customFormat="false" ht="15" hidden="false" customHeight="false" outlineLevel="0" collapsed="false">
      <c r="A952" s="22" t="n">
        <v>951</v>
      </c>
      <c r="B952" s="22" t="s">
        <v>4030</v>
      </c>
      <c r="C952" s="22" t="s">
        <v>4031</v>
      </c>
      <c r="D952" s="22"/>
      <c r="E952" s="22" t="s">
        <v>139</v>
      </c>
      <c r="F952" s="22" t="s">
        <v>108</v>
      </c>
      <c r="G952" s="23" t="n">
        <v>46020</v>
      </c>
      <c r="H952" s="24" t="n">
        <f aca="false">IF(G952="","",ROUND((Config!$C$4-G952)/365.25,2))</f>
        <v>0.76</v>
      </c>
      <c r="I952" s="25" t="str">
        <f aca="false">IF(H952="","",IF(H952&lt;=1,"Tramo 1",IF(H952&lt;=3,"Tramo 2",IF(H952&lt;=5,"Tramo 3","Tramo 4"))))</f>
        <v>Tramo 1</v>
      </c>
      <c r="J952" s="22" t="s">
        <v>2639</v>
      </c>
      <c r="K952" s="22"/>
      <c r="L952" s="22"/>
      <c r="M952" s="26"/>
      <c r="N952" s="22"/>
      <c r="O952" s="22" t="s">
        <v>63</v>
      </c>
      <c r="P952" s="25" t="str">
        <f aca="false">IF(OR(O952="",O952="Sin información"),"",IFERROR(INDEX(Listas!$B$2:$B$9,MATCH(O952,Listas!$A$2:$A$9,0)),""))</f>
        <v/>
      </c>
      <c r="Q952" s="25" t="str">
        <f aca="false">IF(OR(O952="",O952="Sin información"),"",IFERROR(INDEX(Listas!$C$2:$C$9,MATCH(O952,Listas!$A$2:$A$9,0)),""))</f>
        <v/>
      </c>
      <c r="R952" s="22"/>
      <c r="S952" s="22"/>
      <c r="T952" s="25" t="str">
        <f aca="false">IF(S952="","",IFERROR(INDEX(Empleadores!$B$2:$B$601,MATCH(S952,Empleadores!$A$2:$A$601,0)),"No encontrado"))</f>
        <v/>
      </c>
      <c r="U952" s="25" t="str">
        <f aca="false">IF(C952="","",IF(V952="","No",IF(Config!$C$4-V952&lt;=Config!$C$15,"Sí","No")))</f>
        <v>No</v>
      </c>
      <c r="V952" s="23"/>
      <c r="W952" s="22"/>
      <c r="X952" s="22"/>
      <c r="Y952" s="22"/>
      <c r="Z952" s="27"/>
      <c r="AA952" s="22" t="s">
        <v>4032</v>
      </c>
      <c r="AB952" s="22" t="s">
        <v>1691</v>
      </c>
    </row>
    <row r="953" customFormat="false" ht="15" hidden="false" customHeight="false" outlineLevel="0" collapsed="false">
      <c r="A953" s="22" t="n">
        <v>952</v>
      </c>
      <c r="B953" s="22" t="s">
        <v>4033</v>
      </c>
      <c r="C953" s="22" t="s">
        <v>4034</v>
      </c>
      <c r="D953" s="22"/>
      <c r="E953" s="22" t="s">
        <v>139</v>
      </c>
      <c r="F953" s="22" t="s">
        <v>108</v>
      </c>
      <c r="G953" s="23" t="n">
        <v>46020</v>
      </c>
      <c r="H953" s="24" t="n">
        <f aca="false">IF(G953="","",ROUND((Config!$C$4-G953)/365.25,2))</f>
        <v>0.76</v>
      </c>
      <c r="I953" s="25" t="str">
        <f aca="false">IF(H953="","",IF(H953&lt;=1,"Tramo 1",IF(H953&lt;=3,"Tramo 2",IF(H953&lt;=5,"Tramo 3","Tramo 4"))))</f>
        <v>Tramo 1</v>
      </c>
      <c r="J953" s="22" t="s">
        <v>2639</v>
      </c>
      <c r="K953" s="22"/>
      <c r="L953" s="22"/>
      <c r="M953" s="26"/>
      <c r="N953" s="22"/>
      <c r="O953" s="22" t="s">
        <v>63</v>
      </c>
      <c r="P953" s="25" t="str">
        <f aca="false">IF(OR(O953="",O953="Sin información"),"",IFERROR(INDEX(Listas!$B$2:$B$9,MATCH(O953,Listas!$A$2:$A$9,0)),""))</f>
        <v/>
      </c>
      <c r="Q953" s="25" t="str">
        <f aca="false">IF(OR(O953="",O953="Sin información"),"",IFERROR(INDEX(Listas!$C$2:$C$9,MATCH(O953,Listas!$A$2:$A$9,0)),""))</f>
        <v/>
      </c>
      <c r="R953" s="22"/>
      <c r="S953" s="22"/>
      <c r="T953" s="25" t="str">
        <f aca="false">IF(S953="","",IFERROR(INDEX(Empleadores!$B$2:$B$601,MATCH(S953,Empleadores!$A$2:$A$601,0)),"No encontrado"))</f>
        <v/>
      </c>
      <c r="U953" s="25" t="str">
        <f aca="false">IF(C953="","",IF(V953="","No",IF(Config!$C$4-V953&lt;=Config!$C$15,"Sí","No")))</f>
        <v>No</v>
      </c>
      <c r="V953" s="23"/>
      <c r="W953" s="22"/>
      <c r="X953" s="22"/>
      <c r="Y953" s="22"/>
      <c r="Z953" s="27"/>
      <c r="AA953" s="22"/>
      <c r="AB953" s="22"/>
    </row>
    <row r="954" customFormat="false" ht="15" hidden="false" customHeight="false" outlineLevel="0" collapsed="false">
      <c r="A954" s="22" t="n">
        <v>953</v>
      </c>
      <c r="B954" s="22" t="s">
        <v>4035</v>
      </c>
      <c r="C954" s="22" t="s">
        <v>4036</v>
      </c>
      <c r="D954" s="22"/>
      <c r="E954" s="22" t="s">
        <v>139</v>
      </c>
      <c r="F954" s="22" t="s">
        <v>108</v>
      </c>
      <c r="G954" s="23" t="n">
        <v>46020</v>
      </c>
      <c r="H954" s="24" t="n">
        <f aca="false">IF(G954="","",ROUND((Config!$C$4-G954)/365.25,2))</f>
        <v>0.76</v>
      </c>
      <c r="I954" s="25" t="str">
        <f aca="false">IF(H954="","",IF(H954&lt;=1,"Tramo 1",IF(H954&lt;=3,"Tramo 2",IF(H954&lt;=5,"Tramo 3","Tramo 4"))))</f>
        <v>Tramo 1</v>
      </c>
      <c r="J954" s="22" t="s">
        <v>2639</v>
      </c>
      <c r="K954" s="22"/>
      <c r="L954" s="22"/>
      <c r="M954" s="26"/>
      <c r="N954" s="22"/>
      <c r="O954" s="22" t="s">
        <v>63</v>
      </c>
      <c r="P954" s="25" t="str">
        <f aca="false">IF(OR(O954="",O954="Sin información"),"",IFERROR(INDEX(Listas!$B$2:$B$9,MATCH(O954,Listas!$A$2:$A$9,0)),""))</f>
        <v/>
      </c>
      <c r="Q954" s="25" t="str">
        <f aca="false">IF(OR(O954="",O954="Sin información"),"",IFERROR(INDEX(Listas!$C$2:$C$9,MATCH(O954,Listas!$A$2:$A$9,0)),""))</f>
        <v/>
      </c>
      <c r="R954" s="22"/>
      <c r="S954" s="22"/>
      <c r="T954" s="25" t="str">
        <f aca="false">IF(S954="","",IFERROR(INDEX(Empleadores!$B$2:$B$601,MATCH(S954,Empleadores!$A$2:$A$601,0)),"No encontrado"))</f>
        <v/>
      </c>
      <c r="U954" s="25" t="str">
        <f aca="false">IF(C954="","",IF(V954="","No",IF(Config!$C$4-V954&lt;=Config!$C$15,"Sí","No")))</f>
        <v>No</v>
      </c>
      <c r="V954" s="23"/>
      <c r="W954" s="22"/>
      <c r="X954" s="22"/>
      <c r="Y954" s="22"/>
      <c r="Z954" s="27"/>
      <c r="AA954" s="22"/>
      <c r="AB954" s="22"/>
    </row>
    <row r="955" customFormat="false" ht="15" hidden="false" customHeight="false" outlineLevel="0" collapsed="false">
      <c r="A955" s="22" t="n">
        <v>954</v>
      </c>
      <c r="B955" s="22" t="s">
        <v>4037</v>
      </c>
      <c r="C955" s="22" t="s">
        <v>4038</v>
      </c>
      <c r="D955" s="22"/>
      <c r="E955" s="22" t="s">
        <v>139</v>
      </c>
      <c r="F955" s="22" t="s">
        <v>108</v>
      </c>
      <c r="G955" s="23" t="n">
        <v>46020</v>
      </c>
      <c r="H955" s="24" t="n">
        <f aca="false">IF(G955="","",ROUND((Config!$C$4-G955)/365.25,2))</f>
        <v>0.76</v>
      </c>
      <c r="I955" s="25" t="str">
        <f aca="false">IF(H955="","",IF(H955&lt;=1,"Tramo 1",IF(H955&lt;=3,"Tramo 2",IF(H955&lt;=5,"Tramo 3","Tramo 4"))))</f>
        <v>Tramo 1</v>
      </c>
      <c r="J955" s="22" t="s">
        <v>2639</v>
      </c>
      <c r="K955" s="22"/>
      <c r="L955" s="22"/>
      <c r="M955" s="26"/>
      <c r="N955" s="22"/>
      <c r="O955" s="22" t="s">
        <v>63</v>
      </c>
      <c r="P955" s="25" t="str">
        <f aca="false">IF(OR(O955="",O955="Sin información"),"",IFERROR(INDEX(Listas!$B$2:$B$9,MATCH(O955,Listas!$A$2:$A$9,0)),""))</f>
        <v/>
      </c>
      <c r="Q955" s="25" t="str">
        <f aca="false">IF(OR(O955="",O955="Sin información"),"",IFERROR(INDEX(Listas!$C$2:$C$9,MATCH(O955,Listas!$A$2:$A$9,0)),""))</f>
        <v/>
      </c>
      <c r="R955" s="22"/>
      <c r="S955" s="22"/>
      <c r="T955" s="25" t="str">
        <f aca="false">IF(S955="","",IFERROR(INDEX(Empleadores!$B$2:$B$601,MATCH(S955,Empleadores!$A$2:$A$601,0)),"No encontrado"))</f>
        <v/>
      </c>
      <c r="U955" s="25" t="str">
        <f aca="false">IF(C955="","",IF(V955="","No",IF(Config!$C$4-V955&lt;=Config!$C$15,"Sí","No")))</f>
        <v>No</v>
      </c>
      <c r="V955" s="23"/>
      <c r="W955" s="22"/>
      <c r="X955" s="22"/>
      <c r="Y955" s="22"/>
      <c r="Z955" s="27"/>
      <c r="AA955" s="22" t="s">
        <v>4039</v>
      </c>
      <c r="AB955" s="22" t="s">
        <v>1691</v>
      </c>
    </row>
    <row r="956" customFormat="false" ht="15" hidden="false" customHeight="false" outlineLevel="0" collapsed="false">
      <c r="A956" s="22" t="n">
        <v>955</v>
      </c>
      <c r="B956" s="22" t="s">
        <v>4040</v>
      </c>
      <c r="C956" s="22" t="s">
        <v>4041</v>
      </c>
      <c r="D956" s="22"/>
      <c r="E956" s="22" t="s">
        <v>139</v>
      </c>
      <c r="F956" s="22" t="s">
        <v>108</v>
      </c>
      <c r="G956" s="23" t="n">
        <v>46020</v>
      </c>
      <c r="H956" s="24" t="n">
        <f aca="false">IF(G956="","",ROUND((Config!$C$4-G956)/365.25,2))</f>
        <v>0.76</v>
      </c>
      <c r="I956" s="25" t="str">
        <f aca="false">IF(H956="","",IF(H956&lt;=1,"Tramo 1",IF(H956&lt;=3,"Tramo 2",IF(H956&lt;=5,"Tramo 3","Tramo 4"))))</f>
        <v>Tramo 1</v>
      </c>
      <c r="J956" s="22" t="s">
        <v>2639</v>
      </c>
      <c r="K956" s="22"/>
      <c r="L956" s="22"/>
      <c r="M956" s="26"/>
      <c r="N956" s="22"/>
      <c r="O956" s="22" t="s">
        <v>63</v>
      </c>
      <c r="P956" s="25" t="str">
        <f aca="false">IF(OR(O956="",O956="Sin información"),"",IFERROR(INDEX(Listas!$B$2:$B$9,MATCH(O956,Listas!$A$2:$A$9,0)),""))</f>
        <v/>
      </c>
      <c r="Q956" s="25" t="str">
        <f aca="false">IF(OR(O956="",O956="Sin información"),"",IFERROR(INDEX(Listas!$C$2:$C$9,MATCH(O956,Listas!$A$2:$A$9,0)),""))</f>
        <v/>
      </c>
      <c r="R956" s="22"/>
      <c r="S956" s="22"/>
      <c r="T956" s="25" t="str">
        <f aca="false">IF(S956="","",IFERROR(INDEX(Empleadores!$B$2:$B$601,MATCH(S956,Empleadores!$A$2:$A$601,0)),"No encontrado"))</f>
        <v/>
      </c>
      <c r="U956" s="25" t="str">
        <f aca="false">IF(C956="","",IF(V956="","No",IF(Config!$C$4-V956&lt;=Config!$C$15,"Sí","No")))</f>
        <v>No</v>
      </c>
      <c r="V956" s="23"/>
      <c r="W956" s="22"/>
      <c r="X956" s="22"/>
      <c r="Y956" s="22"/>
      <c r="Z956" s="27"/>
      <c r="AA956" s="22"/>
      <c r="AB956" s="22"/>
    </row>
    <row r="957" customFormat="false" ht="15" hidden="false" customHeight="false" outlineLevel="0" collapsed="false">
      <c r="A957" s="22" t="n">
        <v>956</v>
      </c>
      <c r="B957" s="22" t="s">
        <v>4042</v>
      </c>
      <c r="C957" s="22" t="s">
        <v>4043</v>
      </c>
      <c r="D957" s="22"/>
      <c r="E957" s="22" t="s">
        <v>139</v>
      </c>
      <c r="F957" s="22" t="s">
        <v>108</v>
      </c>
      <c r="G957" s="23" t="n">
        <v>46020</v>
      </c>
      <c r="H957" s="24" t="n">
        <f aca="false">IF(G957="","",ROUND((Config!$C$4-G957)/365.25,2))</f>
        <v>0.76</v>
      </c>
      <c r="I957" s="25" t="str">
        <f aca="false">IF(H957="","",IF(H957&lt;=1,"Tramo 1",IF(H957&lt;=3,"Tramo 2",IF(H957&lt;=5,"Tramo 3","Tramo 4"))))</f>
        <v>Tramo 1</v>
      </c>
      <c r="J957" s="22" t="s">
        <v>2639</v>
      </c>
      <c r="K957" s="22"/>
      <c r="L957" s="22"/>
      <c r="M957" s="26"/>
      <c r="N957" s="22"/>
      <c r="O957" s="22" t="s">
        <v>63</v>
      </c>
      <c r="P957" s="25" t="str">
        <f aca="false">IF(OR(O957="",O957="Sin información"),"",IFERROR(INDEX(Listas!$B$2:$B$9,MATCH(O957,Listas!$A$2:$A$9,0)),""))</f>
        <v/>
      </c>
      <c r="Q957" s="25" t="str">
        <f aca="false">IF(OR(O957="",O957="Sin información"),"",IFERROR(INDEX(Listas!$C$2:$C$9,MATCH(O957,Listas!$A$2:$A$9,0)),""))</f>
        <v/>
      </c>
      <c r="R957" s="22"/>
      <c r="S957" s="22"/>
      <c r="T957" s="25" t="str">
        <f aca="false">IF(S957="","",IFERROR(INDEX(Empleadores!$B$2:$B$601,MATCH(S957,Empleadores!$A$2:$A$601,0)),"No encontrado"))</f>
        <v/>
      </c>
      <c r="U957" s="25" t="str">
        <f aca="false">IF(C957="","",IF(V957="","No",IF(Config!$C$4-V957&lt;=Config!$C$15,"Sí","No")))</f>
        <v>No</v>
      </c>
      <c r="V957" s="23"/>
      <c r="W957" s="22"/>
      <c r="X957" s="22"/>
      <c r="Y957" s="22"/>
      <c r="Z957" s="27"/>
      <c r="AA957" s="22"/>
      <c r="AB957" s="22"/>
    </row>
    <row r="958" customFormat="false" ht="15" hidden="false" customHeight="false" outlineLevel="0" collapsed="false">
      <c r="A958" s="22" t="n">
        <v>957</v>
      </c>
      <c r="B958" s="22" t="s">
        <v>4044</v>
      </c>
      <c r="C958" s="22" t="s">
        <v>4045</v>
      </c>
      <c r="D958" s="22"/>
      <c r="E958" s="22" t="s">
        <v>139</v>
      </c>
      <c r="F958" s="22" t="s">
        <v>108</v>
      </c>
      <c r="G958" s="23" t="n">
        <v>46020</v>
      </c>
      <c r="H958" s="24" t="n">
        <f aca="false">IF(G958="","",ROUND((Config!$C$4-G958)/365.25,2))</f>
        <v>0.76</v>
      </c>
      <c r="I958" s="25" t="str">
        <f aca="false">IF(H958="","",IF(H958&lt;=1,"Tramo 1",IF(H958&lt;=3,"Tramo 2",IF(H958&lt;=5,"Tramo 3","Tramo 4"))))</f>
        <v>Tramo 1</v>
      </c>
      <c r="J958" s="22" t="s">
        <v>2639</v>
      </c>
      <c r="K958" s="22"/>
      <c r="L958" s="22"/>
      <c r="M958" s="26"/>
      <c r="N958" s="22"/>
      <c r="O958" s="22" t="s">
        <v>63</v>
      </c>
      <c r="P958" s="25" t="str">
        <f aca="false">IF(OR(O958="",O958="Sin información"),"",IFERROR(INDEX(Listas!$B$2:$B$9,MATCH(O958,Listas!$A$2:$A$9,0)),""))</f>
        <v/>
      </c>
      <c r="Q958" s="25" t="str">
        <f aca="false">IF(OR(O958="",O958="Sin información"),"",IFERROR(INDEX(Listas!$C$2:$C$9,MATCH(O958,Listas!$A$2:$A$9,0)),""))</f>
        <v/>
      </c>
      <c r="R958" s="22"/>
      <c r="S958" s="22"/>
      <c r="T958" s="25" t="str">
        <f aca="false">IF(S958="","",IFERROR(INDEX(Empleadores!$B$2:$B$601,MATCH(S958,Empleadores!$A$2:$A$601,0)),"No encontrado"))</f>
        <v/>
      </c>
      <c r="U958" s="25" t="str">
        <f aca="false">IF(C958="","",IF(V958="","No",IF(Config!$C$4-V958&lt;=Config!$C$15,"Sí","No")))</f>
        <v>No</v>
      </c>
      <c r="V958" s="23"/>
      <c r="W958" s="22"/>
      <c r="X958" s="22"/>
      <c r="Y958" s="22"/>
      <c r="Z958" s="27"/>
      <c r="AA958" s="22" t="s">
        <v>4046</v>
      </c>
      <c r="AB958" s="22" t="s">
        <v>1691</v>
      </c>
    </row>
    <row r="959" customFormat="false" ht="15" hidden="false" customHeight="false" outlineLevel="0" collapsed="false">
      <c r="A959" s="22" t="n">
        <v>958</v>
      </c>
      <c r="B959" s="22" t="s">
        <v>4047</v>
      </c>
      <c r="C959" s="22" t="s">
        <v>4048</v>
      </c>
      <c r="D959" s="22"/>
      <c r="E959" s="22" t="s">
        <v>139</v>
      </c>
      <c r="F959" s="22" t="s">
        <v>108</v>
      </c>
      <c r="G959" s="23" t="n">
        <v>46020</v>
      </c>
      <c r="H959" s="24" t="n">
        <f aca="false">IF(G959="","",ROUND((Config!$C$4-G959)/365.25,2))</f>
        <v>0.76</v>
      </c>
      <c r="I959" s="25" t="str">
        <f aca="false">IF(H959="","",IF(H959&lt;=1,"Tramo 1",IF(H959&lt;=3,"Tramo 2",IF(H959&lt;=5,"Tramo 3","Tramo 4"))))</f>
        <v>Tramo 1</v>
      </c>
      <c r="J959" s="22" t="s">
        <v>2639</v>
      </c>
      <c r="K959" s="22"/>
      <c r="L959" s="22"/>
      <c r="M959" s="26"/>
      <c r="N959" s="22"/>
      <c r="O959" s="22" t="s">
        <v>63</v>
      </c>
      <c r="P959" s="25" t="str">
        <f aca="false">IF(OR(O959="",O959="Sin información"),"",IFERROR(INDEX(Listas!$B$2:$B$9,MATCH(O959,Listas!$A$2:$A$9,0)),""))</f>
        <v/>
      </c>
      <c r="Q959" s="25" t="str">
        <f aca="false">IF(OR(O959="",O959="Sin información"),"",IFERROR(INDEX(Listas!$C$2:$C$9,MATCH(O959,Listas!$A$2:$A$9,0)),""))</f>
        <v/>
      </c>
      <c r="R959" s="22"/>
      <c r="S959" s="22"/>
      <c r="T959" s="25" t="str">
        <f aca="false">IF(S959="","",IFERROR(INDEX(Empleadores!$B$2:$B$601,MATCH(S959,Empleadores!$A$2:$A$601,0)),"No encontrado"))</f>
        <v/>
      </c>
      <c r="U959" s="25" t="str">
        <f aca="false">IF(C959="","",IF(V959="","No",IF(Config!$C$4-V959&lt;=Config!$C$15,"Sí","No")))</f>
        <v>No</v>
      </c>
      <c r="V959" s="23"/>
      <c r="W959" s="22"/>
      <c r="X959" s="22"/>
      <c r="Y959" s="22"/>
      <c r="Z959" s="27"/>
      <c r="AA959" s="22"/>
      <c r="AB959" s="22"/>
    </row>
    <row r="960" customFormat="false" ht="15" hidden="false" customHeight="false" outlineLevel="0" collapsed="false">
      <c r="A960" s="22" t="n">
        <v>959</v>
      </c>
      <c r="B960" s="22" t="s">
        <v>4049</v>
      </c>
      <c r="C960" s="22" t="s">
        <v>4050</v>
      </c>
      <c r="D960" s="22"/>
      <c r="E960" s="22" t="s">
        <v>139</v>
      </c>
      <c r="F960" s="22" t="s">
        <v>108</v>
      </c>
      <c r="G960" s="23" t="n">
        <v>46020</v>
      </c>
      <c r="H960" s="24" t="n">
        <f aca="false">IF(G960="","",ROUND((Config!$C$4-G960)/365.25,2))</f>
        <v>0.76</v>
      </c>
      <c r="I960" s="25" t="str">
        <f aca="false">IF(H960="","",IF(H960&lt;=1,"Tramo 1",IF(H960&lt;=3,"Tramo 2",IF(H960&lt;=5,"Tramo 3","Tramo 4"))))</f>
        <v>Tramo 1</v>
      </c>
      <c r="J960" s="22" t="s">
        <v>2639</v>
      </c>
      <c r="K960" s="22"/>
      <c r="L960" s="22"/>
      <c r="M960" s="26"/>
      <c r="N960" s="22"/>
      <c r="O960" s="22" t="s">
        <v>63</v>
      </c>
      <c r="P960" s="25" t="str">
        <f aca="false">IF(OR(O960="",O960="Sin información"),"",IFERROR(INDEX(Listas!$B$2:$B$9,MATCH(O960,Listas!$A$2:$A$9,0)),""))</f>
        <v/>
      </c>
      <c r="Q960" s="25" t="str">
        <f aca="false">IF(OR(O960="",O960="Sin información"),"",IFERROR(INDEX(Listas!$C$2:$C$9,MATCH(O960,Listas!$A$2:$A$9,0)),""))</f>
        <v/>
      </c>
      <c r="R960" s="22"/>
      <c r="S960" s="22"/>
      <c r="T960" s="25" t="str">
        <f aca="false">IF(S960="","",IFERROR(INDEX(Empleadores!$B$2:$B$601,MATCH(S960,Empleadores!$A$2:$A$601,0)),"No encontrado"))</f>
        <v/>
      </c>
      <c r="U960" s="25" t="str">
        <f aca="false">IF(C960="","",IF(V960="","No",IF(Config!$C$4-V960&lt;=Config!$C$15,"Sí","No")))</f>
        <v>No</v>
      </c>
      <c r="V960" s="23"/>
      <c r="W960" s="22"/>
      <c r="X960" s="22"/>
      <c r="Y960" s="22"/>
      <c r="Z960" s="27"/>
      <c r="AA960" s="22"/>
      <c r="AB960" s="22"/>
    </row>
    <row r="961" customFormat="false" ht="15" hidden="false" customHeight="false" outlineLevel="0" collapsed="false">
      <c r="A961" s="22" t="n">
        <v>960</v>
      </c>
      <c r="B961" s="22" t="s">
        <v>4051</v>
      </c>
      <c r="C961" s="22" t="s">
        <v>4052</v>
      </c>
      <c r="D961" s="22"/>
      <c r="E961" s="22" t="s">
        <v>139</v>
      </c>
      <c r="F961" s="22" t="s">
        <v>108</v>
      </c>
      <c r="G961" s="23" t="n">
        <v>46020</v>
      </c>
      <c r="H961" s="24" t="n">
        <f aca="false">IF(G961="","",ROUND((Config!$C$4-G961)/365.25,2))</f>
        <v>0.76</v>
      </c>
      <c r="I961" s="25" t="str">
        <f aca="false">IF(H961="","",IF(H961&lt;=1,"Tramo 1",IF(H961&lt;=3,"Tramo 2",IF(H961&lt;=5,"Tramo 3","Tramo 4"))))</f>
        <v>Tramo 1</v>
      </c>
      <c r="J961" s="22" t="s">
        <v>2639</v>
      </c>
      <c r="K961" s="22"/>
      <c r="L961" s="22"/>
      <c r="M961" s="26"/>
      <c r="N961" s="22"/>
      <c r="O961" s="22" t="s">
        <v>63</v>
      </c>
      <c r="P961" s="25" t="str">
        <f aca="false">IF(OR(O961="",O961="Sin información"),"",IFERROR(INDEX(Listas!$B$2:$B$9,MATCH(O961,Listas!$A$2:$A$9,0)),""))</f>
        <v/>
      </c>
      <c r="Q961" s="25" t="str">
        <f aca="false">IF(OR(O961="",O961="Sin información"),"",IFERROR(INDEX(Listas!$C$2:$C$9,MATCH(O961,Listas!$A$2:$A$9,0)),""))</f>
        <v/>
      </c>
      <c r="R961" s="22"/>
      <c r="S961" s="22"/>
      <c r="T961" s="25" t="str">
        <f aca="false">IF(S961="","",IFERROR(INDEX(Empleadores!$B$2:$B$601,MATCH(S961,Empleadores!$A$2:$A$601,0)),"No encontrado"))</f>
        <v/>
      </c>
      <c r="U961" s="25" t="str">
        <f aca="false">IF(C961="","",IF(V961="","No",IF(Config!$C$4-V961&lt;=Config!$C$15,"Sí","No")))</f>
        <v>No</v>
      </c>
      <c r="V961" s="23"/>
      <c r="W961" s="22"/>
      <c r="X961" s="22"/>
      <c r="Y961" s="22"/>
      <c r="Z961" s="27"/>
      <c r="AA961" s="22" t="s">
        <v>4053</v>
      </c>
      <c r="AB961" s="22" t="s">
        <v>1691</v>
      </c>
    </row>
    <row r="962" customFormat="false" ht="15" hidden="false" customHeight="false" outlineLevel="0" collapsed="false">
      <c r="A962" s="22" t="n">
        <v>961</v>
      </c>
      <c r="B962" s="22" t="s">
        <v>4054</v>
      </c>
      <c r="C962" s="22" t="s">
        <v>4055</v>
      </c>
      <c r="D962" s="22"/>
      <c r="E962" s="22" t="s">
        <v>139</v>
      </c>
      <c r="F962" s="22" t="s">
        <v>108</v>
      </c>
      <c r="G962" s="23" t="n">
        <v>46020</v>
      </c>
      <c r="H962" s="24" t="n">
        <f aca="false">IF(G962="","",ROUND((Config!$C$4-G962)/365.25,2))</f>
        <v>0.76</v>
      </c>
      <c r="I962" s="25" t="str">
        <f aca="false">IF(H962="","",IF(H962&lt;=1,"Tramo 1",IF(H962&lt;=3,"Tramo 2",IF(H962&lt;=5,"Tramo 3","Tramo 4"))))</f>
        <v>Tramo 1</v>
      </c>
      <c r="J962" s="22" t="s">
        <v>2639</v>
      </c>
      <c r="K962" s="22"/>
      <c r="L962" s="22"/>
      <c r="M962" s="26"/>
      <c r="N962" s="22"/>
      <c r="O962" s="22" t="s">
        <v>63</v>
      </c>
      <c r="P962" s="25" t="str">
        <f aca="false">IF(OR(O962="",O962="Sin información"),"",IFERROR(INDEX(Listas!$B$2:$B$9,MATCH(O962,Listas!$A$2:$A$9,0)),""))</f>
        <v/>
      </c>
      <c r="Q962" s="25" t="str">
        <f aca="false">IF(OR(O962="",O962="Sin información"),"",IFERROR(INDEX(Listas!$C$2:$C$9,MATCH(O962,Listas!$A$2:$A$9,0)),""))</f>
        <v/>
      </c>
      <c r="R962" s="22"/>
      <c r="S962" s="22"/>
      <c r="T962" s="25" t="str">
        <f aca="false">IF(S962="","",IFERROR(INDEX(Empleadores!$B$2:$B$601,MATCH(S962,Empleadores!$A$2:$A$601,0)),"No encontrado"))</f>
        <v/>
      </c>
      <c r="U962" s="25" t="str">
        <f aca="false">IF(C962="","",IF(V962="","No",IF(Config!$C$4-V962&lt;=Config!$C$15,"Sí","No")))</f>
        <v>No</v>
      </c>
      <c r="V962" s="23"/>
      <c r="W962" s="22"/>
      <c r="X962" s="22"/>
      <c r="Y962" s="22"/>
      <c r="Z962" s="27"/>
      <c r="AA962" s="22"/>
      <c r="AB962" s="22"/>
    </row>
    <row r="963" customFormat="false" ht="15" hidden="false" customHeight="false" outlineLevel="0" collapsed="false">
      <c r="A963" s="22" t="n">
        <v>962</v>
      </c>
      <c r="B963" s="22" t="s">
        <v>4056</v>
      </c>
      <c r="C963" s="22" t="s">
        <v>4057</v>
      </c>
      <c r="D963" s="22"/>
      <c r="E963" s="22" t="s">
        <v>139</v>
      </c>
      <c r="F963" s="22" t="s">
        <v>108</v>
      </c>
      <c r="G963" s="23" t="n">
        <v>46020</v>
      </c>
      <c r="H963" s="24" t="n">
        <f aca="false">IF(G963="","",ROUND((Config!$C$4-G963)/365.25,2))</f>
        <v>0.76</v>
      </c>
      <c r="I963" s="25" t="str">
        <f aca="false">IF(H963="","",IF(H963&lt;=1,"Tramo 1",IF(H963&lt;=3,"Tramo 2",IF(H963&lt;=5,"Tramo 3","Tramo 4"))))</f>
        <v>Tramo 1</v>
      </c>
      <c r="J963" s="22" t="s">
        <v>2639</v>
      </c>
      <c r="K963" s="22"/>
      <c r="L963" s="22"/>
      <c r="M963" s="26"/>
      <c r="N963" s="22"/>
      <c r="O963" s="22" t="s">
        <v>63</v>
      </c>
      <c r="P963" s="25" t="str">
        <f aca="false">IF(OR(O963="",O963="Sin información"),"",IFERROR(INDEX(Listas!$B$2:$B$9,MATCH(O963,Listas!$A$2:$A$9,0)),""))</f>
        <v/>
      </c>
      <c r="Q963" s="25" t="str">
        <f aca="false">IF(OR(O963="",O963="Sin información"),"",IFERROR(INDEX(Listas!$C$2:$C$9,MATCH(O963,Listas!$A$2:$A$9,0)),""))</f>
        <v/>
      </c>
      <c r="R963" s="22"/>
      <c r="S963" s="22"/>
      <c r="T963" s="25" t="str">
        <f aca="false">IF(S963="","",IFERROR(INDEX(Empleadores!$B$2:$B$601,MATCH(S963,Empleadores!$A$2:$A$601,0)),"No encontrado"))</f>
        <v/>
      </c>
      <c r="U963" s="25" t="str">
        <f aca="false">IF(C963="","",IF(V963="","No",IF(Config!$C$4-V963&lt;=Config!$C$15,"Sí","No")))</f>
        <v>No</v>
      </c>
      <c r="V963" s="23"/>
      <c r="W963" s="22"/>
      <c r="X963" s="22"/>
      <c r="Y963" s="22"/>
      <c r="Z963" s="27"/>
      <c r="AA963" s="22"/>
      <c r="AB963" s="22"/>
    </row>
    <row r="964" customFormat="false" ht="15" hidden="false" customHeight="false" outlineLevel="0" collapsed="false">
      <c r="A964" s="22" t="n">
        <v>963</v>
      </c>
      <c r="B964" s="22" t="s">
        <v>4058</v>
      </c>
      <c r="C964" s="22" t="s">
        <v>4059</v>
      </c>
      <c r="D964" s="22"/>
      <c r="E964" s="22" t="s">
        <v>139</v>
      </c>
      <c r="F964" s="22" t="s">
        <v>108</v>
      </c>
      <c r="G964" s="23" t="n">
        <v>46020</v>
      </c>
      <c r="H964" s="24" t="n">
        <f aca="false">IF(G964="","",ROUND((Config!$C$4-G964)/365.25,2))</f>
        <v>0.76</v>
      </c>
      <c r="I964" s="25" t="str">
        <f aca="false">IF(H964="","",IF(H964&lt;=1,"Tramo 1",IF(H964&lt;=3,"Tramo 2",IF(H964&lt;=5,"Tramo 3","Tramo 4"))))</f>
        <v>Tramo 1</v>
      </c>
      <c r="J964" s="22" t="s">
        <v>2639</v>
      </c>
      <c r="K964" s="22"/>
      <c r="L964" s="22"/>
      <c r="M964" s="26"/>
      <c r="N964" s="22"/>
      <c r="O964" s="22" t="s">
        <v>63</v>
      </c>
      <c r="P964" s="25" t="str">
        <f aca="false">IF(OR(O964="",O964="Sin información"),"",IFERROR(INDEX(Listas!$B$2:$B$9,MATCH(O964,Listas!$A$2:$A$9,0)),""))</f>
        <v/>
      </c>
      <c r="Q964" s="25" t="str">
        <f aca="false">IF(OR(O964="",O964="Sin información"),"",IFERROR(INDEX(Listas!$C$2:$C$9,MATCH(O964,Listas!$A$2:$A$9,0)),""))</f>
        <v/>
      </c>
      <c r="R964" s="22"/>
      <c r="S964" s="22"/>
      <c r="T964" s="25" t="str">
        <f aca="false">IF(S964="","",IFERROR(INDEX(Empleadores!$B$2:$B$601,MATCH(S964,Empleadores!$A$2:$A$601,0)),"No encontrado"))</f>
        <v/>
      </c>
      <c r="U964" s="25" t="str">
        <f aca="false">IF(C964="","",IF(V964="","No",IF(Config!$C$4-V964&lt;=Config!$C$15,"Sí","No")))</f>
        <v>No</v>
      </c>
      <c r="V964" s="23"/>
      <c r="W964" s="22"/>
      <c r="X964" s="22"/>
      <c r="Y964" s="22"/>
      <c r="Z964" s="27"/>
      <c r="AA964" s="22"/>
      <c r="AB964" s="22"/>
    </row>
    <row r="965" customFormat="false" ht="15" hidden="false" customHeight="false" outlineLevel="0" collapsed="false">
      <c r="A965" s="22" t="n">
        <v>964</v>
      </c>
      <c r="B965" s="22" t="s">
        <v>4060</v>
      </c>
      <c r="C965" s="22" t="s">
        <v>4061</v>
      </c>
      <c r="D965" s="22"/>
      <c r="E965" s="22" t="s">
        <v>139</v>
      </c>
      <c r="F965" s="22" t="s">
        <v>108</v>
      </c>
      <c r="G965" s="23" t="n">
        <v>46020</v>
      </c>
      <c r="H965" s="24" t="n">
        <f aca="false">IF(G965="","",ROUND((Config!$C$4-G965)/365.25,2))</f>
        <v>0.76</v>
      </c>
      <c r="I965" s="25" t="str">
        <f aca="false">IF(H965="","",IF(H965&lt;=1,"Tramo 1",IF(H965&lt;=3,"Tramo 2",IF(H965&lt;=5,"Tramo 3","Tramo 4"))))</f>
        <v>Tramo 1</v>
      </c>
      <c r="J965" s="22" t="s">
        <v>2639</v>
      </c>
      <c r="K965" s="22"/>
      <c r="L965" s="22"/>
      <c r="M965" s="26"/>
      <c r="N965" s="22"/>
      <c r="O965" s="22" t="s">
        <v>63</v>
      </c>
      <c r="P965" s="25" t="str">
        <f aca="false">IF(OR(O965="",O965="Sin información"),"",IFERROR(INDEX(Listas!$B$2:$B$9,MATCH(O965,Listas!$A$2:$A$9,0)),""))</f>
        <v/>
      </c>
      <c r="Q965" s="25" t="str">
        <f aca="false">IF(OR(O965="",O965="Sin información"),"",IFERROR(INDEX(Listas!$C$2:$C$9,MATCH(O965,Listas!$A$2:$A$9,0)),""))</f>
        <v/>
      </c>
      <c r="R965" s="22"/>
      <c r="S965" s="22"/>
      <c r="T965" s="25" t="str">
        <f aca="false">IF(S965="","",IFERROR(INDEX(Empleadores!$B$2:$B$601,MATCH(S965,Empleadores!$A$2:$A$601,0)),"No encontrado"))</f>
        <v/>
      </c>
      <c r="U965" s="25" t="str">
        <f aca="false">IF(C965="","",IF(V965="","No",IF(Config!$C$4-V965&lt;=Config!$C$15,"Sí","No")))</f>
        <v>No</v>
      </c>
      <c r="V965" s="23"/>
      <c r="W965" s="22"/>
      <c r="X965" s="22"/>
      <c r="Y965" s="22"/>
      <c r="Z965" s="27"/>
      <c r="AA965" s="22"/>
      <c r="AB965" s="22"/>
    </row>
    <row r="966" customFormat="false" ht="15" hidden="false" customHeight="false" outlineLevel="0" collapsed="false">
      <c r="A966" s="22" t="n">
        <v>965</v>
      </c>
      <c r="B966" s="22" t="s">
        <v>4062</v>
      </c>
      <c r="C966" s="22" t="s">
        <v>4063</v>
      </c>
      <c r="D966" s="22"/>
      <c r="E966" s="22" t="s">
        <v>139</v>
      </c>
      <c r="F966" s="22" t="s">
        <v>108</v>
      </c>
      <c r="G966" s="23" t="n">
        <v>46020</v>
      </c>
      <c r="H966" s="24" t="n">
        <f aca="false">IF(G966="","",ROUND((Config!$C$4-G966)/365.25,2))</f>
        <v>0.76</v>
      </c>
      <c r="I966" s="25" t="str">
        <f aca="false">IF(H966="","",IF(H966&lt;=1,"Tramo 1",IF(H966&lt;=3,"Tramo 2",IF(H966&lt;=5,"Tramo 3","Tramo 4"))))</f>
        <v>Tramo 1</v>
      </c>
      <c r="J966" s="22" t="s">
        <v>2639</v>
      </c>
      <c r="K966" s="22"/>
      <c r="L966" s="22"/>
      <c r="M966" s="26"/>
      <c r="N966" s="22"/>
      <c r="O966" s="22" t="s">
        <v>63</v>
      </c>
      <c r="P966" s="25" t="str">
        <f aca="false">IF(OR(O966="",O966="Sin información"),"",IFERROR(INDEX(Listas!$B$2:$B$9,MATCH(O966,Listas!$A$2:$A$9,0)),""))</f>
        <v/>
      </c>
      <c r="Q966" s="25" t="str">
        <f aca="false">IF(OR(O966="",O966="Sin información"),"",IFERROR(INDEX(Listas!$C$2:$C$9,MATCH(O966,Listas!$A$2:$A$9,0)),""))</f>
        <v/>
      </c>
      <c r="R966" s="22"/>
      <c r="S966" s="22"/>
      <c r="T966" s="25" t="str">
        <f aca="false">IF(S966="","",IFERROR(INDEX(Empleadores!$B$2:$B$601,MATCH(S966,Empleadores!$A$2:$A$601,0)),"No encontrado"))</f>
        <v/>
      </c>
      <c r="U966" s="25" t="str">
        <f aca="false">IF(C966="","",IF(V966="","No",IF(Config!$C$4-V966&lt;=Config!$C$15,"Sí","No")))</f>
        <v>No</v>
      </c>
      <c r="V966" s="23"/>
      <c r="W966" s="22"/>
      <c r="X966" s="22"/>
      <c r="Y966" s="22"/>
      <c r="Z966" s="27"/>
      <c r="AA966" s="22"/>
      <c r="AB966" s="22"/>
    </row>
    <row r="967" customFormat="false" ht="15" hidden="false" customHeight="false" outlineLevel="0" collapsed="false">
      <c r="A967" s="22" t="n">
        <v>966</v>
      </c>
      <c r="B967" s="22" t="s">
        <v>4064</v>
      </c>
      <c r="C967" s="22" t="s">
        <v>4065</v>
      </c>
      <c r="D967" s="22"/>
      <c r="E967" s="22" t="s">
        <v>139</v>
      </c>
      <c r="F967" s="22" t="s">
        <v>108</v>
      </c>
      <c r="G967" s="23" t="n">
        <v>46020</v>
      </c>
      <c r="H967" s="24" t="n">
        <f aca="false">IF(G967="","",ROUND((Config!$C$4-G967)/365.25,2))</f>
        <v>0.76</v>
      </c>
      <c r="I967" s="25" t="str">
        <f aca="false">IF(H967="","",IF(H967&lt;=1,"Tramo 1",IF(H967&lt;=3,"Tramo 2",IF(H967&lt;=5,"Tramo 3","Tramo 4"))))</f>
        <v>Tramo 1</v>
      </c>
      <c r="J967" s="22" t="s">
        <v>2639</v>
      </c>
      <c r="K967" s="22"/>
      <c r="L967" s="22"/>
      <c r="M967" s="26"/>
      <c r="N967" s="22"/>
      <c r="O967" s="22" t="s">
        <v>63</v>
      </c>
      <c r="P967" s="25" t="str">
        <f aca="false">IF(OR(O967="",O967="Sin información"),"",IFERROR(INDEX(Listas!$B$2:$B$9,MATCH(O967,Listas!$A$2:$A$9,0)),""))</f>
        <v/>
      </c>
      <c r="Q967" s="25" t="str">
        <f aca="false">IF(OR(O967="",O967="Sin información"),"",IFERROR(INDEX(Listas!$C$2:$C$9,MATCH(O967,Listas!$A$2:$A$9,0)),""))</f>
        <v/>
      </c>
      <c r="R967" s="22"/>
      <c r="S967" s="22"/>
      <c r="T967" s="25" t="str">
        <f aca="false">IF(S967="","",IFERROR(INDEX(Empleadores!$B$2:$B$601,MATCH(S967,Empleadores!$A$2:$A$601,0)),"No encontrado"))</f>
        <v/>
      </c>
      <c r="U967" s="25" t="str">
        <f aca="false">IF(C967="","",IF(V967="","No",IF(Config!$C$4-V967&lt;=Config!$C$15,"Sí","No")))</f>
        <v>No</v>
      </c>
      <c r="V967" s="23"/>
      <c r="W967" s="22"/>
      <c r="X967" s="22"/>
      <c r="Y967" s="22"/>
      <c r="Z967" s="27"/>
      <c r="AA967" s="22" t="s">
        <v>4066</v>
      </c>
      <c r="AB967" s="22" t="s">
        <v>1691</v>
      </c>
    </row>
    <row r="968" customFormat="false" ht="15" hidden="false" customHeight="false" outlineLevel="0" collapsed="false">
      <c r="A968" s="22" t="n">
        <v>967</v>
      </c>
      <c r="B968" s="22" t="s">
        <v>4067</v>
      </c>
      <c r="C968" s="22" t="s">
        <v>4068</v>
      </c>
      <c r="D968" s="22"/>
      <c r="E968" s="22" t="s">
        <v>139</v>
      </c>
      <c r="F968" s="22" t="s">
        <v>108</v>
      </c>
      <c r="G968" s="23" t="n">
        <v>46020</v>
      </c>
      <c r="H968" s="24" t="n">
        <f aca="false">IF(G968="","",ROUND((Config!$C$4-G968)/365.25,2))</f>
        <v>0.76</v>
      </c>
      <c r="I968" s="25" t="str">
        <f aca="false">IF(H968="","",IF(H968&lt;=1,"Tramo 1",IF(H968&lt;=3,"Tramo 2",IF(H968&lt;=5,"Tramo 3","Tramo 4"))))</f>
        <v>Tramo 1</v>
      </c>
      <c r="J968" s="22" t="s">
        <v>2639</v>
      </c>
      <c r="K968" s="22"/>
      <c r="L968" s="22"/>
      <c r="M968" s="26"/>
      <c r="N968" s="22"/>
      <c r="O968" s="22" t="s">
        <v>63</v>
      </c>
      <c r="P968" s="25" t="str">
        <f aca="false">IF(OR(O968="",O968="Sin información"),"",IFERROR(INDEX(Listas!$B$2:$B$9,MATCH(O968,Listas!$A$2:$A$9,0)),""))</f>
        <v/>
      </c>
      <c r="Q968" s="25" t="str">
        <f aca="false">IF(OR(O968="",O968="Sin información"),"",IFERROR(INDEX(Listas!$C$2:$C$9,MATCH(O968,Listas!$A$2:$A$9,0)),""))</f>
        <v/>
      </c>
      <c r="R968" s="22"/>
      <c r="S968" s="22"/>
      <c r="T968" s="25" t="str">
        <f aca="false">IF(S968="","",IFERROR(INDEX(Empleadores!$B$2:$B$601,MATCH(S968,Empleadores!$A$2:$A$601,0)),"No encontrado"))</f>
        <v/>
      </c>
      <c r="U968" s="25" t="str">
        <f aca="false">IF(C968="","",IF(V968="","No",IF(Config!$C$4-V968&lt;=Config!$C$15,"Sí","No")))</f>
        <v>No</v>
      </c>
      <c r="V968" s="23"/>
      <c r="W968" s="22"/>
      <c r="X968" s="22"/>
      <c r="Y968" s="22"/>
      <c r="Z968" s="27"/>
      <c r="AA968" s="22" t="s">
        <v>4069</v>
      </c>
      <c r="AB968" s="22" t="s">
        <v>1691</v>
      </c>
    </row>
    <row r="969" customFormat="false" ht="15" hidden="false" customHeight="false" outlineLevel="0" collapsed="false">
      <c r="A969" s="22" t="n">
        <v>968</v>
      </c>
      <c r="B969" s="22" t="s">
        <v>4070</v>
      </c>
      <c r="C969" s="22" t="s">
        <v>4071</v>
      </c>
      <c r="D969" s="22"/>
      <c r="E969" s="22" t="s">
        <v>139</v>
      </c>
      <c r="F969" s="22" t="s">
        <v>108</v>
      </c>
      <c r="G969" s="23" t="n">
        <v>46020</v>
      </c>
      <c r="H969" s="24" t="n">
        <f aca="false">IF(G969="","",ROUND((Config!$C$4-G969)/365.25,2))</f>
        <v>0.76</v>
      </c>
      <c r="I969" s="25" t="str">
        <f aca="false">IF(H969="","",IF(H969&lt;=1,"Tramo 1",IF(H969&lt;=3,"Tramo 2",IF(H969&lt;=5,"Tramo 3","Tramo 4"))))</f>
        <v>Tramo 1</v>
      </c>
      <c r="J969" s="22" t="s">
        <v>2639</v>
      </c>
      <c r="K969" s="22"/>
      <c r="L969" s="22"/>
      <c r="M969" s="26"/>
      <c r="N969" s="22"/>
      <c r="O969" s="22" t="s">
        <v>63</v>
      </c>
      <c r="P969" s="25" t="str">
        <f aca="false">IF(OR(O969="",O969="Sin información"),"",IFERROR(INDEX(Listas!$B$2:$B$9,MATCH(O969,Listas!$A$2:$A$9,0)),""))</f>
        <v/>
      </c>
      <c r="Q969" s="25" t="str">
        <f aca="false">IF(OR(O969="",O969="Sin información"),"",IFERROR(INDEX(Listas!$C$2:$C$9,MATCH(O969,Listas!$A$2:$A$9,0)),""))</f>
        <v/>
      </c>
      <c r="R969" s="22"/>
      <c r="S969" s="22"/>
      <c r="T969" s="25" t="str">
        <f aca="false">IF(S969="","",IFERROR(INDEX(Empleadores!$B$2:$B$601,MATCH(S969,Empleadores!$A$2:$A$601,0)),"No encontrado"))</f>
        <v/>
      </c>
      <c r="U969" s="25" t="str">
        <f aca="false">IF(C969="","",IF(V969="","No",IF(Config!$C$4-V969&lt;=Config!$C$15,"Sí","No")))</f>
        <v>No</v>
      </c>
      <c r="V969" s="23"/>
      <c r="W969" s="22"/>
      <c r="X969" s="22"/>
      <c r="Y969" s="22"/>
      <c r="Z969" s="27"/>
      <c r="AA969" s="22"/>
      <c r="AB969" s="22"/>
    </row>
    <row r="970" customFormat="false" ht="15" hidden="false" customHeight="false" outlineLevel="0" collapsed="false">
      <c r="A970" s="22" t="n">
        <v>969</v>
      </c>
      <c r="B970" s="22" t="s">
        <v>4072</v>
      </c>
      <c r="C970" s="22" t="s">
        <v>4073</v>
      </c>
      <c r="D970" s="22"/>
      <c r="E970" s="22" t="s">
        <v>139</v>
      </c>
      <c r="F970" s="22" t="s">
        <v>108</v>
      </c>
      <c r="G970" s="23" t="n">
        <v>46020</v>
      </c>
      <c r="H970" s="24" t="n">
        <f aca="false">IF(G970="","",ROUND((Config!$C$4-G970)/365.25,2))</f>
        <v>0.76</v>
      </c>
      <c r="I970" s="25" t="str">
        <f aca="false">IF(H970="","",IF(H970&lt;=1,"Tramo 1",IF(H970&lt;=3,"Tramo 2",IF(H970&lt;=5,"Tramo 3","Tramo 4"))))</f>
        <v>Tramo 1</v>
      </c>
      <c r="J970" s="22" t="s">
        <v>2639</v>
      </c>
      <c r="K970" s="22"/>
      <c r="L970" s="22"/>
      <c r="M970" s="26"/>
      <c r="N970" s="22"/>
      <c r="O970" s="22" t="s">
        <v>63</v>
      </c>
      <c r="P970" s="25" t="str">
        <f aca="false">IF(OR(O970="",O970="Sin información"),"",IFERROR(INDEX(Listas!$B$2:$B$9,MATCH(O970,Listas!$A$2:$A$9,0)),""))</f>
        <v/>
      </c>
      <c r="Q970" s="25" t="str">
        <f aca="false">IF(OR(O970="",O970="Sin información"),"",IFERROR(INDEX(Listas!$C$2:$C$9,MATCH(O970,Listas!$A$2:$A$9,0)),""))</f>
        <v/>
      </c>
      <c r="R970" s="22"/>
      <c r="S970" s="22"/>
      <c r="T970" s="25" t="str">
        <f aca="false">IF(S970="","",IFERROR(INDEX(Empleadores!$B$2:$B$601,MATCH(S970,Empleadores!$A$2:$A$601,0)),"No encontrado"))</f>
        <v/>
      </c>
      <c r="U970" s="25" t="str">
        <f aca="false">IF(C970="","",IF(V970="","No",IF(Config!$C$4-V970&lt;=Config!$C$15,"Sí","No")))</f>
        <v>No</v>
      </c>
      <c r="V970" s="23"/>
      <c r="W970" s="22"/>
      <c r="X970" s="22"/>
      <c r="Y970" s="22"/>
      <c r="Z970" s="27"/>
      <c r="AA970" s="22"/>
      <c r="AB970" s="22"/>
    </row>
    <row r="971" customFormat="false" ht="15" hidden="false" customHeight="false" outlineLevel="0" collapsed="false">
      <c r="A971" s="22" t="n">
        <v>970</v>
      </c>
      <c r="B971" s="22" t="s">
        <v>4074</v>
      </c>
      <c r="C971" s="22" t="s">
        <v>4075</v>
      </c>
      <c r="D971" s="22"/>
      <c r="E971" s="22" t="s">
        <v>139</v>
      </c>
      <c r="F971" s="22" t="s">
        <v>108</v>
      </c>
      <c r="G971" s="23" t="n">
        <v>46020</v>
      </c>
      <c r="H971" s="24" t="n">
        <f aca="false">IF(G971="","",ROUND((Config!$C$4-G971)/365.25,2))</f>
        <v>0.76</v>
      </c>
      <c r="I971" s="25" t="str">
        <f aca="false">IF(H971="","",IF(H971&lt;=1,"Tramo 1",IF(H971&lt;=3,"Tramo 2",IF(H971&lt;=5,"Tramo 3","Tramo 4"))))</f>
        <v>Tramo 1</v>
      </c>
      <c r="J971" s="22" t="s">
        <v>2639</v>
      </c>
      <c r="K971" s="22"/>
      <c r="L971" s="22"/>
      <c r="M971" s="26"/>
      <c r="N971" s="22"/>
      <c r="O971" s="22" t="s">
        <v>63</v>
      </c>
      <c r="P971" s="25" t="str">
        <f aca="false">IF(OR(O971="",O971="Sin información"),"",IFERROR(INDEX(Listas!$B$2:$B$9,MATCH(O971,Listas!$A$2:$A$9,0)),""))</f>
        <v/>
      </c>
      <c r="Q971" s="25" t="str">
        <f aca="false">IF(OR(O971="",O971="Sin información"),"",IFERROR(INDEX(Listas!$C$2:$C$9,MATCH(O971,Listas!$A$2:$A$9,0)),""))</f>
        <v/>
      </c>
      <c r="R971" s="22"/>
      <c r="S971" s="22"/>
      <c r="T971" s="25" t="str">
        <f aca="false">IF(S971="","",IFERROR(INDEX(Empleadores!$B$2:$B$601,MATCH(S971,Empleadores!$A$2:$A$601,0)),"No encontrado"))</f>
        <v/>
      </c>
      <c r="U971" s="25" t="str">
        <f aca="false">IF(C971="","",IF(V971="","No",IF(Config!$C$4-V971&lt;=Config!$C$15,"Sí","No")))</f>
        <v>No</v>
      </c>
      <c r="V971" s="23"/>
      <c r="W971" s="22"/>
      <c r="X971" s="22"/>
      <c r="Y971" s="22"/>
      <c r="Z971" s="27"/>
      <c r="AA971" s="22" t="s">
        <v>4076</v>
      </c>
      <c r="AB971" s="22" t="s">
        <v>1691</v>
      </c>
    </row>
    <row r="972" customFormat="false" ht="15" hidden="false" customHeight="false" outlineLevel="0" collapsed="false">
      <c r="A972" s="22" t="n">
        <v>971</v>
      </c>
      <c r="B972" s="22" t="s">
        <v>4077</v>
      </c>
      <c r="C972" s="22" t="s">
        <v>4078</v>
      </c>
      <c r="D972" s="22"/>
      <c r="E972" s="22" t="s">
        <v>139</v>
      </c>
      <c r="F972" s="22" t="s">
        <v>108</v>
      </c>
      <c r="G972" s="23" t="n">
        <v>46020</v>
      </c>
      <c r="H972" s="24" t="n">
        <f aca="false">IF(G972="","",ROUND((Config!$C$4-G972)/365.25,2))</f>
        <v>0.76</v>
      </c>
      <c r="I972" s="25" t="str">
        <f aca="false">IF(H972="","",IF(H972&lt;=1,"Tramo 1",IF(H972&lt;=3,"Tramo 2",IF(H972&lt;=5,"Tramo 3","Tramo 4"))))</f>
        <v>Tramo 1</v>
      </c>
      <c r="J972" s="22" t="s">
        <v>2639</v>
      </c>
      <c r="K972" s="22"/>
      <c r="L972" s="22"/>
      <c r="M972" s="26"/>
      <c r="N972" s="22"/>
      <c r="O972" s="22" t="s">
        <v>63</v>
      </c>
      <c r="P972" s="25" t="str">
        <f aca="false">IF(OR(O972="",O972="Sin información"),"",IFERROR(INDEX(Listas!$B$2:$B$9,MATCH(O972,Listas!$A$2:$A$9,0)),""))</f>
        <v/>
      </c>
      <c r="Q972" s="25" t="str">
        <f aca="false">IF(OR(O972="",O972="Sin información"),"",IFERROR(INDEX(Listas!$C$2:$C$9,MATCH(O972,Listas!$A$2:$A$9,0)),""))</f>
        <v/>
      </c>
      <c r="R972" s="22"/>
      <c r="S972" s="22"/>
      <c r="T972" s="25" t="str">
        <f aca="false">IF(S972="","",IFERROR(INDEX(Empleadores!$B$2:$B$601,MATCH(S972,Empleadores!$A$2:$A$601,0)),"No encontrado"))</f>
        <v/>
      </c>
      <c r="U972" s="25" t="str">
        <f aca="false">IF(C972="","",IF(V972="","No",IF(Config!$C$4-V972&lt;=Config!$C$15,"Sí","No")))</f>
        <v>No</v>
      </c>
      <c r="V972" s="23"/>
      <c r="W972" s="22"/>
      <c r="X972" s="22"/>
      <c r="Y972" s="22"/>
      <c r="Z972" s="27"/>
      <c r="AA972" s="22"/>
      <c r="AB972" s="22"/>
    </row>
    <row r="973" customFormat="false" ht="15" hidden="false" customHeight="false" outlineLevel="0" collapsed="false">
      <c r="A973" s="22" t="n">
        <v>972</v>
      </c>
      <c r="B973" s="22" t="s">
        <v>4079</v>
      </c>
      <c r="C973" s="22" t="s">
        <v>4080</v>
      </c>
      <c r="D973" s="22"/>
      <c r="E973" s="22" t="s">
        <v>139</v>
      </c>
      <c r="F973" s="22" t="s">
        <v>108</v>
      </c>
      <c r="G973" s="23" t="n">
        <v>46020</v>
      </c>
      <c r="H973" s="24" t="n">
        <f aca="false">IF(G973="","",ROUND((Config!$C$4-G973)/365.25,2))</f>
        <v>0.76</v>
      </c>
      <c r="I973" s="25" t="str">
        <f aca="false">IF(H973="","",IF(H973&lt;=1,"Tramo 1",IF(H973&lt;=3,"Tramo 2",IF(H973&lt;=5,"Tramo 3","Tramo 4"))))</f>
        <v>Tramo 1</v>
      </c>
      <c r="J973" s="22" t="s">
        <v>2639</v>
      </c>
      <c r="K973" s="22"/>
      <c r="L973" s="22"/>
      <c r="M973" s="26"/>
      <c r="N973" s="22"/>
      <c r="O973" s="22" t="s">
        <v>63</v>
      </c>
      <c r="P973" s="25" t="str">
        <f aca="false">IF(OR(O973="",O973="Sin información"),"",IFERROR(INDEX(Listas!$B$2:$B$9,MATCH(O973,Listas!$A$2:$A$9,0)),""))</f>
        <v/>
      </c>
      <c r="Q973" s="25" t="str">
        <f aca="false">IF(OR(O973="",O973="Sin información"),"",IFERROR(INDEX(Listas!$C$2:$C$9,MATCH(O973,Listas!$A$2:$A$9,0)),""))</f>
        <v/>
      </c>
      <c r="R973" s="22"/>
      <c r="S973" s="22"/>
      <c r="T973" s="25" t="str">
        <f aca="false">IF(S973="","",IFERROR(INDEX(Empleadores!$B$2:$B$601,MATCH(S973,Empleadores!$A$2:$A$601,0)),"No encontrado"))</f>
        <v/>
      </c>
      <c r="U973" s="25" t="str">
        <f aca="false">IF(C973="","",IF(V973="","No",IF(Config!$C$4-V973&lt;=Config!$C$15,"Sí","No")))</f>
        <v>No</v>
      </c>
      <c r="V973" s="23"/>
      <c r="W973" s="22"/>
      <c r="X973" s="22"/>
      <c r="Y973" s="22"/>
      <c r="Z973" s="27"/>
      <c r="AA973" s="22"/>
      <c r="AB973" s="22"/>
    </row>
    <row r="974" customFormat="false" ht="15" hidden="false" customHeight="false" outlineLevel="0" collapsed="false">
      <c r="A974" s="22" t="n">
        <v>973</v>
      </c>
      <c r="B974" s="22" t="s">
        <v>4081</v>
      </c>
      <c r="C974" s="22" t="s">
        <v>4082</v>
      </c>
      <c r="D974" s="22"/>
      <c r="E974" s="22" t="s">
        <v>139</v>
      </c>
      <c r="F974" s="22" t="s">
        <v>108</v>
      </c>
      <c r="G974" s="23" t="n">
        <v>46020</v>
      </c>
      <c r="H974" s="24" t="n">
        <f aca="false">IF(G974="","",ROUND((Config!$C$4-G974)/365.25,2))</f>
        <v>0.76</v>
      </c>
      <c r="I974" s="25" t="str">
        <f aca="false">IF(H974="","",IF(H974&lt;=1,"Tramo 1",IF(H974&lt;=3,"Tramo 2",IF(H974&lt;=5,"Tramo 3","Tramo 4"))))</f>
        <v>Tramo 1</v>
      </c>
      <c r="J974" s="22" t="s">
        <v>2639</v>
      </c>
      <c r="K974" s="22"/>
      <c r="L974" s="22"/>
      <c r="M974" s="26"/>
      <c r="N974" s="22"/>
      <c r="O974" s="22" t="s">
        <v>63</v>
      </c>
      <c r="P974" s="25" t="str">
        <f aca="false">IF(OR(O974="",O974="Sin información"),"",IFERROR(INDEX(Listas!$B$2:$B$9,MATCH(O974,Listas!$A$2:$A$9,0)),""))</f>
        <v/>
      </c>
      <c r="Q974" s="25" t="str">
        <f aca="false">IF(OR(O974="",O974="Sin información"),"",IFERROR(INDEX(Listas!$C$2:$C$9,MATCH(O974,Listas!$A$2:$A$9,0)),""))</f>
        <v/>
      </c>
      <c r="R974" s="22"/>
      <c r="S974" s="22"/>
      <c r="T974" s="25" t="str">
        <f aca="false">IF(S974="","",IFERROR(INDEX(Empleadores!$B$2:$B$601,MATCH(S974,Empleadores!$A$2:$A$601,0)),"No encontrado"))</f>
        <v/>
      </c>
      <c r="U974" s="25" t="str">
        <f aca="false">IF(C974="","",IF(V974="","No",IF(Config!$C$4-V974&lt;=Config!$C$15,"Sí","No")))</f>
        <v>No</v>
      </c>
      <c r="V974" s="23"/>
      <c r="W974" s="22"/>
      <c r="X974" s="22"/>
      <c r="Y974" s="22"/>
      <c r="Z974" s="27"/>
      <c r="AA974" s="22"/>
      <c r="AB974" s="22"/>
    </row>
    <row r="975" customFormat="false" ht="15" hidden="false" customHeight="false" outlineLevel="0" collapsed="false">
      <c r="A975" s="22" t="n">
        <v>974</v>
      </c>
      <c r="B975" s="22" t="s">
        <v>4083</v>
      </c>
      <c r="C975" s="22" t="s">
        <v>4084</v>
      </c>
      <c r="D975" s="22"/>
      <c r="E975" s="22" t="s">
        <v>139</v>
      </c>
      <c r="F975" s="22" t="s">
        <v>108</v>
      </c>
      <c r="G975" s="23" t="n">
        <v>46020</v>
      </c>
      <c r="H975" s="24" t="n">
        <f aca="false">IF(G975="","",ROUND((Config!$C$4-G975)/365.25,2))</f>
        <v>0.76</v>
      </c>
      <c r="I975" s="25" t="str">
        <f aca="false">IF(H975="","",IF(H975&lt;=1,"Tramo 1",IF(H975&lt;=3,"Tramo 2",IF(H975&lt;=5,"Tramo 3","Tramo 4"))))</f>
        <v>Tramo 1</v>
      </c>
      <c r="J975" s="22" t="s">
        <v>2639</v>
      </c>
      <c r="K975" s="22"/>
      <c r="L975" s="22"/>
      <c r="M975" s="26"/>
      <c r="N975" s="22"/>
      <c r="O975" s="22" t="s">
        <v>63</v>
      </c>
      <c r="P975" s="25" t="str">
        <f aca="false">IF(OR(O975="",O975="Sin información"),"",IFERROR(INDEX(Listas!$B$2:$B$9,MATCH(O975,Listas!$A$2:$A$9,0)),""))</f>
        <v/>
      </c>
      <c r="Q975" s="25" t="str">
        <f aca="false">IF(OR(O975="",O975="Sin información"),"",IFERROR(INDEX(Listas!$C$2:$C$9,MATCH(O975,Listas!$A$2:$A$9,0)),""))</f>
        <v/>
      </c>
      <c r="R975" s="22"/>
      <c r="S975" s="22"/>
      <c r="T975" s="25" t="str">
        <f aca="false">IF(S975="","",IFERROR(INDEX(Empleadores!$B$2:$B$601,MATCH(S975,Empleadores!$A$2:$A$601,0)),"No encontrado"))</f>
        <v/>
      </c>
      <c r="U975" s="25" t="str">
        <f aca="false">IF(C975="","",IF(V975="","No",IF(Config!$C$4-V975&lt;=Config!$C$15,"Sí","No")))</f>
        <v>No</v>
      </c>
      <c r="V975" s="23"/>
      <c r="W975" s="22"/>
      <c r="X975" s="22"/>
      <c r="Y975" s="22"/>
      <c r="Z975" s="27"/>
      <c r="AA975" s="22"/>
      <c r="AB975" s="22"/>
    </row>
    <row r="976" customFormat="false" ht="15" hidden="false" customHeight="false" outlineLevel="0" collapsed="false">
      <c r="A976" s="22" t="n">
        <v>975</v>
      </c>
      <c r="B976" s="22" t="s">
        <v>4085</v>
      </c>
      <c r="C976" s="22" t="s">
        <v>4086</v>
      </c>
      <c r="D976" s="22"/>
      <c r="E976" s="22" t="s">
        <v>139</v>
      </c>
      <c r="F976" s="22" t="s">
        <v>108</v>
      </c>
      <c r="G976" s="23" t="n">
        <v>46020</v>
      </c>
      <c r="H976" s="24" t="n">
        <f aca="false">IF(G976="","",ROUND((Config!$C$4-G976)/365.25,2))</f>
        <v>0.76</v>
      </c>
      <c r="I976" s="25" t="str">
        <f aca="false">IF(H976="","",IF(H976&lt;=1,"Tramo 1",IF(H976&lt;=3,"Tramo 2",IF(H976&lt;=5,"Tramo 3","Tramo 4"))))</f>
        <v>Tramo 1</v>
      </c>
      <c r="J976" s="22" t="s">
        <v>2639</v>
      </c>
      <c r="K976" s="22"/>
      <c r="L976" s="22"/>
      <c r="M976" s="26"/>
      <c r="N976" s="22"/>
      <c r="O976" s="22" t="s">
        <v>63</v>
      </c>
      <c r="P976" s="25" t="str">
        <f aca="false">IF(OR(O976="",O976="Sin información"),"",IFERROR(INDEX(Listas!$B$2:$B$9,MATCH(O976,Listas!$A$2:$A$9,0)),""))</f>
        <v/>
      </c>
      <c r="Q976" s="25" t="str">
        <f aca="false">IF(OR(O976="",O976="Sin información"),"",IFERROR(INDEX(Listas!$C$2:$C$9,MATCH(O976,Listas!$A$2:$A$9,0)),""))</f>
        <v/>
      </c>
      <c r="R976" s="22"/>
      <c r="S976" s="22"/>
      <c r="T976" s="25" t="str">
        <f aca="false">IF(S976="","",IFERROR(INDEX(Empleadores!$B$2:$B$601,MATCH(S976,Empleadores!$A$2:$A$601,0)),"No encontrado"))</f>
        <v/>
      </c>
      <c r="U976" s="25" t="str">
        <f aca="false">IF(C976="","",IF(V976="","No",IF(Config!$C$4-V976&lt;=Config!$C$15,"Sí","No")))</f>
        <v>No</v>
      </c>
      <c r="V976" s="23"/>
      <c r="W976" s="22"/>
      <c r="X976" s="22"/>
      <c r="Y976" s="22"/>
      <c r="Z976" s="27"/>
      <c r="AA976" s="22"/>
      <c r="AB976" s="22"/>
    </row>
    <row r="977" customFormat="false" ht="15" hidden="false" customHeight="false" outlineLevel="0" collapsed="false">
      <c r="A977" s="22" t="n">
        <v>976</v>
      </c>
      <c r="B977" s="22" t="s">
        <v>4087</v>
      </c>
      <c r="C977" s="22" t="s">
        <v>4088</v>
      </c>
      <c r="D977" s="22"/>
      <c r="E977" s="22" t="s">
        <v>139</v>
      </c>
      <c r="F977" s="22" t="s">
        <v>108</v>
      </c>
      <c r="G977" s="23" t="n">
        <v>46020</v>
      </c>
      <c r="H977" s="24" t="n">
        <f aca="false">IF(G977="","",ROUND((Config!$C$4-G977)/365.25,2))</f>
        <v>0.76</v>
      </c>
      <c r="I977" s="25" t="str">
        <f aca="false">IF(H977="","",IF(H977&lt;=1,"Tramo 1",IF(H977&lt;=3,"Tramo 2",IF(H977&lt;=5,"Tramo 3","Tramo 4"))))</f>
        <v>Tramo 1</v>
      </c>
      <c r="J977" s="22" t="s">
        <v>2639</v>
      </c>
      <c r="K977" s="22"/>
      <c r="L977" s="22"/>
      <c r="M977" s="26"/>
      <c r="N977" s="22"/>
      <c r="O977" s="22" t="s">
        <v>63</v>
      </c>
      <c r="P977" s="25" t="str">
        <f aca="false">IF(OR(O977="",O977="Sin información"),"",IFERROR(INDEX(Listas!$B$2:$B$9,MATCH(O977,Listas!$A$2:$A$9,0)),""))</f>
        <v/>
      </c>
      <c r="Q977" s="25" t="str">
        <f aca="false">IF(OR(O977="",O977="Sin información"),"",IFERROR(INDEX(Listas!$C$2:$C$9,MATCH(O977,Listas!$A$2:$A$9,0)),""))</f>
        <v/>
      </c>
      <c r="R977" s="22"/>
      <c r="S977" s="22"/>
      <c r="T977" s="25" t="str">
        <f aca="false">IF(S977="","",IFERROR(INDEX(Empleadores!$B$2:$B$601,MATCH(S977,Empleadores!$A$2:$A$601,0)),"No encontrado"))</f>
        <v/>
      </c>
      <c r="U977" s="25" t="str">
        <f aca="false">IF(C977="","",IF(V977="","No",IF(Config!$C$4-V977&lt;=Config!$C$15,"Sí","No")))</f>
        <v>No</v>
      </c>
      <c r="V977" s="23"/>
      <c r="W977" s="22"/>
      <c r="X977" s="22"/>
      <c r="Y977" s="22"/>
      <c r="Z977" s="27"/>
      <c r="AA977" s="22" t="s">
        <v>4089</v>
      </c>
      <c r="AB977" s="22" t="s">
        <v>1691</v>
      </c>
    </row>
    <row r="978" customFormat="false" ht="15" hidden="false" customHeight="false" outlineLevel="0" collapsed="false">
      <c r="A978" s="22"/>
      <c r="B978" s="22"/>
      <c r="C978" s="22"/>
      <c r="D978" s="22"/>
      <c r="E978" s="22"/>
      <c r="F978" s="22"/>
      <c r="G978" s="23"/>
      <c r="H978" s="24" t="str">
        <f aca="false">IF(G978="","",ROUND((Config!$C$4-G978)/365.25,2))</f>
        <v/>
      </c>
      <c r="I978" s="25" t="str">
        <f aca="false">IF(H978="","",IF(H978&lt;=1,"Tramo 1",IF(H978&lt;=3,"Tramo 2",IF(H978&lt;=5,"Tramo 3","Tramo 4"))))</f>
        <v/>
      </c>
      <c r="J978" s="22"/>
      <c r="K978" s="22"/>
      <c r="L978" s="22"/>
      <c r="M978" s="26"/>
      <c r="N978" s="22"/>
      <c r="O978" s="22"/>
      <c r="P978" s="25" t="str">
        <f aca="false">IF(OR(O978="",O978="Sin información"),"",IFERROR(INDEX(Listas!$B$2:$B$9,MATCH(O978,Listas!$A$2:$A$9,0)),""))</f>
        <v/>
      </c>
      <c r="Q978" s="25" t="str">
        <f aca="false">IF(OR(O978="",O978="Sin información"),"",IFERROR(INDEX(Listas!$C$2:$C$9,MATCH(O978,Listas!$A$2:$A$9,0)),""))</f>
        <v/>
      </c>
      <c r="R978" s="22"/>
      <c r="S978" s="22"/>
      <c r="T978" s="25" t="str">
        <f aca="false">IF(S978="","",IFERROR(INDEX(Empleadores!$B$2:$B$601,MATCH(S978,Empleadores!$A$2:$A$601,0)),"No encontrado"))</f>
        <v/>
      </c>
      <c r="U978" s="25" t="str">
        <f aca="false">IF(C978="","",IF(V978="","No",IF(Config!$C$4-V978&lt;=Config!$C$15,"Sí","No")))</f>
        <v/>
      </c>
      <c r="V978" s="23"/>
      <c r="W978" s="22"/>
      <c r="X978" s="22"/>
      <c r="Y978" s="22"/>
      <c r="Z978" s="27"/>
      <c r="AA978" s="22"/>
      <c r="AB978" s="22"/>
    </row>
    <row r="979" customFormat="false" ht="15" hidden="false" customHeight="false" outlineLevel="0" collapsed="false">
      <c r="A979" s="22"/>
      <c r="B979" s="22"/>
      <c r="C979" s="22"/>
      <c r="D979" s="22"/>
      <c r="E979" s="22"/>
      <c r="F979" s="22"/>
      <c r="G979" s="23"/>
      <c r="H979" s="24" t="str">
        <f aca="false">IF(G979="","",ROUND((Config!$C$4-G979)/365.25,2))</f>
        <v/>
      </c>
      <c r="I979" s="25" t="str">
        <f aca="false">IF(H979="","",IF(H979&lt;=1,"Tramo 1",IF(H979&lt;=3,"Tramo 2",IF(H979&lt;=5,"Tramo 3","Tramo 4"))))</f>
        <v/>
      </c>
      <c r="J979" s="22"/>
      <c r="K979" s="22"/>
      <c r="L979" s="22"/>
      <c r="M979" s="26"/>
      <c r="N979" s="22"/>
      <c r="O979" s="22"/>
      <c r="P979" s="25" t="str">
        <f aca="false">IF(OR(O979="",O979="Sin información"),"",IFERROR(INDEX(Listas!$B$2:$B$9,MATCH(O979,Listas!$A$2:$A$9,0)),""))</f>
        <v/>
      </c>
      <c r="Q979" s="25" t="str">
        <f aca="false">IF(OR(O979="",O979="Sin información"),"",IFERROR(INDEX(Listas!$C$2:$C$9,MATCH(O979,Listas!$A$2:$A$9,0)),""))</f>
        <v/>
      </c>
      <c r="R979" s="22"/>
      <c r="S979" s="22"/>
      <c r="T979" s="25" t="str">
        <f aca="false">IF(S979="","",IFERROR(INDEX(Empleadores!$B$2:$B$601,MATCH(S979,Empleadores!$A$2:$A$601,0)),"No encontrado"))</f>
        <v/>
      </c>
      <c r="U979" s="25" t="str">
        <f aca="false">IF(C979="","",IF(V979="","No",IF(Config!$C$4-V979&lt;=Config!$C$15,"Sí","No")))</f>
        <v/>
      </c>
      <c r="V979" s="23"/>
      <c r="W979" s="22"/>
      <c r="X979" s="22"/>
      <c r="Y979" s="22"/>
      <c r="Z979" s="27"/>
      <c r="AA979" s="22"/>
      <c r="AB979" s="22"/>
    </row>
    <row r="980" customFormat="false" ht="15" hidden="false" customHeight="false" outlineLevel="0" collapsed="false">
      <c r="A980" s="22"/>
      <c r="B980" s="22"/>
      <c r="C980" s="22"/>
      <c r="D980" s="22"/>
      <c r="E980" s="22"/>
      <c r="F980" s="22"/>
      <c r="G980" s="23"/>
      <c r="H980" s="24" t="str">
        <f aca="false">IF(G980="","",ROUND((Config!$C$4-G980)/365.25,2))</f>
        <v/>
      </c>
      <c r="I980" s="25" t="str">
        <f aca="false">IF(H980="","",IF(H980&lt;=1,"Tramo 1",IF(H980&lt;=3,"Tramo 2",IF(H980&lt;=5,"Tramo 3","Tramo 4"))))</f>
        <v/>
      </c>
      <c r="J980" s="22"/>
      <c r="K980" s="22"/>
      <c r="L980" s="22"/>
      <c r="M980" s="26"/>
      <c r="N980" s="22"/>
      <c r="O980" s="22"/>
      <c r="P980" s="25" t="str">
        <f aca="false">IF(OR(O980="",O980="Sin información"),"",IFERROR(INDEX(Listas!$B$2:$B$9,MATCH(O980,Listas!$A$2:$A$9,0)),""))</f>
        <v/>
      </c>
      <c r="Q980" s="25" t="str">
        <f aca="false">IF(OR(O980="",O980="Sin información"),"",IFERROR(INDEX(Listas!$C$2:$C$9,MATCH(O980,Listas!$A$2:$A$9,0)),""))</f>
        <v/>
      </c>
      <c r="R980" s="22"/>
      <c r="S980" s="22"/>
      <c r="T980" s="25" t="str">
        <f aca="false">IF(S980="","",IFERROR(INDEX(Empleadores!$B$2:$B$601,MATCH(S980,Empleadores!$A$2:$A$601,0)),"No encontrado"))</f>
        <v/>
      </c>
      <c r="U980" s="25" t="str">
        <f aca="false">IF(C980="","",IF(V980="","No",IF(Config!$C$4-V980&lt;=Config!$C$15,"Sí","No")))</f>
        <v/>
      </c>
      <c r="V980" s="23"/>
      <c r="W980" s="22"/>
      <c r="X980" s="22"/>
      <c r="Y980" s="22"/>
      <c r="Z980" s="27"/>
      <c r="AA980" s="22"/>
      <c r="AB980" s="22"/>
    </row>
    <row r="981" customFormat="false" ht="15" hidden="false" customHeight="false" outlineLevel="0" collapsed="false">
      <c r="A981" s="22"/>
      <c r="B981" s="22"/>
      <c r="C981" s="22"/>
      <c r="D981" s="22"/>
      <c r="E981" s="22"/>
      <c r="F981" s="22"/>
      <c r="G981" s="23"/>
      <c r="H981" s="24" t="str">
        <f aca="false">IF(G981="","",ROUND((Config!$C$4-G981)/365.25,2))</f>
        <v/>
      </c>
      <c r="I981" s="25" t="str">
        <f aca="false">IF(H981="","",IF(H981&lt;=1,"Tramo 1",IF(H981&lt;=3,"Tramo 2",IF(H981&lt;=5,"Tramo 3","Tramo 4"))))</f>
        <v/>
      </c>
      <c r="J981" s="22"/>
      <c r="K981" s="22"/>
      <c r="L981" s="22"/>
      <c r="M981" s="26"/>
      <c r="N981" s="22"/>
      <c r="O981" s="22"/>
      <c r="P981" s="25" t="str">
        <f aca="false">IF(OR(O981="",O981="Sin información"),"",IFERROR(INDEX(Listas!$B$2:$B$9,MATCH(O981,Listas!$A$2:$A$9,0)),""))</f>
        <v/>
      </c>
      <c r="Q981" s="25" t="str">
        <f aca="false">IF(OR(O981="",O981="Sin información"),"",IFERROR(INDEX(Listas!$C$2:$C$9,MATCH(O981,Listas!$A$2:$A$9,0)),""))</f>
        <v/>
      </c>
      <c r="R981" s="22"/>
      <c r="S981" s="22"/>
      <c r="T981" s="25" t="str">
        <f aca="false">IF(S981="","",IFERROR(INDEX(Empleadores!$B$2:$B$601,MATCH(S981,Empleadores!$A$2:$A$601,0)),"No encontrado"))</f>
        <v/>
      </c>
      <c r="U981" s="25" t="str">
        <f aca="false">IF(C981="","",IF(V981="","No",IF(Config!$C$4-V981&lt;=Config!$C$15,"Sí","No")))</f>
        <v/>
      </c>
      <c r="V981" s="23"/>
      <c r="W981" s="22"/>
      <c r="X981" s="22"/>
      <c r="Y981" s="22"/>
      <c r="Z981" s="27"/>
      <c r="AA981" s="22"/>
      <c r="AB981" s="22"/>
    </row>
    <row r="982" customFormat="false" ht="15" hidden="false" customHeight="false" outlineLevel="0" collapsed="false">
      <c r="A982" s="22"/>
      <c r="B982" s="22"/>
      <c r="C982" s="22"/>
      <c r="D982" s="22"/>
      <c r="E982" s="22"/>
      <c r="F982" s="22"/>
      <c r="G982" s="23"/>
      <c r="H982" s="24" t="str">
        <f aca="false">IF(G982="","",ROUND((Config!$C$4-G982)/365.25,2))</f>
        <v/>
      </c>
      <c r="I982" s="25" t="str">
        <f aca="false">IF(H982="","",IF(H982&lt;=1,"Tramo 1",IF(H982&lt;=3,"Tramo 2",IF(H982&lt;=5,"Tramo 3","Tramo 4"))))</f>
        <v/>
      </c>
      <c r="J982" s="22"/>
      <c r="K982" s="22"/>
      <c r="L982" s="22"/>
      <c r="M982" s="26"/>
      <c r="N982" s="22"/>
      <c r="O982" s="22"/>
      <c r="P982" s="25" t="str">
        <f aca="false">IF(OR(O982="",O982="Sin información"),"",IFERROR(INDEX(Listas!$B$2:$B$9,MATCH(O982,Listas!$A$2:$A$9,0)),""))</f>
        <v/>
      </c>
      <c r="Q982" s="25" t="str">
        <f aca="false">IF(OR(O982="",O982="Sin información"),"",IFERROR(INDEX(Listas!$C$2:$C$9,MATCH(O982,Listas!$A$2:$A$9,0)),""))</f>
        <v/>
      </c>
      <c r="R982" s="22"/>
      <c r="S982" s="22"/>
      <c r="T982" s="25" t="str">
        <f aca="false">IF(S982="","",IFERROR(INDEX(Empleadores!$B$2:$B$601,MATCH(S982,Empleadores!$A$2:$A$601,0)),"No encontrado"))</f>
        <v/>
      </c>
      <c r="U982" s="25" t="str">
        <f aca="false">IF(C982="","",IF(V982="","No",IF(Config!$C$4-V982&lt;=Config!$C$15,"Sí","No")))</f>
        <v/>
      </c>
      <c r="V982" s="23"/>
      <c r="W982" s="22"/>
      <c r="X982" s="22"/>
      <c r="Y982" s="22"/>
      <c r="Z982" s="27"/>
      <c r="AA982" s="22"/>
      <c r="AB982" s="22"/>
    </row>
    <row r="983" customFormat="false" ht="15" hidden="false" customHeight="false" outlineLevel="0" collapsed="false">
      <c r="A983" s="22"/>
      <c r="B983" s="22"/>
      <c r="C983" s="22"/>
      <c r="D983" s="22"/>
      <c r="E983" s="22"/>
      <c r="F983" s="22"/>
      <c r="G983" s="23"/>
      <c r="H983" s="24" t="str">
        <f aca="false">IF(G983="","",ROUND((Config!$C$4-G983)/365.25,2))</f>
        <v/>
      </c>
      <c r="I983" s="25" t="str">
        <f aca="false">IF(H983="","",IF(H983&lt;=1,"Tramo 1",IF(H983&lt;=3,"Tramo 2",IF(H983&lt;=5,"Tramo 3","Tramo 4"))))</f>
        <v/>
      </c>
      <c r="J983" s="22"/>
      <c r="K983" s="22"/>
      <c r="L983" s="22"/>
      <c r="M983" s="26"/>
      <c r="N983" s="22"/>
      <c r="O983" s="22"/>
      <c r="P983" s="25" t="str">
        <f aca="false">IF(OR(O983="",O983="Sin información"),"",IFERROR(INDEX(Listas!$B$2:$B$9,MATCH(O983,Listas!$A$2:$A$9,0)),""))</f>
        <v/>
      </c>
      <c r="Q983" s="25" t="str">
        <f aca="false">IF(OR(O983="",O983="Sin información"),"",IFERROR(INDEX(Listas!$C$2:$C$9,MATCH(O983,Listas!$A$2:$A$9,0)),""))</f>
        <v/>
      </c>
      <c r="R983" s="22"/>
      <c r="S983" s="22"/>
      <c r="T983" s="25" t="str">
        <f aca="false">IF(S983="","",IFERROR(INDEX(Empleadores!$B$2:$B$601,MATCH(S983,Empleadores!$A$2:$A$601,0)),"No encontrado"))</f>
        <v/>
      </c>
      <c r="U983" s="25" t="str">
        <f aca="false">IF(C983="","",IF(V983="","No",IF(Config!$C$4-V983&lt;=Config!$C$15,"Sí","No")))</f>
        <v/>
      </c>
      <c r="V983" s="23"/>
      <c r="W983" s="22"/>
      <c r="X983" s="22"/>
      <c r="Y983" s="22"/>
      <c r="Z983" s="27"/>
      <c r="AA983" s="22"/>
      <c r="AB983" s="22"/>
    </row>
    <row r="984" customFormat="false" ht="15" hidden="false" customHeight="false" outlineLevel="0" collapsed="false">
      <c r="A984" s="22"/>
      <c r="B984" s="22"/>
      <c r="C984" s="22"/>
      <c r="D984" s="22"/>
      <c r="E984" s="22"/>
      <c r="F984" s="22"/>
      <c r="G984" s="23"/>
      <c r="H984" s="24" t="str">
        <f aca="false">IF(G984="","",ROUND((Config!$C$4-G984)/365.25,2))</f>
        <v/>
      </c>
      <c r="I984" s="25" t="str">
        <f aca="false">IF(H984="","",IF(H984&lt;=1,"Tramo 1",IF(H984&lt;=3,"Tramo 2",IF(H984&lt;=5,"Tramo 3","Tramo 4"))))</f>
        <v/>
      </c>
      <c r="J984" s="22"/>
      <c r="K984" s="22"/>
      <c r="L984" s="22"/>
      <c r="M984" s="26"/>
      <c r="N984" s="22"/>
      <c r="O984" s="22"/>
      <c r="P984" s="25" t="str">
        <f aca="false">IF(OR(O984="",O984="Sin información"),"",IFERROR(INDEX(Listas!$B$2:$B$9,MATCH(O984,Listas!$A$2:$A$9,0)),""))</f>
        <v/>
      </c>
      <c r="Q984" s="25" t="str">
        <f aca="false">IF(OR(O984="",O984="Sin información"),"",IFERROR(INDEX(Listas!$C$2:$C$9,MATCH(O984,Listas!$A$2:$A$9,0)),""))</f>
        <v/>
      </c>
      <c r="R984" s="22"/>
      <c r="S984" s="22"/>
      <c r="T984" s="25" t="str">
        <f aca="false">IF(S984="","",IFERROR(INDEX(Empleadores!$B$2:$B$601,MATCH(S984,Empleadores!$A$2:$A$601,0)),"No encontrado"))</f>
        <v/>
      </c>
      <c r="U984" s="25" t="str">
        <f aca="false">IF(C984="","",IF(V984="","No",IF(Config!$C$4-V984&lt;=Config!$C$15,"Sí","No")))</f>
        <v/>
      </c>
      <c r="V984" s="23"/>
      <c r="W984" s="22"/>
      <c r="X984" s="22"/>
      <c r="Y984" s="22"/>
      <c r="Z984" s="27"/>
      <c r="AA984" s="22"/>
      <c r="AB984" s="22"/>
    </row>
    <row r="985" customFormat="false" ht="15" hidden="false" customHeight="false" outlineLevel="0" collapsed="false">
      <c r="A985" s="22"/>
      <c r="B985" s="22"/>
      <c r="C985" s="22"/>
      <c r="D985" s="22"/>
      <c r="E985" s="22"/>
      <c r="F985" s="22"/>
      <c r="G985" s="23"/>
      <c r="H985" s="24" t="str">
        <f aca="false">IF(G985="","",ROUND((Config!$C$4-G985)/365.25,2))</f>
        <v/>
      </c>
      <c r="I985" s="25" t="str">
        <f aca="false">IF(H985="","",IF(H985&lt;=1,"Tramo 1",IF(H985&lt;=3,"Tramo 2",IF(H985&lt;=5,"Tramo 3","Tramo 4"))))</f>
        <v/>
      </c>
      <c r="J985" s="22"/>
      <c r="K985" s="22"/>
      <c r="L985" s="22"/>
      <c r="M985" s="26"/>
      <c r="N985" s="22"/>
      <c r="O985" s="22"/>
      <c r="P985" s="25" t="str">
        <f aca="false">IF(OR(O985="",O985="Sin información"),"",IFERROR(INDEX(Listas!$B$2:$B$9,MATCH(O985,Listas!$A$2:$A$9,0)),""))</f>
        <v/>
      </c>
      <c r="Q985" s="25" t="str">
        <f aca="false">IF(OR(O985="",O985="Sin información"),"",IFERROR(INDEX(Listas!$C$2:$C$9,MATCH(O985,Listas!$A$2:$A$9,0)),""))</f>
        <v/>
      </c>
      <c r="R985" s="22"/>
      <c r="S985" s="22"/>
      <c r="T985" s="25" t="str">
        <f aca="false">IF(S985="","",IFERROR(INDEX(Empleadores!$B$2:$B$601,MATCH(S985,Empleadores!$A$2:$A$601,0)),"No encontrado"))</f>
        <v/>
      </c>
      <c r="U985" s="25" t="str">
        <f aca="false">IF(C985="","",IF(V985="","No",IF(Config!$C$4-V985&lt;=Config!$C$15,"Sí","No")))</f>
        <v/>
      </c>
      <c r="V985" s="23"/>
      <c r="W985" s="22"/>
      <c r="X985" s="22"/>
      <c r="Y985" s="22"/>
      <c r="Z985" s="27"/>
      <c r="AA985" s="22"/>
      <c r="AB985" s="22"/>
    </row>
    <row r="986" customFormat="false" ht="15" hidden="false" customHeight="false" outlineLevel="0" collapsed="false">
      <c r="A986" s="22"/>
      <c r="B986" s="22"/>
      <c r="C986" s="22"/>
      <c r="D986" s="22"/>
      <c r="E986" s="22"/>
      <c r="F986" s="22"/>
      <c r="G986" s="23"/>
      <c r="H986" s="24" t="str">
        <f aca="false">IF(G986="","",ROUND((Config!$C$4-G986)/365.25,2))</f>
        <v/>
      </c>
      <c r="I986" s="25" t="str">
        <f aca="false">IF(H986="","",IF(H986&lt;=1,"Tramo 1",IF(H986&lt;=3,"Tramo 2",IF(H986&lt;=5,"Tramo 3","Tramo 4"))))</f>
        <v/>
      </c>
      <c r="J986" s="22"/>
      <c r="K986" s="22"/>
      <c r="L986" s="22"/>
      <c r="M986" s="26"/>
      <c r="N986" s="22"/>
      <c r="O986" s="22"/>
      <c r="P986" s="25" t="str">
        <f aca="false">IF(OR(O986="",O986="Sin información"),"",IFERROR(INDEX(Listas!$B$2:$B$9,MATCH(O986,Listas!$A$2:$A$9,0)),""))</f>
        <v/>
      </c>
      <c r="Q986" s="25" t="str">
        <f aca="false">IF(OR(O986="",O986="Sin información"),"",IFERROR(INDEX(Listas!$C$2:$C$9,MATCH(O986,Listas!$A$2:$A$9,0)),""))</f>
        <v/>
      </c>
      <c r="R986" s="22"/>
      <c r="S986" s="22"/>
      <c r="T986" s="25" t="str">
        <f aca="false">IF(S986="","",IFERROR(INDEX(Empleadores!$B$2:$B$601,MATCH(S986,Empleadores!$A$2:$A$601,0)),"No encontrado"))</f>
        <v/>
      </c>
      <c r="U986" s="25" t="str">
        <f aca="false">IF(C986="","",IF(V986="","No",IF(Config!$C$4-V986&lt;=Config!$C$15,"Sí","No")))</f>
        <v/>
      </c>
      <c r="V986" s="23"/>
      <c r="W986" s="22"/>
      <c r="X986" s="22"/>
      <c r="Y986" s="22"/>
      <c r="Z986" s="27"/>
      <c r="AA986" s="22"/>
      <c r="AB986" s="22"/>
    </row>
    <row r="987" customFormat="false" ht="15" hidden="false" customHeight="false" outlineLevel="0" collapsed="false">
      <c r="A987" s="22"/>
      <c r="B987" s="22"/>
      <c r="C987" s="22"/>
      <c r="D987" s="22"/>
      <c r="E987" s="22"/>
      <c r="F987" s="22"/>
      <c r="G987" s="23"/>
      <c r="H987" s="24" t="str">
        <f aca="false">IF(G987="","",ROUND((Config!$C$4-G987)/365.25,2))</f>
        <v/>
      </c>
      <c r="I987" s="25" t="str">
        <f aca="false">IF(H987="","",IF(H987&lt;=1,"Tramo 1",IF(H987&lt;=3,"Tramo 2",IF(H987&lt;=5,"Tramo 3","Tramo 4"))))</f>
        <v/>
      </c>
      <c r="J987" s="22"/>
      <c r="K987" s="22"/>
      <c r="L987" s="22"/>
      <c r="M987" s="26"/>
      <c r="N987" s="22"/>
      <c r="O987" s="22"/>
      <c r="P987" s="25" t="str">
        <f aca="false">IF(OR(O987="",O987="Sin información"),"",IFERROR(INDEX(Listas!$B$2:$B$9,MATCH(O987,Listas!$A$2:$A$9,0)),""))</f>
        <v/>
      </c>
      <c r="Q987" s="25" t="str">
        <f aca="false">IF(OR(O987="",O987="Sin información"),"",IFERROR(INDEX(Listas!$C$2:$C$9,MATCH(O987,Listas!$A$2:$A$9,0)),""))</f>
        <v/>
      </c>
      <c r="R987" s="22"/>
      <c r="S987" s="22"/>
      <c r="T987" s="25" t="str">
        <f aca="false">IF(S987="","",IFERROR(INDEX(Empleadores!$B$2:$B$601,MATCH(S987,Empleadores!$A$2:$A$601,0)),"No encontrado"))</f>
        <v/>
      </c>
      <c r="U987" s="25" t="str">
        <f aca="false">IF(C987="","",IF(V987="","No",IF(Config!$C$4-V987&lt;=Config!$C$15,"Sí","No")))</f>
        <v/>
      </c>
      <c r="V987" s="23"/>
      <c r="W987" s="22"/>
      <c r="X987" s="22"/>
      <c r="Y987" s="22"/>
      <c r="Z987" s="27"/>
      <c r="AA987" s="22"/>
      <c r="AB987" s="22"/>
    </row>
    <row r="988" customFormat="false" ht="15" hidden="false" customHeight="false" outlineLevel="0" collapsed="false">
      <c r="A988" s="22"/>
      <c r="B988" s="22"/>
      <c r="C988" s="22"/>
      <c r="D988" s="22"/>
      <c r="E988" s="22"/>
      <c r="F988" s="22"/>
      <c r="G988" s="23"/>
      <c r="H988" s="24" t="str">
        <f aca="false">IF(G988="","",ROUND((Config!$C$4-G988)/365.25,2))</f>
        <v/>
      </c>
      <c r="I988" s="25" t="str">
        <f aca="false">IF(H988="","",IF(H988&lt;=1,"Tramo 1",IF(H988&lt;=3,"Tramo 2",IF(H988&lt;=5,"Tramo 3","Tramo 4"))))</f>
        <v/>
      </c>
      <c r="J988" s="22"/>
      <c r="K988" s="22"/>
      <c r="L988" s="22"/>
      <c r="M988" s="26"/>
      <c r="N988" s="22"/>
      <c r="O988" s="22"/>
      <c r="P988" s="25" t="str">
        <f aca="false">IF(OR(O988="",O988="Sin información"),"",IFERROR(INDEX(Listas!$B$2:$B$9,MATCH(O988,Listas!$A$2:$A$9,0)),""))</f>
        <v/>
      </c>
      <c r="Q988" s="25" t="str">
        <f aca="false">IF(OR(O988="",O988="Sin información"),"",IFERROR(INDEX(Listas!$C$2:$C$9,MATCH(O988,Listas!$A$2:$A$9,0)),""))</f>
        <v/>
      </c>
      <c r="R988" s="22"/>
      <c r="S988" s="22"/>
      <c r="T988" s="25" t="str">
        <f aca="false">IF(S988="","",IFERROR(INDEX(Empleadores!$B$2:$B$601,MATCH(S988,Empleadores!$A$2:$A$601,0)),"No encontrado"))</f>
        <v/>
      </c>
      <c r="U988" s="25" t="str">
        <f aca="false">IF(C988="","",IF(V988="","No",IF(Config!$C$4-V988&lt;=Config!$C$15,"Sí","No")))</f>
        <v/>
      </c>
      <c r="V988" s="23"/>
      <c r="W988" s="22"/>
      <c r="X988" s="22"/>
      <c r="Y988" s="22"/>
      <c r="Z988" s="27"/>
      <c r="AA988" s="22"/>
      <c r="AB988" s="22"/>
    </row>
    <row r="989" customFormat="false" ht="15" hidden="false" customHeight="false" outlineLevel="0" collapsed="false">
      <c r="A989" s="22"/>
      <c r="B989" s="22"/>
      <c r="C989" s="22"/>
      <c r="D989" s="22"/>
      <c r="E989" s="22"/>
      <c r="F989" s="22"/>
      <c r="G989" s="23"/>
      <c r="H989" s="24" t="str">
        <f aca="false">IF(G989="","",ROUND((Config!$C$4-G989)/365.25,2))</f>
        <v/>
      </c>
      <c r="I989" s="25" t="str">
        <f aca="false">IF(H989="","",IF(H989&lt;=1,"Tramo 1",IF(H989&lt;=3,"Tramo 2",IF(H989&lt;=5,"Tramo 3","Tramo 4"))))</f>
        <v/>
      </c>
      <c r="J989" s="22"/>
      <c r="K989" s="22"/>
      <c r="L989" s="22"/>
      <c r="M989" s="26"/>
      <c r="N989" s="22"/>
      <c r="O989" s="22"/>
      <c r="P989" s="25" t="str">
        <f aca="false">IF(OR(O989="",O989="Sin información"),"",IFERROR(INDEX(Listas!$B$2:$B$9,MATCH(O989,Listas!$A$2:$A$9,0)),""))</f>
        <v/>
      </c>
      <c r="Q989" s="25" t="str">
        <f aca="false">IF(OR(O989="",O989="Sin información"),"",IFERROR(INDEX(Listas!$C$2:$C$9,MATCH(O989,Listas!$A$2:$A$9,0)),""))</f>
        <v/>
      </c>
      <c r="R989" s="22"/>
      <c r="S989" s="22"/>
      <c r="T989" s="25" t="str">
        <f aca="false">IF(S989="","",IFERROR(INDEX(Empleadores!$B$2:$B$601,MATCH(S989,Empleadores!$A$2:$A$601,0)),"No encontrado"))</f>
        <v/>
      </c>
      <c r="U989" s="25" t="str">
        <f aca="false">IF(C989="","",IF(V989="","No",IF(Config!$C$4-V989&lt;=Config!$C$15,"Sí","No")))</f>
        <v/>
      </c>
      <c r="V989" s="23"/>
      <c r="W989" s="22"/>
      <c r="X989" s="22"/>
      <c r="Y989" s="22"/>
      <c r="Z989" s="27"/>
      <c r="AA989" s="22"/>
      <c r="AB989" s="22"/>
    </row>
    <row r="990" customFormat="false" ht="15" hidden="false" customHeight="false" outlineLevel="0" collapsed="false">
      <c r="A990" s="22"/>
      <c r="B990" s="22"/>
      <c r="C990" s="22"/>
      <c r="D990" s="22"/>
      <c r="E990" s="22"/>
      <c r="F990" s="22"/>
      <c r="G990" s="23"/>
      <c r="H990" s="24" t="str">
        <f aca="false">IF(G990="","",ROUND((Config!$C$4-G990)/365.25,2))</f>
        <v/>
      </c>
      <c r="I990" s="25" t="str">
        <f aca="false">IF(H990="","",IF(H990&lt;=1,"Tramo 1",IF(H990&lt;=3,"Tramo 2",IF(H990&lt;=5,"Tramo 3","Tramo 4"))))</f>
        <v/>
      </c>
      <c r="J990" s="22"/>
      <c r="K990" s="22"/>
      <c r="L990" s="22"/>
      <c r="M990" s="26"/>
      <c r="N990" s="22"/>
      <c r="O990" s="22"/>
      <c r="P990" s="25" t="str">
        <f aca="false">IF(OR(O990="",O990="Sin información"),"",IFERROR(INDEX(Listas!$B$2:$B$9,MATCH(O990,Listas!$A$2:$A$9,0)),""))</f>
        <v/>
      </c>
      <c r="Q990" s="25" t="str">
        <f aca="false">IF(OR(O990="",O990="Sin información"),"",IFERROR(INDEX(Listas!$C$2:$C$9,MATCH(O990,Listas!$A$2:$A$9,0)),""))</f>
        <v/>
      </c>
      <c r="R990" s="22"/>
      <c r="S990" s="22"/>
      <c r="T990" s="25" t="str">
        <f aca="false">IF(S990="","",IFERROR(INDEX(Empleadores!$B$2:$B$601,MATCH(S990,Empleadores!$A$2:$A$601,0)),"No encontrado"))</f>
        <v/>
      </c>
      <c r="U990" s="25" t="str">
        <f aca="false">IF(C990="","",IF(V990="","No",IF(Config!$C$4-V990&lt;=Config!$C$15,"Sí","No")))</f>
        <v/>
      </c>
      <c r="V990" s="23"/>
      <c r="W990" s="22"/>
      <c r="X990" s="22"/>
      <c r="Y990" s="22"/>
      <c r="Z990" s="27"/>
      <c r="AA990" s="22"/>
      <c r="AB990" s="22"/>
    </row>
    <row r="991" customFormat="false" ht="15" hidden="false" customHeight="false" outlineLevel="0" collapsed="false">
      <c r="A991" s="22"/>
      <c r="B991" s="22"/>
      <c r="C991" s="22"/>
      <c r="D991" s="22"/>
      <c r="E991" s="22"/>
      <c r="F991" s="22"/>
      <c r="G991" s="23"/>
      <c r="H991" s="24" t="str">
        <f aca="false">IF(G991="","",ROUND((Config!$C$4-G991)/365.25,2))</f>
        <v/>
      </c>
      <c r="I991" s="25" t="str">
        <f aca="false">IF(H991="","",IF(H991&lt;=1,"Tramo 1",IF(H991&lt;=3,"Tramo 2",IF(H991&lt;=5,"Tramo 3","Tramo 4"))))</f>
        <v/>
      </c>
      <c r="J991" s="22"/>
      <c r="K991" s="22"/>
      <c r="L991" s="22"/>
      <c r="M991" s="26"/>
      <c r="N991" s="22"/>
      <c r="O991" s="22"/>
      <c r="P991" s="25" t="str">
        <f aca="false">IF(OR(O991="",O991="Sin información"),"",IFERROR(INDEX(Listas!$B$2:$B$9,MATCH(O991,Listas!$A$2:$A$9,0)),""))</f>
        <v/>
      </c>
      <c r="Q991" s="25" t="str">
        <f aca="false">IF(OR(O991="",O991="Sin información"),"",IFERROR(INDEX(Listas!$C$2:$C$9,MATCH(O991,Listas!$A$2:$A$9,0)),""))</f>
        <v/>
      </c>
      <c r="R991" s="22"/>
      <c r="S991" s="22"/>
      <c r="T991" s="25" t="str">
        <f aca="false">IF(S991="","",IFERROR(INDEX(Empleadores!$B$2:$B$601,MATCH(S991,Empleadores!$A$2:$A$601,0)),"No encontrado"))</f>
        <v/>
      </c>
      <c r="U991" s="25" t="str">
        <f aca="false">IF(C991="","",IF(V991="","No",IF(Config!$C$4-V991&lt;=Config!$C$15,"Sí","No")))</f>
        <v/>
      </c>
      <c r="V991" s="23"/>
      <c r="W991" s="22"/>
      <c r="X991" s="22"/>
      <c r="Y991" s="22"/>
      <c r="Z991" s="27"/>
      <c r="AA991" s="22"/>
      <c r="AB991" s="22"/>
    </row>
    <row r="992" customFormat="false" ht="15" hidden="false" customHeight="false" outlineLevel="0" collapsed="false">
      <c r="A992" s="22"/>
      <c r="B992" s="22"/>
      <c r="C992" s="22"/>
      <c r="D992" s="22"/>
      <c r="E992" s="22"/>
      <c r="F992" s="22"/>
      <c r="G992" s="23"/>
      <c r="H992" s="24" t="str">
        <f aca="false">IF(G992="","",ROUND((Config!$C$4-G992)/365.25,2))</f>
        <v/>
      </c>
      <c r="I992" s="25" t="str">
        <f aca="false">IF(H992="","",IF(H992&lt;=1,"Tramo 1",IF(H992&lt;=3,"Tramo 2",IF(H992&lt;=5,"Tramo 3","Tramo 4"))))</f>
        <v/>
      </c>
      <c r="J992" s="22"/>
      <c r="K992" s="22"/>
      <c r="L992" s="22"/>
      <c r="M992" s="26"/>
      <c r="N992" s="22"/>
      <c r="O992" s="22"/>
      <c r="P992" s="25" t="str">
        <f aca="false">IF(OR(O992="",O992="Sin información"),"",IFERROR(INDEX(Listas!$B$2:$B$9,MATCH(O992,Listas!$A$2:$A$9,0)),""))</f>
        <v/>
      </c>
      <c r="Q992" s="25" t="str">
        <f aca="false">IF(OR(O992="",O992="Sin información"),"",IFERROR(INDEX(Listas!$C$2:$C$9,MATCH(O992,Listas!$A$2:$A$9,0)),""))</f>
        <v/>
      </c>
      <c r="R992" s="22"/>
      <c r="S992" s="22"/>
      <c r="T992" s="25" t="str">
        <f aca="false">IF(S992="","",IFERROR(INDEX(Empleadores!$B$2:$B$601,MATCH(S992,Empleadores!$A$2:$A$601,0)),"No encontrado"))</f>
        <v/>
      </c>
      <c r="U992" s="25" t="str">
        <f aca="false">IF(C992="","",IF(V992="","No",IF(Config!$C$4-V992&lt;=Config!$C$15,"Sí","No")))</f>
        <v/>
      </c>
      <c r="V992" s="23"/>
      <c r="W992" s="22"/>
      <c r="X992" s="22"/>
      <c r="Y992" s="22"/>
      <c r="Z992" s="27"/>
      <c r="AA992" s="22"/>
      <c r="AB992" s="22"/>
    </row>
    <row r="993" customFormat="false" ht="15" hidden="false" customHeight="false" outlineLevel="0" collapsed="false">
      <c r="A993" s="22"/>
      <c r="B993" s="22"/>
      <c r="C993" s="22"/>
      <c r="D993" s="22"/>
      <c r="E993" s="22"/>
      <c r="F993" s="22"/>
      <c r="G993" s="23"/>
      <c r="H993" s="24" t="str">
        <f aca="false">IF(G993="","",ROUND((Config!$C$4-G993)/365.25,2))</f>
        <v/>
      </c>
      <c r="I993" s="25" t="str">
        <f aca="false">IF(H993="","",IF(H993&lt;=1,"Tramo 1",IF(H993&lt;=3,"Tramo 2",IF(H993&lt;=5,"Tramo 3","Tramo 4"))))</f>
        <v/>
      </c>
      <c r="J993" s="22"/>
      <c r="K993" s="22"/>
      <c r="L993" s="22"/>
      <c r="M993" s="26"/>
      <c r="N993" s="22"/>
      <c r="O993" s="22"/>
      <c r="P993" s="25" t="str">
        <f aca="false">IF(OR(O993="",O993="Sin información"),"",IFERROR(INDEX(Listas!$B$2:$B$9,MATCH(O993,Listas!$A$2:$A$9,0)),""))</f>
        <v/>
      </c>
      <c r="Q993" s="25" t="str">
        <f aca="false">IF(OR(O993="",O993="Sin información"),"",IFERROR(INDEX(Listas!$C$2:$C$9,MATCH(O993,Listas!$A$2:$A$9,0)),""))</f>
        <v/>
      </c>
      <c r="R993" s="22"/>
      <c r="S993" s="22"/>
      <c r="T993" s="25" t="str">
        <f aca="false">IF(S993="","",IFERROR(INDEX(Empleadores!$B$2:$B$601,MATCH(S993,Empleadores!$A$2:$A$601,0)),"No encontrado"))</f>
        <v/>
      </c>
      <c r="U993" s="25" t="str">
        <f aca="false">IF(C993="","",IF(V993="","No",IF(Config!$C$4-V993&lt;=Config!$C$15,"Sí","No")))</f>
        <v/>
      </c>
      <c r="V993" s="23"/>
      <c r="W993" s="22"/>
      <c r="X993" s="22"/>
      <c r="Y993" s="22"/>
      <c r="Z993" s="27"/>
      <c r="AA993" s="22"/>
      <c r="AB993" s="22"/>
    </row>
    <row r="994" customFormat="false" ht="15" hidden="false" customHeight="false" outlineLevel="0" collapsed="false">
      <c r="A994" s="22"/>
      <c r="B994" s="22"/>
      <c r="C994" s="22"/>
      <c r="D994" s="22"/>
      <c r="E994" s="22"/>
      <c r="F994" s="22"/>
      <c r="G994" s="23"/>
      <c r="H994" s="24" t="str">
        <f aca="false">IF(G994="","",ROUND((Config!$C$4-G994)/365.25,2))</f>
        <v/>
      </c>
      <c r="I994" s="25" t="str">
        <f aca="false">IF(H994="","",IF(H994&lt;=1,"Tramo 1",IF(H994&lt;=3,"Tramo 2",IF(H994&lt;=5,"Tramo 3","Tramo 4"))))</f>
        <v/>
      </c>
      <c r="J994" s="22"/>
      <c r="K994" s="22"/>
      <c r="L994" s="22"/>
      <c r="M994" s="26"/>
      <c r="N994" s="22"/>
      <c r="O994" s="22"/>
      <c r="P994" s="25" t="str">
        <f aca="false">IF(OR(O994="",O994="Sin información"),"",IFERROR(INDEX(Listas!$B$2:$B$9,MATCH(O994,Listas!$A$2:$A$9,0)),""))</f>
        <v/>
      </c>
      <c r="Q994" s="25" t="str">
        <f aca="false">IF(OR(O994="",O994="Sin información"),"",IFERROR(INDEX(Listas!$C$2:$C$9,MATCH(O994,Listas!$A$2:$A$9,0)),""))</f>
        <v/>
      </c>
      <c r="R994" s="22"/>
      <c r="S994" s="22"/>
      <c r="T994" s="25" t="str">
        <f aca="false">IF(S994="","",IFERROR(INDEX(Empleadores!$B$2:$B$601,MATCH(S994,Empleadores!$A$2:$A$601,0)),"No encontrado"))</f>
        <v/>
      </c>
      <c r="U994" s="25" t="str">
        <f aca="false">IF(C994="","",IF(V994="","No",IF(Config!$C$4-V994&lt;=Config!$C$15,"Sí","No")))</f>
        <v/>
      </c>
      <c r="V994" s="23"/>
      <c r="W994" s="22"/>
      <c r="X994" s="22"/>
      <c r="Y994" s="22"/>
      <c r="Z994" s="27"/>
      <c r="AA994" s="22"/>
      <c r="AB994" s="22"/>
    </row>
    <row r="995" customFormat="false" ht="15" hidden="false" customHeight="false" outlineLevel="0" collapsed="false">
      <c r="A995" s="22"/>
      <c r="B995" s="22"/>
      <c r="C995" s="22"/>
      <c r="D995" s="22"/>
      <c r="E995" s="22"/>
      <c r="F995" s="22"/>
      <c r="G995" s="23"/>
      <c r="H995" s="24" t="str">
        <f aca="false">IF(G995="","",ROUND((Config!$C$4-G995)/365.25,2))</f>
        <v/>
      </c>
      <c r="I995" s="25" t="str">
        <f aca="false">IF(H995="","",IF(H995&lt;=1,"Tramo 1",IF(H995&lt;=3,"Tramo 2",IF(H995&lt;=5,"Tramo 3","Tramo 4"))))</f>
        <v/>
      </c>
      <c r="J995" s="22"/>
      <c r="K995" s="22"/>
      <c r="L995" s="22"/>
      <c r="M995" s="26"/>
      <c r="N995" s="22"/>
      <c r="O995" s="22"/>
      <c r="P995" s="25" t="str">
        <f aca="false">IF(OR(O995="",O995="Sin información"),"",IFERROR(INDEX(Listas!$B$2:$B$9,MATCH(O995,Listas!$A$2:$A$9,0)),""))</f>
        <v/>
      </c>
      <c r="Q995" s="25" t="str">
        <f aca="false">IF(OR(O995="",O995="Sin información"),"",IFERROR(INDEX(Listas!$C$2:$C$9,MATCH(O995,Listas!$A$2:$A$9,0)),""))</f>
        <v/>
      </c>
      <c r="R995" s="22"/>
      <c r="S995" s="22"/>
      <c r="T995" s="25" t="str">
        <f aca="false">IF(S995="","",IFERROR(INDEX(Empleadores!$B$2:$B$601,MATCH(S995,Empleadores!$A$2:$A$601,0)),"No encontrado"))</f>
        <v/>
      </c>
      <c r="U995" s="25" t="str">
        <f aca="false">IF(C995="","",IF(V995="","No",IF(Config!$C$4-V995&lt;=Config!$C$15,"Sí","No")))</f>
        <v/>
      </c>
      <c r="V995" s="23"/>
      <c r="W995" s="22"/>
      <c r="X995" s="22"/>
      <c r="Y995" s="22"/>
      <c r="Z995" s="27"/>
      <c r="AA995" s="22"/>
      <c r="AB995" s="22"/>
    </row>
    <row r="996" customFormat="false" ht="15" hidden="false" customHeight="false" outlineLevel="0" collapsed="false">
      <c r="A996" s="22"/>
      <c r="B996" s="22"/>
      <c r="C996" s="22"/>
      <c r="D996" s="22"/>
      <c r="E996" s="22"/>
      <c r="F996" s="22"/>
      <c r="G996" s="23"/>
      <c r="H996" s="24" t="str">
        <f aca="false">IF(G996="","",ROUND((Config!$C$4-G996)/365.25,2))</f>
        <v/>
      </c>
      <c r="I996" s="25" t="str">
        <f aca="false">IF(H996="","",IF(H996&lt;=1,"Tramo 1",IF(H996&lt;=3,"Tramo 2",IF(H996&lt;=5,"Tramo 3","Tramo 4"))))</f>
        <v/>
      </c>
      <c r="J996" s="22"/>
      <c r="K996" s="22"/>
      <c r="L996" s="22"/>
      <c r="M996" s="26"/>
      <c r="N996" s="22"/>
      <c r="O996" s="22"/>
      <c r="P996" s="25" t="str">
        <f aca="false">IF(OR(O996="",O996="Sin información"),"",IFERROR(INDEX(Listas!$B$2:$B$9,MATCH(O996,Listas!$A$2:$A$9,0)),""))</f>
        <v/>
      </c>
      <c r="Q996" s="25" t="str">
        <f aca="false">IF(OR(O996="",O996="Sin información"),"",IFERROR(INDEX(Listas!$C$2:$C$9,MATCH(O996,Listas!$A$2:$A$9,0)),""))</f>
        <v/>
      </c>
      <c r="R996" s="22"/>
      <c r="S996" s="22"/>
      <c r="T996" s="25" t="str">
        <f aca="false">IF(S996="","",IFERROR(INDEX(Empleadores!$B$2:$B$601,MATCH(S996,Empleadores!$A$2:$A$601,0)),"No encontrado"))</f>
        <v/>
      </c>
      <c r="U996" s="25" t="str">
        <f aca="false">IF(C996="","",IF(V996="","No",IF(Config!$C$4-V996&lt;=Config!$C$15,"Sí","No")))</f>
        <v/>
      </c>
      <c r="V996" s="23"/>
      <c r="W996" s="22"/>
      <c r="X996" s="22"/>
      <c r="Y996" s="22"/>
      <c r="Z996" s="27"/>
      <c r="AA996" s="22"/>
      <c r="AB996" s="22"/>
    </row>
    <row r="997" customFormat="false" ht="15" hidden="false" customHeight="false" outlineLevel="0" collapsed="false">
      <c r="A997" s="22"/>
      <c r="B997" s="22"/>
      <c r="C997" s="22"/>
      <c r="D997" s="22"/>
      <c r="E997" s="22"/>
      <c r="F997" s="22"/>
      <c r="G997" s="23"/>
      <c r="H997" s="24" t="str">
        <f aca="false">IF(G997="","",ROUND((Config!$C$4-G997)/365.25,2))</f>
        <v/>
      </c>
      <c r="I997" s="25" t="str">
        <f aca="false">IF(H997="","",IF(H997&lt;=1,"Tramo 1",IF(H997&lt;=3,"Tramo 2",IF(H997&lt;=5,"Tramo 3","Tramo 4"))))</f>
        <v/>
      </c>
      <c r="J997" s="22"/>
      <c r="K997" s="22"/>
      <c r="L997" s="22"/>
      <c r="M997" s="26"/>
      <c r="N997" s="22"/>
      <c r="O997" s="22"/>
      <c r="P997" s="25" t="str">
        <f aca="false">IF(OR(O997="",O997="Sin información"),"",IFERROR(INDEX(Listas!$B$2:$B$9,MATCH(O997,Listas!$A$2:$A$9,0)),""))</f>
        <v/>
      </c>
      <c r="Q997" s="25" t="str">
        <f aca="false">IF(OR(O997="",O997="Sin información"),"",IFERROR(INDEX(Listas!$C$2:$C$9,MATCH(O997,Listas!$A$2:$A$9,0)),""))</f>
        <v/>
      </c>
      <c r="R997" s="22"/>
      <c r="S997" s="22"/>
      <c r="T997" s="25" t="str">
        <f aca="false">IF(S997="","",IFERROR(INDEX(Empleadores!$B$2:$B$601,MATCH(S997,Empleadores!$A$2:$A$601,0)),"No encontrado"))</f>
        <v/>
      </c>
      <c r="U997" s="25" t="str">
        <f aca="false">IF(C997="","",IF(V997="","No",IF(Config!$C$4-V997&lt;=Config!$C$15,"Sí","No")))</f>
        <v/>
      </c>
      <c r="V997" s="23"/>
      <c r="W997" s="22"/>
      <c r="X997" s="22"/>
      <c r="Y997" s="22"/>
      <c r="Z997" s="27"/>
      <c r="AA997" s="22"/>
      <c r="AB997" s="22"/>
    </row>
    <row r="998" customFormat="false" ht="15" hidden="false" customHeight="false" outlineLevel="0" collapsed="false">
      <c r="A998" s="22"/>
      <c r="B998" s="22"/>
      <c r="C998" s="22"/>
      <c r="D998" s="22"/>
      <c r="E998" s="22"/>
      <c r="F998" s="22"/>
      <c r="G998" s="23"/>
      <c r="H998" s="24" t="str">
        <f aca="false">IF(G998="","",ROUND((Config!$C$4-G998)/365.25,2))</f>
        <v/>
      </c>
      <c r="I998" s="25" t="str">
        <f aca="false">IF(H998="","",IF(H998&lt;=1,"Tramo 1",IF(H998&lt;=3,"Tramo 2",IF(H998&lt;=5,"Tramo 3","Tramo 4"))))</f>
        <v/>
      </c>
      <c r="J998" s="22"/>
      <c r="K998" s="22"/>
      <c r="L998" s="22"/>
      <c r="M998" s="26"/>
      <c r="N998" s="22"/>
      <c r="O998" s="22"/>
      <c r="P998" s="25" t="str">
        <f aca="false">IF(OR(O998="",O998="Sin información"),"",IFERROR(INDEX(Listas!$B$2:$B$9,MATCH(O998,Listas!$A$2:$A$9,0)),""))</f>
        <v/>
      </c>
      <c r="Q998" s="25" t="str">
        <f aca="false">IF(OR(O998="",O998="Sin información"),"",IFERROR(INDEX(Listas!$C$2:$C$9,MATCH(O998,Listas!$A$2:$A$9,0)),""))</f>
        <v/>
      </c>
      <c r="R998" s="22"/>
      <c r="S998" s="22"/>
      <c r="T998" s="25" t="str">
        <f aca="false">IF(S998="","",IFERROR(INDEX(Empleadores!$B$2:$B$601,MATCH(S998,Empleadores!$A$2:$A$601,0)),"No encontrado"))</f>
        <v/>
      </c>
      <c r="U998" s="25" t="str">
        <f aca="false">IF(C998="","",IF(V998="","No",IF(Config!$C$4-V998&lt;=Config!$C$15,"Sí","No")))</f>
        <v/>
      </c>
      <c r="V998" s="23"/>
      <c r="W998" s="22"/>
      <c r="X998" s="22"/>
      <c r="Y998" s="22"/>
      <c r="Z998" s="27"/>
      <c r="AA998" s="22"/>
      <c r="AB998" s="22"/>
    </row>
    <row r="999" customFormat="false" ht="15" hidden="false" customHeight="false" outlineLevel="0" collapsed="false">
      <c r="A999" s="22"/>
      <c r="B999" s="22"/>
      <c r="C999" s="22"/>
      <c r="D999" s="22"/>
      <c r="E999" s="22"/>
      <c r="F999" s="22"/>
      <c r="G999" s="23"/>
      <c r="H999" s="24" t="str">
        <f aca="false">IF(G999="","",ROUND((Config!$C$4-G999)/365.25,2))</f>
        <v/>
      </c>
      <c r="I999" s="25" t="str">
        <f aca="false">IF(H999="","",IF(H999&lt;=1,"Tramo 1",IF(H999&lt;=3,"Tramo 2",IF(H999&lt;=5,"Tramo 3","Tramo 4"))))</f>
        <v/>
      </c>
      <c r="J999" s="22"/>
      <c r="K999" s="22"/>
      <c r="L999" s="22"/>
      <c r="M999" s="26"/>
      <c r="N999" s="22"/>
      <c r="O999" s="22"/>
      <c r="P999" s="25" t="str">
        <f aca="false">IF(OR(O999="",O999="Sin información"),"",IFERROR(INDEX(Listas!$B$2:$B$9,MATCH(O999,Listas!$A$2:$A$9,0)),""))</f>
        <v/>
      </c>
      <c r="Q999" s="25" t="str">
        <f aca="false">IF(OR(O999="",O999="Sin información"),"",IFERROR(INDEX(Listas!$C$2:$C$9,MATCH(O999,Listas!$A$2:$A$9,0)),""))</f>
        <v/>
      </c>
      <c r="R999" s="22"/>
      <c r="S999" s="22"/>
      <c r="T999" s="25" t="str">
        <f aca="false">IF(S999="","",IFERROR(INDEX(Empleadores!$B$2:$B$601,MATCH(S999,Empleadores!$A$2:$A$601,0)),"No encontrado"))</f>
        <v/>
      </c>
      <c r="U999" s="25" t="str">
        <f aca="false">IF(C999="","",IF(V999="","No",IF(Config!$C$4-V999&lt;=Config!$C$15,"Sí","No")))</f>
        <v/>
      </c>
      <c r="V999" s="23"/>
      <c r="W999" s="22"/>
      <c r="X999" s="22"/>
      <c r="Y999" s="22"/>
      <c r="Z999" s="27"/>
      <c r="AA999" s="22"/>
      <c r="AB999" s="22"/>
    </row>
    <row r="1000" customFormat="false" ht="15" hidden="false" customHeight="false" outlineLevel="0" collapsed="false">
      <c r="A1000" s="22"/>
      <c r="B1000" s="22"/>
      <c r="C1000" s="22"/>
      <c r="D1000" s="22"/>
      <c r="E1000" s="22"/>
      <c r="F1000" s="22"/>
      <c r="G1000" s="23"/>
      <c r="H1000" s="24" t="str">
        <f aca="false">IF(G1000="","",ROUND((Config!$C$4-G1000)/365.25,2))</f>
        <v/>
      </c>
      <c r="I1000" s="25" t="str">
        <f aca="false">IF(H1000="","",IF(H1000&lt;=1,"Tramo 1",IF(H1000&lt;=3,"Tramo 2",IF(H1000&lt;=5,"Tramo 3","Tramo 4"))))</f>
        <v/>
      </c>
      <c r="J1000" s="22"/>
      <c r="K1000" s="22"/>
      <c r="L1000" s="22"/>
      <c r="M1000" s="26"/>
      <c r="N1000" s="22"/>
      <c r="O1000" s="22"/>
      <c r="P1000" s="25" t="str">
        <f aca="false">IF(OR(O1000="",O1000="Sin información"),"",IFERROR(INDEX(Listas!$B$2:$B$9,MATCH(O1000,Listas!$A$2:$A$9,0)),""))</f>
        <v/>
      </c>
      <c r="Q1000" s="25" t="str">
        <f aca="false">IF(OR(O1000="",O1000="Sin información"),"",IFERROR(INDEX(Listas!$C$2:$C$9,MATCH(O1000,Listas!$A$2:$A$9,0)),""))</f>
        <v/>
      </c>
      <c r="R1000" s="22"/>
      <c r="S1000" s="22"/>
      <c r="T1000" s="25" t="str">
        <f aca="false">IF(S1000="","",IFERROR(INDEX(Empleadores!$B$2:$B$601,MATCH(S1000,Empleadores!$A$2:$A$601,0)),"No encontrado"))</f>
        <v/>
      </c>
      <c r="U1000" s="25" t="str">
        <f aca="false">IF(C1000="","",IF(V1000="","No",IF(Config!$C$4-V1000&lt;=Config!$C$15,"Sí","No")))</f>
        <v/>
      </c>
      <c r="V1000" s="23"/>
      <c r="W1000" s="22"/>
      <c r="X1000" s="22"/>
      <c r="Y1000" s="22"/>
      <c r="Z1000" s="27"/>
      <c r="AA1000" s="22"/>
      <c r="AB1000" s="22"/>
    </row>
    <row r="1001" customFormat="false" ht="15" hidden="false" customHeight="false" outlineLevel="0" collapsed="false">
      <c r="A1001" s="22"/>
      <c r="B1001" s="22"/>
      <c r="C1001" s="22"/>
      <c r="D1001" s="22"/>
      <c r="E1001" s="22"/>
      <c r="F1001" s="22"/>
      <c r="G1001" s="23"/>
      <c r="H1001" s="24" t="str">
        <f aca="false">IF(G1001="","",ROUND((Config!$C$4-G1001)/365.25,2))</f>
        <v/>
      </c>
      <c r="I1001" s="25" t="str">
        <f aca="false">IF(H1001="","",IF(H1001&lt;=1,"Tramo 1",IF(H1001&lt;=3,"Tramo 2",IF(H1001&lt;=5,"Tramo 3","Tramo 4"))))</f>
        <v/>
      </c>
      <c r="J1001" s="22"/>
      <c r="K1001" s="22"/>
      <c r="L1001" s="22"/>
      <c r="M1001" s="26"/>
      <c r="N1001" s="22"/>
      <c r="O1001" s="22"/>
      <c r="P1001" s="25" t="str">
        <f aca="false">IF(OR(O1001="",O1001="Sin información"),"",IFERROR(INDEX(Listas!$B$2:$B$9,MATCH(O1001,Listas!$A$2:$A$9,0)),""))</f>
        <v/>
      </c>
      <c r="Q1001" s="25" t="str">
        <f aca="false">IF(OR(O1001="",O1001="Sin información"),"",IFERROR(INDEX(Listas!$C$2:$C$9,MATCH(O1001,Listas!$A$2:$A$9,0)),""))</f>
        <v/>
      </c>
      <c r="R1001" s="22"/>
      <c r="S1001" s="22"/>
      <c r="T1001" s="25" t="str">
        <f aca="false">IF(S1001="","",IFERROR(INDEX(Empleadores!$B$2:$B$601,MATCH(S1001,Empleadores!$A$2:$A$601,0)),"No encontrado"))</f>
        <v/>
      </c>
      <c r="U1001" s="25" t="str">
        <f aca="false">IF(C1001="","",IF(V1001="","No",IF(Config!$C$4-V1001&lt;=Config!$C$15,"Sí","No")))</f>
        <v/>
      </c>
      <c r="V1001" s="23"/>
      <c r="W1001" s="22"/>
      <c r="X1001" s="22"/>
      <c r="Y1001" s="22"/>
      <c r="Z1001" s="27"/>
      <c r="AA1001" s="22"/>
      <c r="AB1001" s="22"/>
    </row>
    <row r="1002" customFormat="false" ht="15" hidden="false" customHeight="false" outlineLevel="0" collapsed="false">
      <c r="A1002" s="22"/>
      <c r="B1002" s="22"/>
      <c r="C1002" s="22"/>
      <c r="D1002" s="22"/>
      <c r="E1002" s="22"/>
      <c r="F1002" s="22"/>
      <c r="G1002" s="23"/>
      <c r="H1002" s="24" t="str">
        <f aca="false">IF(G1002="","",ROUND((Config!$C$4-G1002)/365.25,2))</f>
        <v/>
      </c>
      <c r="I1002" s="25" t="str">
        <f aca="false">IF(H1002="","",IF(H1002&lt;=1,"Tramo 1",IF(H1002&lt;=3,"Tramo 2",IF(H1002&lt;=5,"Tramo 3","Tramo 4"))))</f>
        <v/>
      </c>
      <c r="J1002" s="22"/>
      <c r="K1002" s="22"/>
      <c r="L1002" s="22"/>
      <c r="M1002" s="26"/>
      <c r="N1002" s="22"/>
      <c r="O1002" s="22"/>
      <c r="P1002" s="25" t="str">
        <f aca="false">IF(OR(O1002="",O1002="Sin información"),"",IFERROR(INDEX(Listas!$B$2:$B$9,MATCH(O1002,Listas!$A$2:$A$9,0)),""))</f>
        <v/>
      </c>
      <c r="Q1002" s="25" t="str">
        <f aca="false">IF(OR(O1002="",O1002="Sin información"),"",IFERROR(INDEX(Listas!$C$2:$C$9,MATCH(O1002,Listas!$A$2:$A$9,0)),""))</f>
        <v/>
      </c>
      <c r="R1002" s="22"/>
      <c r="S1002" s="22"/>
      <c r="T1002" s="25" t="str">
        <f aca="false">IF(S1002="","",IFERROR(INDEX(Empleadores!$B$2:$B$601,MATCH(S1002,Empleadores!$A$2:$A$601,0)),"No encontrado"))</f>
        <v/>
      </c>
      <c r="U1002" s="25" t="str">
        <f aca="false">IF(C1002="","",IF(V1002="","No",IF(Config!$C$4-V1002&lt;=Config!$C$15,"Sí","No")))</f>
        <v/>
      </c>
      <c r="V1002" s="23"/>
      <c r="W1002" s="22"/>
      <c r="X1002" s="22"/>
      <c r="Y1002" s="22"/>
      <c r="Z1002" s="27"/>
      <c r="AA1002" s="22"/>
      <c r="AB1002" s="22"/>
    </row>
    <row r="1003" customFormat="false" ht="15" hidden="false" customHeight="false" outlineLevel="0" collapsed="false">
      <c r="A1003" s="22"/>
      <c r="B1003" s="22"/>
      <c r="C1003" s="22"/>
      <c r="D1003" s="22"/>
      <c r="E1003" s="22"/>
      <c r="F1003" s="22"/>
      <c r="G1003" s="23"/>
      <c r="H1003" s="24" t="str">
        <f aca="false">IF(G1003="","",ROUND((Config!$C$4-G1003)/365.25,2))</f>
        <v/>
      </c>
      <c r="I1003" s="25" t="str">
        <f aca="false">IF(H1003="","",IF(H1003&lt;=1,"Tramo 1",IF(H1003&lt;=3,"Tramo 2",IF(H1003&lt;=5,"Tramo 3","Tramo 4"))))</f>
        <v/>
      </c>
      <c r="J1003" s="22"/>
      <c r="K1003" s="22"/>
      <c r="L1003" s="22"/>
      <c r="M1003" s="26"/>
      <c r="N1003" s="22"/>
      <c r="O1003" s="22"/>
      <c r="P1003" s="25" t="str">
        <f aca="false">IF(OR(O1003="",O1003="Sin información"),"",IFERROR(INDEX(Listas!$B$2:$B$9,MATCH(O1003,Listas!$A$2:$A$9,0)),""))</f>
        <v/>
      </c>
      <c r="Q1003" s="25" t="str">
        <f aca="false">IF(OR(O1003="",O1003="Sin información"),"",IFERROR(INDEX(Listas!$C$2:$C$9,MATCH(O1003,Listas!$A$2:$A$9,0)),""))</f>
        <v/>
      </c>
      <c r="R1003" s="22"/>
      <c r="S1003" s="22"/>
      <c r="T1003" s="25" t="str">
        <f aca="false">IF(S1003="","",IFERROR(INDEX(Empleadores!$B$2:$B$601,MATCH(S1003,Empleadores!$A$2:$A$601,0)),"No encontrado"))</f>
        <v/>
      </c>
      <c r="U1003" s="25" t="str">
        <f aca="false">IF(C1003="","",IF(V1003="","No",IF(Config!$C$4-V1003&lt;=Config!$C$15,"Sí","No")))</f>
        <v/>
      </c>
      <c r="V1003" s="23"/>
      <c r="W1003" s="22"/>
      <c r="X1003" s="22"/>
      <c r="Y1003" s="22"/>
      <c r="Z1003" s="27"/>
      <c r="AA1003" s="22"/>
      <c r="AB1003" s="22"/>
    </row>
    <row r="1004" customFormat="false" ht="15" hidden="false" customHeight="false" outlineLevel="0" collapsed="false">
      <c r="A1004" s="22"/>
      <c r="B1004" s="22"/>
      <c r="C1004" s="22"/>
      <c r="D1004" s="22"/>
      <c r="E1004" s="22"/>
      <c r="F1004" s="22"/>
      <c r="G1004" s="23"/>
      <c r="H1004" s="24" t="str">
        <f aca="false">IF(G1004="","",ROUND((Config!$C$4-G1004)/365.25,2))</f>
        <v/>
      </c>
      <c r="I1004" s="25" t="str">
        <f aca="false">IF(H1004="","",IF(H1004&lt;=1,"Tramo 1",IF(H1004&lt;=3,"Tramo 2",IF(H1004&lt;=5,"Tramo 3","Tramo 4"))))</f>
        <v/>
      </c>
      <c r="J1004" s="22"/>
      <c r="K1004" s="22"/>
      <c r="L1004" s="22"/>
      <c r="M1004" s="26"/>
      <c r="N1004" s="22"/>
      <c r="O1004" s="22"/>
      <c r="P1004" s="25" t="str">
        <f aca="false">IF(OR(O1004="",O1004="Sin información"),"",IFERROR(INDEX(Listas!$B$2:$B$9,MATCH(O1004,Listas!$A$2:$A$9,0)),""))</f>
        <v/>
      </c>
      <c r="Q1004" s="25" t="str">
        <f aca="false">IF(OR(O1004="",O1004="Sin información"),"",IFERROR(INDEX(Listas!$C$2:$C$9,MATCH(O1004,Listas!$A$2:$A$9,0)),""))</f>
        <v/>
      </c>
      <c r="R1004" s="22"/>
      <c r="S1004" s="22"/>
      <c r="T1004" s="25" t="str">
        <f aca="false">IF(S1004="","",IFERROR(INDEX(Empleadores!$B$2:$B$601,MATCH(S1004,Empleadores!$A$2:$A$601,0)),"No encontrado"))</f>
        <v/>
      </c>
      <c r="U1004" s="25" t="str">
        <f aca="false">IF(C1004="","",IF(V1004="","No",IF(Config!$C$4-V1004&lt;=Config!$C$15,"Sí","No")))</f>
        <v/>
      </c>
      <c r="V1004" s="23"/>
      <c r="W1004" s="22"/>
      <c r="X1004" s="22"/>
      <c r="Y1004" s="22"/>
      <c r="Z1004" s="27"/>
      <c r="AA1004" s="22"/>
      <c r="AB1004" s="22"/>
    </row>
    <row r="1005" customFormat="false" ht="15" hidden="false" customHeight="false" outlineLevel="0" collapsed="false">
      <c r="A1005" s="22"/>
      <c r="B1005" s="22"/>
      <c r="C1005" s="22"/>
      <c r="D1005" s="22"/>
      <c r="E1005" s="22"/>
      <c r="F1005" s="22"/>
      <c r="G1005" s="23"/>
      <c r="H1005" s="24" t="str">
        <f aca="false">IF(G1005="","",ROUND((Config!$C$4-G1005)/365.25,2))</f>
        <v/>
      </c>
      <c r="I1005" s="25" t="str">
        <f aca="false">IF(H1005="","",IF(H1005&lt;=1,"Tramo 1",IF(H1005&lt;=3,"Tramo 2",IF(H1005&lt;=5,"Tramo 3","Tramo 4"))))</f>
        <v/>
      </c>
      <c r="J1005" s="22"/>
      <c r="K1005" s="22"/>
      <c r="L1005" s="22"/>
      <c r="M1005" s="26"/>
      <c r="N1005" s="22"/>
      <c r="O1005" s="22"/>
      <c r="P1005" s="25" t="str">
        <f aca="false">IF(OR(O1005="",O1005="Sin información"),"",IFERROR(INDEX(Listas!$B$2:$B$9,MATCH(O1005,Listas!$A$2:$A$9,0)),""))</f>
        <v/>
      </c>
      <c r="Q1005" s="25" t="str">
        <f aca="false">IF(OR(O1005="",O1005="Sin información"),"",IFERROR(INDEX(Listas!$C$2:$C$9,MATCH(O1005,Listas!$A$2:$A$9,0)),""))</f>
        <v/>
      </c>
      <c r="R1005" s="22"/>
      <c r="S1005" s="22"/>
      <c r="T1005" s="25" t="str">
        <f aca="false">IF(S1005="","",IFERROR(INDEX(Empleadores!$B$2:$B$601,MATCH(S1005,Empleadores!$A$2:$A$601,0)),"No encontrado"))</f>
        <v/>
      </c>
      <c r="U1005" s="25" t="str">
        <f aca="false">IF(C1005="","",IF(V1005="","No",IF(Config!$C$4-V1005&lt;=Config!$C$15,"Sí","No")))</f>
        <v/>
      </c>
      <c r="V1005" s="23"/>
      <c r="W1005" s="22"/>
      <c r="X1005" s="22"/>
      <c r="Y1005" s="22"/>
      <c r="Z1005" s="27"/>
      <c r="AA1005" s="22"/>
      <c r="AB1005" s="22"/>
    </row>
    <row r="1006" customFormat="false" ht="15" hidden="false" customHeight="false" outlineLevel="0" collapsed="false">
      <c r="A1006" s="22"/>
      <c r="B1006" s="22"/>
      <c r="C1006" s="22"/>
      <c r="D1006" s="22"/>
      <c r="E1006" s="22"/>
      <c r="F1006" s="22"/>
      <c r="G1006" s="23"/>
      <c r="H1006" s="24" t="str">
        <f aca="false">IF(G1006="","",ROUND((Config!$C$4-G1006)/365.25,2))</f>
        <v/>
      </c>
      <c r="I1006" s="25" t="str">
        <f aca="false">IF(H1006="","",IF(H1006&lt;=1,"Tramo 1",IF(H1006&lt;=3,"Tramo 2",IF(H1006&lt;=5,"Tramo 3","Tramo 4"))))</f>
        <v/>
      </c>
      <c r="J1006" s="22"/>
      <c r="K1006" s="22"/>
      <c r="L1006" s="22"/>
      <c r="M1006" s="26"/>
      <c r="N1006" s="22"/>
      <c r="O1006" s="22"/>
      <c r="P1006" s="25" t="str">
        <f aca="false">IF(OR(O1006="",O1006="Sin información"),"",IFERROR(INDEX(Listas!$B$2:$B$9,MATCH(O1006,Listas!$A$2:$A$9,0)),""))</f>
        <v/>
      </c>
      <c r="Q1006" s="25" t="str">
        <f aca="false">IF(OR(O1006="",O1006="Sin información"),"",IFERROR(INDEX(Listas!$C$2:$C$9,MATCH(O1006,Listas!$A$2:$A$9,0)),""))</f>
        <v/>
      </c>
      <c r="R1006" s="22"/>
      <c r="S1006" s="22"/>
      <c r="T1006" s="25" t="str">
        <f aca="false">IF(S1006="","",IFERROR(INDEX(Empleadores!$B$2:$B$601,MATCH(S1006,Empleadores!$A$2:$A$601,0)),"No encontrado"))</f>
        <v/>
      </c>
      <c r="U1006" s="25" t="str">
        <f aca="false">IF(C1006="","",IF(V1006="","No",IF(Config!$C$4-V1006&lt;=Config!$C$15,"Sí","No")))</f>
        <v/>
      </c>
      <c r="V1006" s="23"/>
      <c r="W1006" s="22"/>
      <c r="X1006" s="22"/>
      <c r="Y1006" s="22"/>
      <c r="Z1006" s="27"/>
      <c r="AA1006" s="22"/>
      <c r="AB1006" s="22"/>
    </row>
    <row r="1007" customFormat="false" ht="15" hidden="false" customHeight="false" outlineLevel="0" collapsed="false">
      <c r="A1007" s="22"/>
      <c r="B1007" s="22"/>
      <c r="C1007" s="22"/>
      <c r="D1007" s="22"/>
      <c r="E1007" s="22"/>
      <c r="F1007" s="22"/>
      <c r="G1007" s="23"/>
      <c r="H1007" s="24" t="str">
        <f aca="false">IF(G1007="","",ROUND((Config!$C$4-G1007)/365.25,2))</f>
        <v/>
      </c>
      <c r="I1007" s="25" t="str">
        <f aca="false">IF(H1007="","",IF(H1007&lt;=1,"Tramo 1",IF(H1007&lt;=3,"Tramo 2",IF(H1007&lt;=5,"Tramo 3","Tramo 4"))))</f>
        <v/>
      </c>
      <c r="J1007" s="22"/>
      <c r="K1007" s="22"/>
      <c r="L1007" s="22"/>
      <c r="M1007" s="26"/>
      <c r="N1007" s="22"/>
      <c r="O1007" s="22"/>
      <c r="P1007" s="25" t="str">
        <f aca="false">IF(OR(O1007="",O1007="Sin información"),"",IFERROR(INDEX(Listas!$B$2:$B$9,MATCH(O1007,Listas!$A$2:$A$9,0)),""))</f>
        <v/>
      </c>
      <c r="Q1007" s="25" t="str">
        <f aca="false">IF(OR(O1007="",O1007="Sin información"),"",IFERROR(INDEX(Listas!$C$2:$C$9,MATCH(O1007,Listas!$A$2:$A$9,0)),""))</f>
        <v/>
      </c>
      <c r="R1007" s="22"/>
      <c r="S1007" s="22"/>
      <c r="T1007" s="25" t="str">
        <f aca="false">IF(S1007="","",IFERROR(INDEX(Empleadores!$B$2:$B$601,MATCH(S1007,Empleadores!$A$2:$A$601,0)),"No encontrado"))</f>
        <v/>
      </c>
      <c r="U1007" s="25" t="str">
        <f aca="false">IF(C1007="","",IF(V1007="","No",IF(Config!$C$4-V1007&lt;=Config!$C$15,"Sí","No")))</f>
        <v/>
      </c>
      <c r="V1007" s="23"/>
      <c r="W1007" s="22"/>
      <c r="X1007" s="22"/>
      <c r="Y1007" s="22"/>
      <c r="Z1007" s="27"/>
      <c r="AA1007" s="22"/>
      <c r="AB1007" s="22"/>
    </row>
    <row r="1008" customFormat="false" ht="15" hidden="false" customHeight="false" outlineLevel="0" collapsed="false">
      <c r="A1008" s="22"/>
      <c r="B1008" s="22"/>
      <c r="C1008" s="22"/>
      <c r="D1008" s="22"/>
      <c r="E1008" s="22"/>
      <c r="F1008" s="22"/>
      <c r="G1008" s="23"/>
      <c r="H1008" s="24" t="str">
        <f aca="false">IF(G1008="","",ROUND((Config!$C$4-G1008)/365.25,2))</f>
        <v/>
      </c>
      <c r="I1008" s="25" t="str">
        <f aca="false">IF(H1008="","",IF(H1008&lt;=1,"Tramo 1",IF(H1008&lt;=3,"Tramo 2",IF(H1008&lt;=5,"Tramo 3","Tramo 4"))))</f>
        <v/>
      </c>
      <c r="J1008" s="22"/>
      <c r="K1008" s="22"/>
      <c r="L1008" s="22"/>
      <c r="M1008" s="26"/>
      <c r="N1008" s="22"/>
      <c r="O1008" s="22"/>
      <c r="P1008" s="25" t="str">
        <f aca="false">IF(OR(O1008="",O1008="Sin información"),"",IFERROR(INDEX(Listas!$B$2:$B$9,MATCH(O1008,Listas!$A$2:$A$9,0)),""))</f>
        <v/>
      </c>
      <c r="Q1008" s="25" t="str">
        <f aca="false">IF(OR(O1008="",O1008="Sin información"),"",IFERROR(INDEX(Listas!$C$2:$C$9,MATCH(O1008,Listas!$A$2:$A$9,0)),""))</f>
        <v/>
      </c>
      <c r="R1008" s="22"/>
      <c r="S1008" s="22"/>
      <c r="T1008" s="25" t="str">
        <f aca="false">IF(S1008="","",IFERROR(INDEX(Empleadores!$B$2:$B$601,MATCH(S1008,Empleadores!$A$2:$A$601,0)),"No encontrado"))</f>
        <v/>
      </c>
      <c r="U1008" s="25" t="str">
        <f aca="false">IF(C1008="","",IF(V1008="","No",IF(Config!$C$4-V1008&lt;=Config!$C$15,"Sí","No")))</f>
        <v/>
      </c>
      <c r="V1008" s="23"/>
      <c r="W1008" s="22"/>
      <c r="X1008" s="22"/>
      <c r="Y1008" s="22"/>
      <c r="Z1008" s="27"/>
      <c r="AA1008" s="22"/>
      <c r="AB1008" s="22"/>
    </row>
    <row r="1009" customFormat="false" ht="15" hidden="false" customHeight="false" outlineLevel="0" collapsed="false">
      <c r="A1009" s="22"/>
      <c r="B1009" s="22"/>
      <c r="C1009" s="22"/>
      <c r="D1009" s="22"/>
      <c r="E1009" s="22"/>
      <c r="F1009" s="22"/>
      <c r="G1009" s="23"/>
      <c r="H1009" s="24" t="str">
        <f aca="false">IF(G1009="","",ROUND((Config!$C$4-G1009)/365.25,2))</f>
        <v/>
      </c>
      <c r="I1009" s="25" t="str">
        <f aca="false">IF(H1009="","",IF(H1009&lt;=1,"Tramo 1",IF(H1009&lt;=3,"Tramo 2",IF(H1009&lt;=5,"Tramo 3","Tramo 4"))))</f>
        <v/>
      </c>
      <c r="J1009" s="22"/>
      <c r="K1009" s="22"/>
      <c r="L1009" s="22"/>
      <c r="M1009" s="26"/>
      <c r="N1009" s="22"/>
      <c r="O1009" s="22"/>
      <c r="P1009" s="25" t="str">
        <f aca="false">IF(OR(O1009="",O1009="Sin información"),"",IFERROR(INDEX(Listas!$B$2:$B$9,MATCH(O1009,Listas!$A$2:$A$9,0)),""))</f>
        <v/>
      </c>
      <c r="Q1009" s="25" t="str">
        <f aca="false">IF(OR(O1009="",O1009="Sin información"),"",IFERROR(INDEX(Listas!$C$2:$C$9,MATCH(O1009,Listas!$A$2:$A$9,0)),""))</f>
        <v/>
      </c>
      <c r="R1009" s="22"/>
      <c r="S1009" s="22"/>
      <c r="T1009" s="25" t="str">
        <f aca="false">IF(S1009="","",IFERROR(INDEX(Empleadores!$B$2:$B$601,MATCH(S1009,Empleadores!$A$2:$A$601,0)),"No encontrado"))</f>
        <v/>
      </c>
      <c r="U1009" s="25" t="str">
        <f aca="false">IF(C1009="","",IF(V1009="","No",IF(Config!$C$4-V1009&lt;=Config!$C$15,"Sí","No")))</f>
        <v/>
      </c>
      <c r="V1009" s="23"/>
      <c r="W1009" s="22"/>
      <c r="X1009" s="22"/>
      <c r="Y1009" s="22"/>
      <c r="Z1009" s="27"/>
      <c r="AA1009" s="22"/>
      <c r="AB1009" s="22"/>
    </row>
    <row r="1010" customFormat="false" ht="15" hidden="false" customHeight="false" outlineLevel="0" collapsed="false">
      <c r="A1010" s="22"/>
      <c r="B1010" s="22"/>
      <c r="C1010" s="22"/>
      <c r="D1010" s="22"/>
      <c r="E1010" s="22"/>
      <c r="F1010" s="22"/>
      <c r="G1010" s="23"/>
      <c r="H1010" s="24" t="str">
        <f aca="false">IF(G1010="","",ROUND((Config!$C$4-G1010)/365.25,2))</f>
        <v/>
      </c>
      <c r="I1010" s="25" t="str">
        <f aca="false">IF(H1010="","",IF(H1010&lt;=1,"Tramo 1",IF(H1010&lt;=3,"Tramo 2",IF(H1010&lt;=5,"Tramo 3","Tramo 4"))))</f>
        <v/>
      </c>
      <c r="J1010" s="22"/>
      <c r="K1010" s="22"/>
      <c r="L1010" s="22"/>
      <c r="M1010" s="26"/>
      <c r="N1010" s="22"/>
      <c r="O1010" s="22"/>
      <c r="P1010" s="25" t="str">
        <f aca="false">IF(OR(O1010="",O1010="Sin información"),"",IFERROR(INDEX(Listas!$B$2:$B$9,MATCH(O1010,Listas!$A$2:$A$9,0)),""))</f>
        <v/>
      </c>
      <c r="Q1010" s="25" t="str">
        <f aca="false">IF(OR(O1010="",O1010="Sin información"),"",IFERROR(INDEX(Listas!$C$2:$C$9,MATCH(O1010,Listas!$A$2:$A$9,0)),""))</f>
        <v/>
      </c>
      <c r="R1010" s="22"/>
      <c r="S1010" s="22"/>
      <c r="T1010" s="25" t="str">
        <f aca="false">IF(S1010="","",IFERROR(INDEX(Empleadores!$B$2:$B$601,MATCH(S1010,Empleadores!$A$2:$A$601,0)),"No encontrado"))</f>
        <v/>
      </c>
      <c r="U1010" s="25" t="str">
        <f aca="false">IF(C1010="","",IF(V1010="","No",IF(Config!$C$4-V1010&lt;=Config!$C$15,"Sí","No")))</f>
        <v/>
      </c>
      <c r="V1010" s="23"/>
      <c r="W1010" s="22"/>
      <c r="X1010" s="22"/>
      <c r="Y1010" s="22"/>
      <c r="Z1010" s="27"/>
      <c r="AA1010" s="22"/>
      <c r="AB1010" s="22"/>
    </row>
    <row r="1011" customFormat="false" ht="15" hidden="false" customHeight="false" outlineLevel="0" collapsed="false">
      <c r="A1011" s="22"/>
      <c r="B1011" s="22"/>
      <c r="C1011" s="22"/>
      <c r="D1011" s="22"/>
      <c r="E1011" s="22"/>
      <c r="F1011" s="22"/>
      <c r="G1011" s="23"/>
      <c r="H1011" s="24" t="str">
        <f aca="false">IF(G1011="","",ROUND((Config!$C$4-G1011)/365.25,2))</f>
        <v/>
      </c>
      <c r="I1011" s="25" t="str">
        <f aca="false">IF(H1011="","",IF(H1011&lt;=1,"Tramo 1",IF(H1011&lt;=3,"Tramo 2",IF(H1011&lt;=5,"Tramo 3","Tramo 4"))))</f>
        <v/>
      </c>
      <c r="J1011" s="22"/>
      <c r="K1011" s="22"/>
      <c r="L1011" s="22"/>
      <c r="M1011" s="26"/>
      <c r="N1011" s="22"/>
      <c r="O1011" s="22"/>
      <c r="P1011" s="25" t="str">
        <f aca="false">IF(OR(O1011="",O1011="Sin información"),"",IFERROR(INDEX(Listas!$B$2:$B$9,MATCH(O1011,Listas!$A$2:$A$9,0)),""))</f>
        <v/>
      </c>
      <c r="Q1011" s="25" t="str">
        <f aca="false">IF(OR(O1011="",O1011="Sin información"),"",IFERROR(INDEX(Listas!$C$2:$C$9,MATCH(O1011,Listas!$A$2:$A$9,0)),""))</f>
        <v/>
      </c>
      <c r="R1011" s="22"/>
      <c r="S1011" s="22"/>
      <c r="T1011" s="25" t="str">
        <f aca="false">IF(S1011="","",IFERROR(INDEX(Empleadores!$B$2:$B$601,MATCH(S1011,Empleadores!$A$2:$A$601,0)),"No encontrado"))</f>
        <v/>
      </c>
      <c r="U1011" s="25" t="str">
        <f aca="false">IF(C1011="","",IF(V1011="","No",IF(Config!$C$4-V1011&lt;=Config!$C$15,"Sí","No")))</f>
        <v/>
      </c>
      <c r="V1011" s="23"/>
      <c r="W1011" s="22"/>
      <c r="X1011" s="22"/>
      <c r="Y1011" s="22"/>
      <c r="Z1011" s="27"/>
      <c r="AA1011" s="22"/>
      <c r="AB1011" s="22"/>
    </row>
    <row r="1012" customFormat="false" ht="15" hidden="false" customHeight="false" outlineLevel="0" collapsed="false">
      <c r="A1012" s="22"/>
      <c r="B1012" s="22"/>
      <c r="C1012" s="22"/>
      <c r="D1012" s="22"/>
      <c r="E1012" s="22"/>
      <c r="F1012" s="22"/>
      <c r="G1012" s="23"/>
      <c r="H1012" s="24" t="str">
        <f aca="false">IF(G1012="","",ROUND((Config!$C$4-G1012)/365.25,2))</f>
        <v/>
      </c>
      <c r="I1012" s="25" t="str">
        <f aca="false">IF(H1012="","",IF(H1012&lt;=1,"Tramo 1",IF(H1012&lt;=3,"Tramo 2",IF(H1012&lt;=5,"Tramo 3","Tramo 4"))))</f>
        <v/>
      </c>
      <c r="J1012" s="22"/>
      <c r="K1012" s="22"/>
      <c r="L1012" s="22"/>
      <c r="M1012" s="26"/>
      <c r="N1012" s="22"/>
      <c r="O1012" s="22"/>
      <c r="P1012" s="25" t="str">
        <f aca="false">IF(OR(O1012="",O1012="Sin información"),"",IFERROR(INDEX(Listas!$B$2:$B$9,MATCH(O1012,Listas!$A$2:$A$9,0)),""))</f>
        <v/>
      </c>
      <c r="Q1012" s="25" t="str">
        <f aca="false">IF(OR(O1012="",O1012="Sin información"),"",IFERROR(INDEX(Listas!$C$2:$C$9,MATCH(O1012,Listas!$A$2:$A$9,0)),""))</f>
        <v/>
      </c>
      <c r="R1012" s="22"/>
      <c r="S1012" s="22"/>
      <c r="T1012" s="25" t="str">
        <f aca="false">IF(S1012="","",IFERROR(INDEX(Empleadores!$B$2:$B$601,MATCH(S1012,Empleadores!$A$2:$A$601,0)),"No encontrado"))</f>
        <v/>
      </c>
      <c r="U1012" s="25" t="str">
        <f aca="false">IF(C1012="","",IF(V1012="","No",IF(Config!$C$4-V1012&lt;=Config!$C$15,"Sí","No")))</f>
        <v/>
      </c>
      <c r="V1012" s="23"/>
      <c r="W1012" s="22"/>
      <c r="X1012" s="22"/>
      <c r="Y1012" s="22"/>
      <c r="Z1012" s="27"/>
      <c r="AA1012" s="22"/>
      <c r="AB1012" s="22"/>
    </row>
    <row r="1013" customFormat="false" ht="15" hidden="false" customHeight="false" outlineLevel="0" collapsed="false">
      <c r="A1013" s="22"/>
      <c r="B1013" s="22"/>
      <c r="C1013" s="22"/>
      <c r="D1013" s="22"/>
      <c r="E1013" s="22"/>
      <c r="F1013" s="22"/>
      <c r="G1013" s="23"/>
      <c r="H1013" s="24" t="str">
        <f aca="false">IF(G1013="","",ROUND((Config!$C$4-G1013)/365.25,2))</f>
        <v/>
      </c>
      <c r="I1013" s="25" t="str">
        <f aca="false">IF(H1013="","",IF(H1013&lt;=1,"Tramo 1",IF(H1013&lt;=3,"Tramo 2",IF(H1013&lt;=5,"Tramo 3","Tramo 4"))))</f>
        <v/>
      </c>
      <c r="J1013" s="22"/>
      <c r="K1013" s="22"/>
      <c r="L1013" s="22"/>
      <c r="M1013" s="26"/>
      <c r="N1013" s="22"/>
      <c r="O1013" s="22"/>
      <c r="P1013" s="25" t="str">
        <f aca="false">IF(OR(O1013="",O1013="Sin información"),"",IFERROR(INDEX(Listas!$B$2:$B$9,MATCH(O1013,Listas!$A$2:$A$9,0)),""))</f>
        <v/>
      </c>
      <c r="Q1013" s="25" t="str">
        <f aca="false">IF(OR(O1013="",O1013="Sin información"),"",IFERROR(INDEX(Listas!$C$2:$C$9,MATCH(O1013,Listas!$A$2:$A$9,0)),""))</f>
        <v/>
      </c>
      <c r="R1013" s="22"/>
      <c r="S1013" s="22"/>
      <c r="T1013" s="25" t="str">
        <f aca="false">IF(S1013="","",IFERROR(INDEX(Empleadores!$B$2:$B$601,MATCH(S1013,Empleadores!$A$2:$A$601,0)),"No encontrado"))</f>
        <v/>
      </c>
      <c r="U1013" s="25" t="str">
        <f aca="false">IF(C1013="","",IF(V1013="","No",IF(Config!$C$4-V1013&lt;=Config!$C$15,"Sí","No")))</f>
        <v/>
      </c>
      <c r="V1013" s="23"/>
      <c r="W1013" s="22"/>
      <c r="X1013" s="22"/>
      <c r="Y1013" s="22"/>
      <c r="Z1013" s="27"/>
      <c r="AA1013" s="22"/>
      <c r="AB1013" s="22"/>
    </row>
    <row r="1014" customFormat="false" ht="15" hidden="false" customHeight="false" outlineLevel="0" collapsed="false">
      <c r="A1014" s="22"/>
      <c r="B1014" s="22"/>
      <c r="C1014" s="22"/>
      <c r="D1014" s="22"/>
      <c r="E1014" s="22"/>
      <c r="F1014" s="22"/>
      <c r="G1014" s="23"/>
      <c r="H1014" s="24" t="str">
        <f aca="false">IF(G1014="","",ROUND((Config!$C$4-G1014)/365.25,2))</f>
        <v/>
      </c>
      <c r="I1014" s="25" t="str">
        <f aca="false">IF(H1014="","",IF(H1014&lt;=1,"Tramo 1",IF(H1014&lt;=3,"Tramo 2",IF(H1014&lt;=5,"Tramo 3","Tramo 4"))))</f>
        <v/>
      </c>
      <c r="J1014" s="22"/>
      <c r="K1014" s="22"/>
      <c r="L1014" s="22"/>
      <c r="M1014" s="26"/>
      <c r="N1014" s="22"/>
      <c r="O1014" s="22"/>
      <c r="P1014" s="25" t="str">
        <f aca="false">IF(OR(O1014="",O1014="Sin información"),"",IFERROR(INDEX(Listas!$B$2:$B$9,MATCH(O1014,Listas!$A$2:$A$9,0)),""))</f>
        <v/>
      </c>
      <c r="Q1014" s="25" t="str">
        <f aca="false">IF(OR(O1014="",O1014="Sin información"),"",IFERROR(INDEX(Listas!$C$2:$C$9,MATCH(O1014,Listas!$A$2:$A$9,0)),""))</f>
        <v/>
      </c>
      <c r="R1014" s="22"/>
      <c r="S1014" s="22"/>
      <c r="T1014" s="25" t="str">
        <f aca="false">IF(S1014="","",IFERROR(INDEX(Empleadores!$B$2:$B$601,MATCH(S1014,Empleadores!$A$2:$A$601,0)),"No encontrado"))</f>
        <v/>
      </c>
      <c r="U1014" s="25" t="str">
        <f aca="false">IF(C1014="","",IF(V1014="","No",IF(Config!$C$4-V1014&lt;=Config!$C$15,"Sí","No")))</f>
        <v/>
      </c>
      <c r="V1014" s="23"/>
      <c r="W1014" s="22"/>
      <c r="X1014" s="22"/>
      <c r="Y1014" s="22"/>
      <c r="Z1014" s="27"/>
      <c r="AA1014" s="22"/>
      <c r="AB1014" s="22"/>
    </row>
    <row r="1015" customFormat="false" ht="15" hidden="false" customHeight="false" outlineLevel="0" collapsed="false">
      <c r="A1015" s="22"/>
      <c r="B1015" s="22"/>
      <c r="C1015" s="22"/>
      <c r="D1015" s="22"/>
      <c r="E1015" s="22"/>
      <c r="F1015" s="22"/>
      <c r="G1015" s="23"/>
      <c r="H1015" s="24" t="str">
        <f aca="false">IF(G1015="","",ROUND((Config!$C$4-G1015)/365.25,2))</f>
        <v/>
      </c>
      <c r="I1015" s="25" t="str">
        <f aca="false">IF(H1015="","",IF(H1015&lt;=1,"Tramo 1",IF(H1015&lt;=3,"Tramo 2",IF(H1015&lt;=5,"Tramo 3","Tramo 4"))))</f>
        <v/>
      </c>
      <c r="J1015" s="22"/>
      <c r="K1015" s="22"/>
      <c r="L1015" s="22"/>
      <c r="M1015" s="26"/>
      <c r="N1015" s="22"/>
      <c r="O1015" s="22"/>
      <c r="P1015" s="25" t="str">
        <f aca="false">IF(OR(O1015="",O1015="Sin información"),"",IFERROR(INDEX(Listas!$B$2:$B$9,MATCH(O1015,Listas!$A$2:$A$9,0)),""))</f>
        <v/>
      </c>
      <c r="Q1015" s="25" t="str">
        <f aca="false">IF(OR(O1015="",O1015="Sin información"),"",IFERROR(INDEX(Listas!$C$2:$C$9,MATCH(O1015,Listas!$A$2:$A$9,0)),""))</f>
        <v/>
      </c>
      <c r="R1015" s="22"/>
      <c r="S1015" s="22"/>
      <c r="T1015" s="25" t="str">
        <f aca="false">IF(S1015="","",IFERROR(INDEX(Empleadores!$B$2:$B$601,MATCH(S1015,Empleadores!$A$2:$A$601,0)),"No encontrado"))</f>
        <v/>
      </c>
      <c r="U1015" s="25" t="str">
        <f aca="false">IF(C1015="","",IF(V1015="","No",IF(Config!$C$4-V1015&lt;=Config!$C$15,"Sí","No")))</f>
        <v/>
      </c>
      <c r="V1015" s="23"/>
      <c r="W1015" s="22"/>
      <c r="X1015" s="22"/>
      <c r="Y1015" s="22"/>
      <c r="Z1015" s="27"/>
      <c r="AA1015" s="22"/>
      <c r="AB1015" s="22"/>
    </row>
    <row r="1016" customFormat="false" ht="15" hidden="false" customHeight="false" outlineLevel="0" collapsed="false">
      <c r="A1016" s="22"/>
      <c r="B1016" s="22"/>
      <c r="C1016" s="22"/>
      <c r="D1016" s="22"/>
      <c r="E1016" s="22"/>
      <c r="F1016" s="22"/>
      <c r="G1016" s="23"/>
      <c r="H1016" s="24" t="str">
        <f aca="false">IF(G1016="","",ROUND((Config!$C$4-G1016)/365.25,2))</f>
        <v/>
      </c>
      <c r="I1016" s="25" t="str">
        <f aca="false">IF(H1016="","",IF(H1016&lt;=1,"Tramo 1",IF(H1016&lt;=3,"Tramo 2",IF(H1016&lt;=5,"Tramo 3","Tramo 4"))))</f>
        <v/>
      </c>
      <c r="J1016" s="22"/>
      <c r="K1016" s="22"/>
      <c r="L1016" s="22"/>
      <c r="M1016" s="26"/>
      <c r="N1016" s="22"/>
      <c r="O1016" s="22"/>
      <c r="P1016" s="25" t="str">
        <f aca="false">IF(OR(O1016="",O1016="Sin información"),"",IFERROR(INDEX(Listas!$B$2:$B$9,MATCH(O1016,Listas!$A$2:$A$9,0)),""))</f>
        <v/>
      </c>
      <c r="Q1016" s="25" t="str">
        <f aca="false">IF(OR(O1016="",O1016="Sin información"),"",IFERROR(INDEX(Listas!$C$2:$C$9,MATCH(O1016,Listas!$A$2:$A$9,0)),""))</f>
        <v/>
      </c>
      <c r="R1016" s="22"/>
      <c r="S1016" s="22"/>
      <c r="T1016" s="25" t="str">
        <f aca="false">IF(S1016="","",IFERROR(INDEX(Empleadores!$B$2:$B$601,MATCH(S1016,Empleadores!$A$2:$A$601,0)),"No encontrado"))</f>
        <v/>
      </c>
      <c r="U1016" s="25" t="str">
        <f aca="false">IF(C1016="","",IF(V1016="","No",IF(Config!$C$4-V1016&lt;=Config!$C$15,"Sí","No")))</f>
        <v/>
      </c>
      <c r="V1016" s="23"/>
      <c r="W1016" s="22"/>
      <c r="X1016" s="22"/>
      <c r="Y1016" s="22"/>
      <c r="Z1016" s="27"/>
      <c r="AA1016" s="22"/>
      <c r="AB1016" s="22"/>
    </row>
    <row r="1017" customFormat="false" ht="15" hidden="false" customHeight="false" outlineLevel="0" collapsed="false">
      <c r="A1017" s="22"/>
      <c r="B1017" s="22"/>
      <c r="C1017" s="22"/>
      <c r="D1017" s="22"/>
      <c r="E1017" s="22"/>
      <c r="F1017" s="22"/>
      <c r="G1017" s="23"/>
      <c r="H1017" s="24" t="str">
        <f aca="false">IF(G1017="","",ROUND((Config!$C$4-G1017)/365.25,2))</f>
        <v/>
      </c>
      <c r="I1017" s="25" t="str">
        <f aca="false">IF(H1017="","",IF(H1017&lt;=1,"Tramo 1",IF(H1017&lt;=3,"Tramo 2",IF(H1017&lt;=5,"Tramo 3","Tramo 4"))))</f>
        <v/>
      </c>
      <c r="J1017" s="22"/>
      <c r="K1017" s="22"/>
      <c r="L1017" s="22"/>
      <c r="M1017" s="26"/>
      <c r="N1017" s="22"/>
      <c r="O1017" s="22"/>
      <c r="P1017" s="25" t="str">
        <f aca="false">IF(OR(O1017="",O1017="Sin información"),"",IFERROR(INDEX(Listas!$B$2:$B$9,MATCH(O1017,Listas!$A$2:$A$9,0)),""))</f>
        <v/>
      </c>
      <c r="Q1017" s="25" t="str">
        <f aca="false">IF(OR(O1017="",O1017="Sin información"),"",IFERROR(INDEX(Listas!$C$2:$C$9,MATCH(O1017,Listas!$A$2:$A$9,0)),""))</f>
        <v/>
      </c>
      <c r="R1017" s="22"/>
      <c r="S1017" s="22"/>
      <c r="T1017" s="25" t="str">
        <f aca="false">IF(S1017="","",IFERROR(INDEX(Empleadores!$B$2:$B$601,MATCH(S1017,Empleadores!$A$2:$A$601,0)),"No encontrado"))</f>
        <v/>
      </c>
      <c r="U1017" s="25" t="str">
        <f aca="false">IF(C1017="","",IF(V1017="","No",IF(Config!$C$4-V1017&lt;=Config!$C$15,"Sí","No")))</f>
        <v/>
      </c>
      <c r="V1017" s="23"/>
      <c r="W1017" s="22"/>
      <c r="X1017" s="22"/>
      <c r="Y1017" s="22"/>
      <c r="Z1017" s="27"/>
      <c r="AA1017" s="22"/>
      <c r="AB1017" s="22"/>
    </row>
    <row r="1018" customFormat="false" ht="15" hidden="false" customHeight="false" outlineLevel="0" collapsed="false">
      <c r="A1018" s="22"/>
      <c r="B1018" s="22"/>
      <c r="C1018" s="22"/>
      <c r="D1018" s="22"/>
      <c r="E1018" s="22"/>
      <c r="F1018" s="22"/>
      <c r="G1018" s="23"/>
      <c r="H1018" s="24" t="str">
        <f aca="false">IF(G1018="","",ROUND((Config!$C$4-G1018)/365.25,2))</f>
        <v/>
      </c>
      <c r="I1018" s="25" t="str">
        <f aca="false">IF(H1018="","",IF(H1018&lt;=1,"Tramo 1",IF(H1018&lt;=3,"Tramo 2",IF(H1018&lt;=5,"Tramo 3","Tramo 4"))))</f>
        <v/>
      </c>
      <c r="J1018" s="22"/>
      <c r="K1018" s="22"/>
      <c r="L1018" s="22"/>
      <c r="M1018" s="26"/>
      <c r="N1018" s="22"/>
      <c r="O1018" s="22"/>
      <c r="P1018" s="25" t="str">
        <f aca="false">IF(OR(O1018="",O1018="Sin información"),"",IFERROR(INDEX(Listas!$B$2:$B$9,MATCH(O1018,Listas!$A$2:$A$9,0)),""))</f>
        <v/>
      </c>
      <c r="Q1018" s="25" t="str">
        <f aca="false">IF(OR(O1018="",O1018="Sin información"),"",IFERROR(INDEX(Listas!$C$2:$C$9,MATCH(O1018,Listas!$A$2:$A$9,0)),""))</f>
        <v/>
      </c>
      <c r="R1018" s="22"/>
      <c r="S1018" s="22"/>
      <c r="T1018" s="25" t="str">
        <f aca="false">IF(S1018="","",IFERROR(INDEX(Empleadores!$B$2:$B$601,MATCH(S1018,Empleadores!$A$2:$A$601,0)),"No encontrado"))</f>
        <v/>
      </c>
      <c r="U1018" s="25" t="str">
        <f aca="false">IF(C1018="","",IF(V1018="","No",IF(Config!$C$4-V1018&lt;=Config!$C$15,"Sí","No")))</f>
        <v/>
      </c>
      <c r="V1018" s="23"/>
      <c r="W1018" s="22"/>
      <c r="X1018" s="22"/>
      <c r="Y1018" s="22"/>
      <c r="Z1018" s="27"/>
      <c r="AA1018" s="22"/>
      <c r="AB1018" s="22"/>
    </row>
    <row r="1019" customFormat="false" ht="15" hidden="false" customHeight="false" outlineLevel="0" collapsed="false">
      <c r="A1019" s="22"/>
      <c r="B1019" s="22"/>
      <c r="C1019" s="22"/>
      <c r="D1019" s="22"/>
      <c r="E1019" s="22"/>
      <c r="F1019" s="22"/>
      <c r="G1019" s="23"/>
      <c r="H1019" s="24" t="str">
        <f aca="false">IF(G1019="","",ROUND((Config!$C$4-G1019)/365.25,2))</f>
        <v/>
      </c>
      <c r="I1019" s="25" t="str">
        <f aca="false">IF(H1019="","",IF(H1019&lt;=1,"Tramo 1",IF(H1019&lt;=3,"Tramo 2",IF(H1019&lt;=5,"Tramo 3","Tramo 4"))))</f>
        <v/>
      </c>
      <c r="J1019" s="22"/>
      <c r="K1019" s="22"/>
      <c r="L1019" s="22"/>
      <c r="M1019" s="26"/>
      <c r="N1019" s="22"/>
      <c r="O1019" s="22"/>
      <c r="P1019" s="25" t="str">
        <f aca="false">IF(OR(O1019="",O1019="Sin información"),"",IFERROR(INDEX(Listas!$B$2:$B$9,MATCH(O1019,Listas!$A$2:$A$9,0)),""))</f>
        <v/>
      </c>
      <c r="Q1019" s="25" t="str">
        <f aca="false">IF(OR(O1019="",O1019="Sin información"),"",IFERROR(INDEX(Listas!$C$2:$C$9,MATCH(O1019,Listas!$A$2:$A$9,0)),""))</f>
        <v/>
      </c>
      <c r="R1019" s="22"/>
      <c r="S1019" s="22"/>
      <c r="T1019" s="25" t="str">
        <f aca="false">IF(S1019="","",IFERROR(INDEX(Empleadores!$B$2:$B$601,MATCH(S1019,Empleadores!$A$2:$A$601,0)),"No encontrado"))</f>
        <v/>
      </c>
      <c r="U1019" s="25" t="str">
        <f aca="false">IF(C1019="","",IF(V1019="","No",IF(Config!$C$4-V1019&lt;=Config!$C$15,"Sí","No")))</f>
        <v/>
      </c>
      <c r="V1019" s="23"/>
      <c r="W1019" s="22"/>
      <c r="X1019" s="22"/>
      <c r="Y1019" s="22"/>
      <c r="Z1019" s="27"/>
      <c r="AA1019" s="22"/>
      <c r="AB1019" s="22"/>
    </row>
    <row r="1020" customFormat="false" ht="15" hidden="false" customHeight="false" outlineLevel="0" collapsed="false">
      <c r="A1020" s="22"/>
      <c r="B1020" s="22"/>
      <c r="C1020" s="22"/>
      <c r="D1020" s="22"/>
      <c r="E1020" s="22"/>
      <c r="F1020" s="22"/>
      <c r="G1020" s="23"/>
      <c r="H1020" s="24" t="str">
        <f aca="false">IF(G1020="","",ROUND((Config!$C$4-G1020)/365.25,2))</f>
        <v/>
      </c>
      <c r="I1020" s="25" t="str">
        <f aca="false">IF(H1020="","",IF(H1020&lt;=1,"Tramo 1",IF(H1020&lt;=3,"Tramo 2",IF(H1020&lt;=5,"Tramo 3","Tramo 4"))))</f>
        <v/>
      </c>
      <c r="J1020" s="22"/>
      <c r="K1020" s="22"/>
      <c r="L1020" s="22"/>
      <c r="M1020" s="26"/>
      <c r="N1020" s="22"/>
      <c r="O1020" s="22"/>
      <c r="P1020" s="25" t="str">
        <f aca="false">IF(OR(O1020="",O1020="Sin información"),"",IFERROR(INDEX(Listas!$B$2:$B$9,MATCH(O1020,Listas!$A$2:$A$9,0)),""))</f>
        <v/>
      </c>
      <c r="Q1020" s="25" t="str">
        <f aca="false">IF(OR(O1020="",O1020="Sin información"),"",IFERROR(INDEX(Listas!$C$2:$C$9,MATCH(O1020,Listas!$A$2:$A$9,0)),""))</f>
        <v/>
      </c>
      <c r="R1020" s="22"/>
      <c r="S1020" s="22"/>
      <c r="T1020" s="25" t="str">
        <f aca="false">IF(S1020="","",IFERROR(INDEX(Empleadores!$B$2:$B$601,MATCH(S1020,Empleadores!$A$2:$A$601,0)),"No encontrado"))</f>
        <v/>
      </c>
      <c r="U1020" s="25" t="str">
        <f aca="false">IF(C1020="","",IF(V1020="","No",IF(Config!$C$4-V1020&lt;=Config!$C$15,"Sí","No")))</f>
        <v/>
      </c>
      <c r="V1020" s="23"/>
      <c r="W1020" s="22"/>
      <c r="X1020" s="22"/>
      <c r="Y1020" s="22"/>
      <c r="Z1020" s="27"/>
      <c r="AA1020" s="22"/>
      <c r="AB1020" s="22"/>
    </row>
    <row r="1021" customFormat="false" ht="15" hidden="false" customHeight="false" outlineLevel="0" collapsed="false">
      <c r="A1021" s="22"/>
      <c r="B1021" s="22"/>
      <c r="C1021" s="22"/>
      <c r="D1021" s="22"/>
      <c r="E1021" s="22"/>
      <c r="F1021" s="22"/>
      <c r="G1021" s="23"/>
      <c r="H1021" s="24" t="str">
        <f aca="false">IF(G1021="","",ROUND((Config!$C$4-G1021)/365.25,2))</f>
        <v/>
      </c>
      <c r="I1021" s="25" t="str">
        <f aca="false">IF(H1021="","",IF(H1021&lt;=1,"Tramo 1",IF(H1021&lt;=3,"Tramo 2",IF(H1021&lt;=5,"Tramo 3","Tramo 4"))))</f>
        <v/>
      </c>
      <c r="J1021" s="22"/>
      <c r="K1021" s="22"/>
      <c r="L1021" s="22"/>
      <c r="M1021" s="26"/>
      <c r="N1021" s="22"/>
      <c r="O1021" s="22"/>
      <c r="P1021" s="25" t="str">
        <f aca="false">IF(OR(O1021="",O1021="Sin información"),"",IFERROR(INDEX(Listas!$B$2:$B$9,MATCH(O1021,Listas!$A$2:$A$9,0)),""))</f>
        <v/>
      </c>
      <c r="Q1021" s="25" t="str">
        <f aca="false">IF(OR(O1021="",O1021="Sin información"),"",IFERROR(INDEX(Listas!$C$2:$C$9,MATCH(O1021,Listas!$A$2:$A$9,0)),""))</f>
        <v/>
      </c>
      <c r="R1021" s="22"/>
      <c r="S1021" s="22"/>
      <c r="T1021" s="25" t="str">
        <f aca="false">IF(S1021="","",IFERROR(INDEX(Empleadores!$B$2:$B$601,MATCH(S1021,Empleadores!$A$2:$A$601,0)),"No encontrado"))</f>
        <v/>
      </c>
      <c r="U1021" s="25" t="str">
        <f aca="false">IF(C1021="","",IF(V1021="","No",IF(Config!$C$4-V1021&lt;=Config!$C$15,"Sí","No")))</f>
        <v/>
      </c>
      <c r="V1021" s="23"/>
      <c r="W1021" s="22"/>
      <c r="X1021" s="22"/>
      <c r="Y1021" s="22"/>
      <c r="Z1021" s="27"/>
      <c r="AA1021" s="22"/>
      <c r="AB1021" s="22"/>
    </row>
    <row r="1022" customFormat="false" ht="15" hidden="false" customHeight="false" outlineLevel="0" collapsed="false">
      <c r="A1022" s="22"/>
      <c r="B1022" s="22"/>
      <c r="C1022" s="22"/>
      <c r="D1022" s="22"/>
      <c r="E1022" s="22"/>
      <c r="F1022" s="22"/>
      <c r="G1022" s="23"/>
      <c r="H1022" s="24" t="str">
        <f aca="false">IF(G1022="","",ROUND((Config!$C$4-G1022)/365.25,2))</f>
        <v/>
      </c>
      <c r="I1022" s="25" t="str">
        <f aca="false">IF(H1022="","",IF(H1022&lt;=1,"Tramo 1",IF(H1022&lt;=3,"Tramo 2",IF(H1022&lt;=5,"Tramo 3","Tramo 4"))))</f>
        <v/>
      </c>
      <c r="J1022" s="22"/>
      <c r="K1022" s="22"/>
      <c r="L1022" s="22"/>
      <c r="M1022" s="26"/>
      <c r="N1022" s="22"/>
      <c r="O1022" s="22"/>
      <c r="P1022" s="25" t="str">
        <f aca="false">IF(OR(O1022="",O1022="Sin información"),"",IFERROR(INDEX(Listas!$B$2:$B$9,MATCH(O1022,Listas!$A$2:$A$9,0)),""))</f>
        <v/>
      </c>
      <c r="Q1022" s="25" t="str">
        <f aca="false">IF(OR(O1022="",O1022="Sin información"),"",IFERROR(INDEX(Listas!$C$2:$C$9,MATCH(O1022,Listas!$A$2:$A$9,0)),""))</f>
        <v/>
      </c>
      <c r="R1022" s="22"/>
      <c r="S1022" s="22"/>
      <c r="T1022" s="25" t="str">
        <f aca="false">IF(S1022="","",IFERROR(INDEX(Empleadores!$B$2:$B$601,MATCH(S1022,Empleadores!$A$2:$A$601,0)),"No encontrado"))</f>
        <v/>
      </c>
      <c r="U1022" s="25" t="str">
        <f aca="false">IF(C1022="","",IF(V1022="","No",IF(Config!$C$4-V1022&lt;=Config!$C$15,"Sí","No")))</f>
        <v/>
      </c>
      <c r="V1022" s="23"/>
      <c r="W1022" s="22"/>
      <c r="X1022" s="22"/>
      <c r="Y1022" s="22"/>
      <c r="Z1022" s="27"/>
      <c r="AA1022" s="22"/>
      <c r="AB1022" s="22"/>
    </row>
    <row r="1023" customFormat="false" ht="15" hidden="false" customHeight="false" outlineLevel="0" collapsed="false">
      <c r="A1023" s="22"/>
      <c r="B1023" s="22"/>
      <c r="C1023" s="22"/>
      <c r="D1023" s="22"/>
      <c r="E1023" s="22"/>
      <c r="F1023" s="22"/>
      <c r="G1023" s="23"/>
      <c r="H1023" s="24" t="str">
        <f aca="false">IF(G1023="","",ROUND((Config!$C$4-G1023)/365.25,2))</f>
        <v/>
      </c>
      <c r="I1023" s="25" t="str">
        <f aca="false">IF(H1023="","",IF(H1023&lt;=1,"Tramo 1",IF(H1023&lt;=3,"Tramo 2",IF(H1023&lt;=5,"Tramo 3","Tramo 4"))))</f>
        <v/>
      </c>
      <c r="J1023" s="22"/>
      <c r="K1023" s="22"/>
      <c r="L1023" s="22"/>
      <c r="M1023" s="26"/>
      <c r="N1023" s="22"/>
      <c r="O1023" s="22"/>
      <c r="P1023" s="25" t="str">
        <f aca="false">IF(OR(O1023="",O1023="Sin información"),"",IFERROR(INDEX(Listas!$B$2:$B$9,MATCH(O1023,Listas!$A$2:$A$9,0)),""))</f>
        <v/>
      </c>
      <c r="Q1023" s="25" t="str">
        <f aca="false">IF(OR(O1023="",O1023="Sin información"),"",IFERROR(INDEX(Listas!$C$2:$C$9,MATCH(O1023,Listas!$A$2:$A$9,0)),""))</f>
        <v/>
      </c>
      <c r="R1023" s="22"/>
      <c r="S1023" s="22"/>
      <c r="T1023" s="25" t="str">
        <f aca="false">IF(S1023="","",IFERROR(INDEX(Empleadores!$B$2:$B$601,MATCH(S1023,Empleadores!$A$2:$A$601,0)),"No encontrado"))</f>
        <v/>
      </c>
      <c r="U1023" s="25" t="str">
        <f aca="false">IF(C1023="","",IF(V1023="","No",IF(Config!$C$4-V1023&lt;=Config!$C$15,"Sí","No")))</f>
        <v/>
      </c>
      <c r="V1023" s="23"/>
      <c r="W1023" s="22"/>
      <c r="X1023" s="22"/>
      <c r="Y1023" s="22"/>
      <c r="Z1023" s="27"/>
      <c r="AA1023" s="22"/>
      <c r="AB1023" s="22"/>
    </row>
    <row r="1024" customFormat="false" ht="15" hidden="false" customHeight="false" outlineLevel="0" collapsed="false">
      <c r="A1024" s="22"/>
      <c r="B1024" s="22"/>
      <c r="C1024" s="22"/>
      <c r="D1024" s="22"/>
      <c r="E1024" s="22"/>
      <c r="F1024" s="22"/>
      <c r="G1024" s="23"/>
      <c r="H1024" s="24" t="str">
        <f aca="false">IF(G1024="","",ROUND((Config!$C$4-G1024)/365.25,2))</f>
        <v/>
      </c>
      <c r="I1024" s="25" t="str">
        <f aca="false">IF(H1024="","",IF(H1024&lt;=1,"Tramo 1",IF(H1024&lt;=3,"Tramo 2",IF(H1024&lt;=5,"Tramo 3","Tramo 4"))))</f>
        <v/>
      </c>
      <c r="J1024" s="22"/>
      <c r="K1024" s="22"/>
      <c r="L1024" s="22"/>
      <c r="M1024" s="26"/>
      <c r="N1024" s="22"/>
      <c r="O1024" s="22"/>
      <c r="P1024" s="25" t="str">
        <f aca="false">IF(OR(O1024="",O1024="Sin información"),"",IFERROR(INDEX(Listas!$B$2:$B$9,MATCH(O1024,Listas!$A$2:$A$9,0)),""))</f>
        <v/>
      </c>
      <c r="Q1024" s="25" t="str">
        <f aca="false">IF(OR(O1024="",O1024="Sin información"),"",IFERROR(INDEX(Listas!$C$2:$C$9,MATCH(O1024,Listas!$A$2:$A$9,0)),""))</f>
        <v/>
      </c>
      <c r="R1024" s="22"/>
      <c r="S1024" s="22"/>
      <c r="T1024" s="25" t="str">
        <f aca="false">IF(S1024="","",IFERROR(INDEX(Empleadores!$B$2:$B$601,MATCH(S1024,Empleadores!$A$2:$A$601,0)),"No encontrado"))</f>
        <v/>
      </c>
      <c r="U1024" s="25" t="str">
        <f aca="false">IF(C1024="","",IF(V1024="","No",IF(Config!$C$4-V1024&lt;=Config!$C$15,"Sí","No")))</f>
        <v/>
      </c>
      <c r="V1024" s="23"/>
      <c r="W1024" s="22"/>
      <c r="X1024" s="22"/>
      <c r="Y1024" s="22"/>
      <c r="Z1024" s="27"/>
      <c r="AA1024" s="22"/>
      <c r="AB1024" s="22"/>
    </row>
    <row r="1025" customFormat="false" ht="15" hidden="false" customHeight="false" outlineLevel="0" collapsed="false">
      <c r="A1025" s="22"/>
      <c r="B1025" s="22"/>
      <c r="C1025" s="22"/>
      <c r="D1025" s="22"/>
      <c r="E1025" s="22"/>
      <c r="F1025" s="22"/>
      <c r="G1025" s="23"/>
      <c r="H1025" s="24" t="str">
        <f aca="false">IF(G1025="","",ROUND((Config!$C$4-G1025)/365.25,2))</f>
        <v/>
      </c>
      <c r="I1025" s="25" t="str">
        <f aca="false">IF(H1025="","",IF(H1025&lt;=1,"Tramo 1",IF(H1025&lt;=3,"Tramo 2",IF(H1025&lt;=5,"Tramo 3","Tramo 4"))))</f>
        <v/>
      </c>
      <c r="J1025" s="22"/>
      <c r="K1025" s="22"/>
      <c r="L1025" s="22"/>
      <c r="M1025" s="26"/>
      <c r="N1025" s="22"/>
      <c r="O1025" s="22"/>
      <c r="P1025" s="25" t="str">
        <f aca="false">IF(OR(O1025="",O1025="Sin información"),"",IFERROR(INDEX(Listas!$B$2:$B$9,MATCH(O1025,Listas!$A$2:$A$9,0)),""))</f>
        <v/>
      </c>
      <c r="Q1025" s="25" t="str">
        <f aca="false">IF(OR(O1025="",O1025="Sin información"),"",IFERROR(INDEX(Listas!$C$2:$C$9,MATCH(O1025,Listas!$A$2:$A$9,0)),""))</f>
        <v/>
      </c>
      <c r="R1025" s="22"/>
      <c r="S1025" s="22"/>
      <c r="T1025" s="25" t="str">
        <f aca="false">IF(S1025="","",IFERROR(INDEX(Empleadores!$B$2:$B$601,MATCH(S1025,Empleadores!$A$2:$A$601,0)),"No encontrado"))</f>
        <v/>
      </c>
      <c r="U1025" s="25" t="str">
        <f aca="false">IF(C1025="","",IF(V1025="","No",IF(Config!$C$4-V1025&lt;=Config!$C$15,"Sí","No")))</f>
        <v/>
      </c>
      <c r="V1025" s="23"/>
      <c r="W1025" s="22"/>
      <c r="X1025" s="22"/>
      <c r="Y1025" s="22"/>
      <c r="Z1025" s="27"/>
      <c r="AA1025" s="22"/>
      <c r="AB1025" s="22"/>
    </row>
    <row r="1026" customFormat="false" ht="15" hidden="false" customHeight="false" outlineLevel="0" collapsed="false">
      <c r="A1026" s="22"/>
      <c r="B1026" s="22"/>
      <c r="C1026" s="22"/>
      <c r="D1026" s="22"/>
      <c r="E1026" s="22"/>
      <c r="F1026" s="22"/>
      <c r="G1026" s="23"/>
      <c r="H1026" s="24" t="str">
        <f aca="false">IF(G1026="","",ROUND((Config!$C$4-G1026)/365.25,2))</f>
        <v/>
      </c>
      <c r="I1026" s="25" t="str">
        <f aca="false">IF(H1026="","",IF(H1026&lt;=1,"Tramo 1",IF(H1026&lt;=3,"Tramo 2",IF(H1026&lt;=5,"Tramo 3","Tramo 4"))))</f>
        <v/>
      </c>
      <c r="J1026" s="22"/>
      <c r="K1026" s="22"/>
      <c r="L1026" s="22"/>
      <c r="M1026" s="26"/>
      <c r="N1026" s="22"/>
      <c r="O1026" s="22"/>
      <c r="P1026" s="25" t="str">
        <f aca="false">IF(OR(O1026="",O1026="Sin información"),"",IFERROR(INDEX(Listas!$B$2:$B$9,MATCH(O1026,Listas!$A$2:$A$9,0)),""))</f>
        <v/>
      </c>
      <c r="Q1026" s="25" t="str">
        <f aca="false">IF(OR(O1026="",O1026="Sin información"),"",IFERROR(INDEX(Listas!$C$2:$C$9,MATCH(O1026,Listas!$A$2:$A$9,0)),""))</f>
        <v/>
      </c>
      <c r="R1026" s="22"/>
      <c r="S1026" s="22"/>
      <c r="T1026" s="25" t="str">
        <f aca="false">IF(S1026="","",IFERROR(INDEX(Empleadores!$B$2:$B$601,MATCH(S1026,Empleadores!$A$2:$A$601,0)),"No encontrado"))</f>
        <v/>
      </c>
      <c r="U1026" s="25" t="str">
        <f aca="false">IF(C1026="","",IF(V1026="","No",IF(Config!$C$4-V1026&lt;=Config!$C$15,"Sí","No")))</f>
        <v/>
      </c>
      <c r="V1026" s="23"/>
      <c r="W1026" s="22"/>
      <c r="X1026" s="22"/>
      <c r="Y1026" s="22"/>
      <c r="Z1026" s="27"/>
      <c r="AA1026" s="22"/>
      <c r="AB1026" s="22"/>
    </row>
    <row r="1027" customFormat="false" ht="15" hidden="false" customHeight="false" outlineLevel="0" collapsed="false">
      <c r="A1027" s="22"/>
      <c r="B1027" s="22"/>
      <c r="C1027" s="22"/>
      <c r="D1027" s="22"/>
      <c r="E1027" s="22"/>
      <c r="F1027" s="22"/>
      <c r="G1027" s="23"/>
      <c r="H1027" s="24" t="str">
        <f aca="false">IF(G1027="","",ROUND((Config!$C$4-G1027)/365.25,2))</f>
        <v/>
      </c>
      <c r="I1027" s="25" t="str">
        <f aca="false">IF(H1027="","",IF(H1027&lt;=1,"Tramo 1",IF(H1027&lt;=3,"Tramo 2",IF(H1027&lt;=5,"Tramo 3","Tramo 4"))))</f>
        <v/>
      </c>
      <c r="J1027" s="22"/>
      <c r="K1027" s="22"/>
      <c r="L1027" s="22"/>
      <c r="M1027" s="26"/>
      <c r="N1027" s="22"/>
      <c r="O1027" s="22"/>
      <c r="P1027" s="25" t="str">
        <f aca="false">IF(OR(O1027="",O1027="Sin información"),"",IFERROR(INDEX(Listas!$B$2:$B$9,MATCH(O1027,Listas!$A$2:$A$9,0)),""))</f>
        <v/>
      </c>
      <c r="Q1027" s="25" t="str">
        <f aca="false">IF(OR(O1027="",O1027="Sin información"),"",IFERROR(INDEX(Listas!$C$2:$C$9,MATCH(O1027,Listas!$A$2:$A$9,0)),""))</f>
        <v/>
      </c>
      <c r="R1027" s="22"/>
      <c r="S1027" s="22"/>
      <c r="T1027" s="25" t="str">
        <f aca="false">IF(S1027="","",IFERROR(INDEX(Empleadores!$B$2:$B$601,MATCH(S1027,Empleadores!$A$2:$A$601,0)),"No encontrado"))</f>
        <v/>
      </c>
      <c r="U1027" s="25" t="str">
        <f aca="false">IF(C1027="","",IF(V1027="","No",IF(Config!$C$4-V1027&lt;=Config!$C$15,"Sí","No")))</f>
        <v/>
      </c>
      <c r="V1027" s="23"/>
      <c r="W1027" s="22"/>
      <c r="X1027" s="22"/>
      <c r="Y1027" s="22"/>
      <c r="Z1027" s="27"/>
      <c r="AA1027" s="22"/>
      <c r="AB1027" s="22"/>
    </row>
    <row r="1028" customFormat="false" ht="15" hidden="false" customHeight="false" outlineLevel="0" collapsed="false">
      <c r="A1028" s="22"/>
      <c r="B1028" s="22"/>
      <c r="C1028" s="22"/>
      <c r="D1028" s="22"/>
      <c r="E1028" s="22"/>
      <c r="F1028" s="22"/>
      <c r="G1028" s="23"/>
      <c r="H1028" s="24" t="str">
        <f aca="false">IF(G1028="","",ROUND((Config!$C$4-G1028)/365.25,2))</f>
        <v/>
      </c>
      <c r="I1028" s="25" t="str">
        <f aca="false">IF(H1028="","",IF(H1028&lt;=1,"Tramo 1",IF(H1028&lt;=3,"Tramo 2",IF(H1028&lt;=5,"Tramo 3","Tramo 4"))))</f>
        <v/>
      </c>
      <c r="J1028" s="22"/>
      <c r="K1028" s="22"/>
      <c r="L1028" s="22"/>
      <c r="M1028" s="26"/>
      <c r="N1028" s="22"/>
      <c r="O1028" s="22"/>
      <c r="P1028" s="25" t="str">
        <f aca="false">IF(OR(O1028="",O1028="Sin información"),"",IFERROR(INDEX(Listas!$B$2:$B$9,MATCH(O1028,Listas!$A$2:$A$9,0)),""))</f>
        <v/>
      </c>
      <c r="Q1028" s="25" t="str">
        <f aca="false">IF(OR(O1028="",O1028="Sin información"),"",IFERROR(INDEX(Listas!$C$2:$C$9,MATCH(O1028,Listas!$A$2:$A$9,0)),""))</f>
        <v/>
      </c>
      <c r="R1028" s="22"/>
      <c r="S1028" s="22"/>
      <c r="T1028" s="25" t="str">
        <f aca="false">IF(S1028="","",IFERROR(INDEX(Empleadores!$B$2:$B$601,MATCH(S1028,Empleadores!$A$2:$A$601,0)),"No encontrado"))</f>
        <v/>
      </c>
      <c r="U1028" s="25" t="str">
        <f aca="false">IF(C1028="","",IF(V1028="","No",IF(Config!$C$4-V1028&lt;=Config!$C$15,"Sí","No")))</f>
        <v/>
      </c>
      <c r="V1028" s="23"/>
      <c r="W1028" s="22"/>
      <c r="X1028" s="22"/>
      <c r="Y1028" s="22"/>
      <c r="Z1028" s="27"/>
      <c r="AA1028" s="22"/>
      <c r="AB1028" s="22"/>
    </row>
    <row r="1029" customFormat="false" ht="15" hidden="false" customHeight="false" outlineLevel="0" collapsed="false">
      <c r="A1029" s="22"/>
      <c r="B1029" s="22"/>
      <c r="C1029" s="22"/>
      <c r="D1029" s="22"/>
      <c r="E1029" s="22"/>
      <c r="F1029" s="22"/>
      <c r="G1029" s="23"/>
      <c r="H1029" s="24" t="str">
        <f aca="false">IF(G1029="","",ROUND((Config!$C$4-G1029)/365.25,2))</f>
        <v/>
      </c>
      <c r="I1029" s="25" t="str">
        <f aca="false">IF(H1029="","",IF(H1029&lt;=1,"Tramo 1",IF(H1029&lt;=3,"Tramo 2",IF(H1029&lt;=5,"Tramo 3","Tramo 4"))))</f>
        <v/>
      </c>
      <c r="J1029" s="22"/>
      <c r="K1029" s="22"/>
      <c r="L1029" s="22"/>
      <c r="M1029" s="26"/>
      <c r="N1029" s="22"/>
      <c r="O1029" s="22"/>
      <c r="P1029" s="25" t="str">
        <f aca="false">IF(OR(O1029="",O1029="Sin información"),"",IFERROR(INDEX(Listas!$B$2:$B$9,MATCH(O1029,Listas!$A$2:$A$9,0)),""))</f>
        <v/>
      </c>
      <c r="Q1029" s="25" t="str">
        <f aca="false">IF(OR(O1029="",O1029="Sin información"),"",IFERROR(INDEX(Listas!$C$2:$C$9,MATCH(O1029,Listas!$A$2:$A$9,0)),""))</f>
        <v/>
      </c>
      <c r="R1029" s="22"/>
      <c r="S1029" s="22"/>
      <c r="T1029" s="25" t="str">
        <f aca="false">IF(S1029="","",IFERROR(INDEX(Empleadores!$B$2:$B$601,MATCH(S1029,Empleadores!$A$2:$A$601,0)),"No encontrado"))</f>
        <v/>
      </c>
      <c r="U1029" s="25" t="str">
        <f aca="false">IF(C1029="","",IF(V1029="","No",IF(Config!$C$4-V1029&lt;=Config!$C$15,"Sí","No")))</f>
        <v/>
      </c>
      <c r="V1029" s="23"/>
      <c r="W1029" s="22"/>
      <c r="X1029" s="22"/>
      <c r="Y1029" s="22"/>
      <c r="Z1029" s="27"/>
      <c r="AA1029" s="22"/>
      <c r="AB1029" s="22"/>
    </row>
    <row r="1030" customFormat="false" ht="15" hidden="false" customHeight="false" outlineLevel="0" collapsed="false">
      <c r="A1030" s="22"/>
      <c r="B1030" s="22"/>
      <c r="C1030" s="22"/>
      <c r="D1030" s="22"/>
      <c r="E1030" s="22"/>
      <c r="F1030" s="22"/>
      <c r="G1030" s="23"/>
      <c r="H1030" s="24" t="str">
        <f aca="false">IF(G1030="","",ROUND((Config!$C$4-G1030)/365.25,2))</f>
        <v/>
      </c>
      <c r="I1030" s="25" t="str">
        <f aca="false">IF(H1030="","",IF(H1030&lt;=1,"Tramo 1",IF(H1030&lt;=3,"Tramo 2",IF(H1030&lt;=5,"Tramo 3","Tramo 4"))))</f>
        <v/>
      </c>
      <c r="J1030" s="22"/>
      <c r="K1030" s="22"/>
      <c r="L1030" s="22"/>
      <c r="M1030" s="26"/>
      <c r="N1030" s="22"/>
      <c r="O1030" s="22"/>
      <c r="P1030" s="25" t="str">
        <f aca="false">IF(OR(O1030="",O1030="Sin información"),"",IFERROR(INDEX(Listas!$B$2:$B$9,MATCH(O1030,Listas!$A$2:$A$9,0)),""))</f>
        <v/>
      </c>
      <c r="Q1030" s="25" t="str">
        <f aca="false">IF(OR(O1030="",O1030="Sin información"),"",IFERROR(INDEX(Listas!$C$2:$C$9,MATCH(O1030,Listas!$A$2:$A$9,0)),""))</f>
        <v/>
      </c>
      <c r="R1030" s="22"/>
      <c r="S1030" s="22"/>
      <c r="T1030" s="25" t="str">
        <f aca="false">IF(S1030="","",IFERROR(INDEX(Empleadores!$B$2:$B$601,MATCH(S1030,Empleadores!$A$2:$A$601,0)),"No encontrado"))</f>
        <v/>
      </c>
      <c r="U1030" s="25" t="str">
        <f aca="false">IF(C1030="","",IF(V1030="","No",IF(Config!$C$4-V1030&lt;=Config!$C$15,"Sí","No")))</f>
        <v/>
      </c>
      <c r="V1030" s="23"/>
      <c r="W1030" s="22"/>
      <c r="X1030" s="22"/>
      <c r="Y1030" s="22"/>
      <c r="Z1030" s="27"/>
      <c r="AA1030" s="22"/>
      <c r="AB1030" s="22"/>
    </row>
    <row r="1031" customFormat="false" ht="15" hidden="false" customHeight="false" outlineLevel="0" collapsed="false">
      <c r="A1031" s="22"/>
      <c r="B1031" s="22"/>
      <c r="C1031" s="22"/>
      <c r="D1031" s="22"/>
      <c r="E1031" s="22"/>
      <c r="F1031" s="22"/>
      <c r="G1031" s="23"/>
      <c r="H1031" s="24" t="str">
        <f aca="false">IF(G1031="","",ROUND((Config!$C$4-G1031)/365.25,2))</f>
        <v/>
      </c>
      <c r="I1031" s="25" t="str">
        <f aca="false">IF(H1031="","",IF(H1031&lt;=1,"Tramo 1",IF(H1031&lt;=3,"Tramo 2",IF(H1031&lt;=5,"Tramo 3","Tramo 4"))))</f>
        <v/>
      </c>
      <c r="J1031" s="22"/>
      <c r="K1031" s="22"/>
      <c r="L1031" s="22"/>
      <c r="M1031" s="26"/>
      <c r="N1031" s="22"/>
      <c r="O1031" s="22"/>
      <c r="P1031" s="25" t="str">
        <f aca="false">IF(OR(O1031="",O1031="Sin información"),"",IFERROR(INDEX(Listas!$B$2:$B$9,MATCH(O1031,Listas!$A$2:$A$9,0)),""))</f>
        <v/>
      </c>
      <c r="Q1031" s="25" t="str">
        <f aca="false">IF(OR(O1031="",O1031="Sin información"),"",IFERROR(INDEX(Listas!$C$2:$C$9,MATCH(O1031,Listas!$A$2:$A$9,0)),""))</f>
        <v/>
      </c>
      <c r="R1031" s="22"/>
      <c r="S1031" s="22"/>
      <c r="T1031" s="25" t="str">
        <f aca="false">IF(S1031="","",IFERROR(INDEX(Empleadores!$B$2:$B$601,MATCH(S1031,Empleadores!$A$2:$A$601,0)),"No encontrado"))</f>
        <v/>
      </c>
      <c r="U1031" s="25" t="str">
        <f aca="false">IF(C1031="","",IF(V1031="","No",IF(Config!$C$4-V1031&lt;=Config!$C$15,"Sí","No")))</f>
        <v/>
      </c>
      <c r="V1031" s="23"/>
      <c r="W1031" s="22"/>
      <c r="X1031" s="22"/>
      <c r="Y1031" s="22"/>
      <c r="Z1031" s="27"/>
      <c r="AA1031" s="22"/>
      <c r="AB1031" s="22"/>
    </row>
    <row r="1032" customFormat="false" ht="15" hidden="false" customHeight="false" outlineLevel="0" collapsed="false">
      <c r="A1032" s="22"/>
      <c r="B1032" s="22"/>
      <c r="C1032" s="22"/>
      <c r="D1032" s="22"/>
      <c r="E1032" s="22"/>
      <c r="F1032" s="22"/>
      <c r="G1032" s="23"/>
      <c r="H1032" s="24" t="str">
        <f aca="false">IF(G1032="","",ROUND((Config!$C$4-G1032)/365.25,2))</f>
        <v/>
      </c>
      <c r="I1032" s="25" t="str">
        <f aca="false">IF(H1032="","",IF(H1032&lt;=1,"Tramo 1",IF(H1032&lt;=3,"Tramo 2",IF(H1032&lt;=5,"Tramo 3","Tramo 4"))))</f>
        <v/>
      </c>
      <c r="J1032" s="22"/>
      <c r="K1032" s="22"/>
      <c r="L1032" s="22"/>
      <c r="M1032" s="26"/>
      <c r="N1032" s="22"/>
      <c r="O1032" s="22"/>
      <c r="P1032" s="25" t="str">
        <f aca="false">IF(OR(O1032="",O1032="Sin información"),"",IFERROR(INDEX(Listas!$B$2:$B$9,MATCH(O1032,Listas!$A$2:$A$9,0)),""))</f>
        <v/>
      </c>
      <c r="Q1032" s="25" t="str">
        <f aca="false">IF(OR(O1032="",O1032="Sin información"),"",IFERROR(INDEX(Listas!$C$2:$C$9,MATCH(O1032,Listas!$A$2:$A$9,0)),""))</f>
        <v/>
      </c>
      <c r="R1032" s="22"/>
      <c r="S1032" s="22"/>
      <c r="T1032" s="25" t="str">
        <f aca="false">IF(S1032="","",IFERROR(INDEX(Empleadores!$B$2:$B$601,MATCH(S1032,Empleadores!$A$2:$A$601,0)),"No encontrado"))</f>
        <v/>
      </c>
      <c r="U1032" s="25" t="str">
        <f aca="false">IF(C1032="","",IF(V1032="","No",IF(Config!$C$4-V1032&lt;=Config!$C$15,"Sí","No")))</f>
        <v/>
      </c>
      <c r="V1032" s="23"/>
      <c r="W1032" s="22"/>
      <c r="X1032" s="22"/>
      <c r="Y1032" s="22"/>
      <c r="Z1032" s="27"/>
      <c r="AA1032" s="22"/>
      <c r="AB1032" s="22"/>
    </row>
    <row r="1033" customFormat="false" ht="15" hidden="false" customHeight="false" outlineLevel="0" collapsed="false">
      <c r="A1033" s="22"/>
      <c r="B1033" s="22"/>
      <c r="C1033" s="22"/>
      <c r="D1033" s="22"/>
      <c r="E1033" s="22"/>
      <c r="F1033" s="22"/>
      <c r="G1033" s="23"/>
      <c r="H1033" s="24" t="str">
        <f aca="false">IF(G1033="","",ROUND((Config!$C$4-G1033)/365.25,2))</f>
        <v/>
      </c>
      <c r="I1033" s="25" t="str">
        <f aca="false">IF(H1033="","",IF(H1033&lt;=1,"Tramo 1",IF(H1033&lt;=3,"Tramo 2",IF(H1033&lt;=5,"Tramo 3","Tramo 4"))))</f>
        <v/>
      </c>
      <c r="J1033" s="22"/>
      <c r="K1033" s="22"/>
      <c r="L1033" s="22"/>
      <c r="M1033" s="26"/>
      <c r="N1033" s="22"/>
      <c r="O1033" s="22"/>
      <c r="P1033" s="25" t="str">
        <f aca="false">IF(OR(O1033="",O1033="Sin información"),"",IFERROR(INDEX(Listas!$B$2:$B$9,MATCH(O1033,Listas!$A$2:$A$9,0)),""))</f>
        <v/>
      </c>
      <c r="Q1033" s="25" t="str">
        <f aca="false">IF(OR(O1033="",O1033="Sin información"),"",IFERROR(INDEX(Listas!$C$2:$C$9,MATCH(O1033,Listas!$A$2:$A$9,0)),""))</f>
        <v/>
      </c>
      <c r="R1033" s="22"/>
      <c r="S1033" s="22"/>
      <c r="T1033" s="25" t="str">
        <f aca="false">IF(S1033="","",IFERROR(INDEX(Empleadores!$B$2:$B$601,MATCH(S1033,Empleadores!$A$2:$A$601,0)),"No encontrado"))</f>
        <v/>
      </c>
      <c r="U1033" s="25" t="str">
        <f aca="false">IF(C1033="","",IF(V1033="","No",IF(Config!$C$4-V1033&lt;=Config!$C$15,"Sí","No")))</f>
        <v/>
      </c>
      <c r="V1033" s="23"/>
      <c r="W1033" s="22"/>
      <c r="X1033" s="22"/>
      <c r="Y1033" s="22"/>
      <c r="Z1033" s="27"/>
      <c r="AA1033" s="22"/>
      <c r="AB1033" s="22"/>
    </row>
    <row r="1034" customFormat="false" ht="15" hidden="false" customHeight="false" outlineLevel="0" collapsed="false">
      <c r="A1034" s="22"/>
      <c r="B1034" s="22"/>
      <c r="C1034" s="22"/>
      <c r="D1034" s="22"/>
      <c r="E1034" s="22"/>
      <c r="F1034" s="22"/>
      <c r="G1034" s="23"/>
      <c r="H1034" s="24" t="str">
        <f aca="false">IF(G1034="","",ROUND((Config!$C$4-G1034)/365.25,2))</f>
        <v/>
      </c>
      <c r="I1034" s="25" t="str">
        <f aca="false">IF(H1034="","",IF(H1034&lt;=1,"Tramo 1",IF(H1034&lt;=3,"Tramo 2",IF(H1034&lt;=5,"Tramo 3","Tramo 4"))))</f>
        <v/>
      </c>
      <c r="J1034" s="22"/>
      <c r="K1034" s="22"/>
      <c r="L1034" s="22"/>
      <c r="M1034" s="26"/>
      <c r="N1034" s="22"/>
      <c r="O1034" s="22"/>
      <c r="P1034" s="25" t="str">
        <f aca="false">IF(OR(O1034="",O1034="Sin información"),"",IFERROR(INDEX(Listas!$B$2:$B$9,MATCH(O1034,Listas!$A$2:$A$9,0)),""))</f>
        <v/>
      </c>
      <c r="Q1034" s="25" t="str">
        <f aca="false">IF(OR(O1034="",O1034="Sin información"),"",IFERROR(INDEX(Listas!$C$2:$C$9,MATCH(O1034,Listas!$A$2:$A$9,0)),""))</f>
        <v/>
      </c>
      <c r="R1034" s="22"/>
      <c r="S1034" s="22"/>
      <c r="T1034" s="25" t="str">
        <f aca="false">IF(S1034="","",IFERROR(INDEX(Empleadores!$B$2:$B$601,MATCH(S1034,Empleadores!$A$2:$A$601,0)),"No encontrado"))</f>
        <v/>
      </c>
      <c r="U1034" s="25" t="str">
        <f aca="false">IF(C1034="","",IF(V1034="","No",IF(Config!$C$4-V1034&lt;=Config!$C$15,"Sí","No")))</f>
        <v/>
      </c>
      <c r="V1034" s="23"/>
      <c r="W1034" s="22"/>
      <c r="X1034" s="22"/>
      <c r="Y1034" s="22"/>
      <c r="Z1034" s="27"/>
      <c r="AA1034" s="22"/>
      <c r="AB1034" s="22"/>
    </row>
    <row r="1035" customFormat="false" ht="15" hidden="false" customHeight="false" outlineLevel="0" collapsed="false">
      <c r="A1035" s="22"/>
      <c r="B1035" s="22"/>
      <c r="C1035" s="22"/>
      <c r="D1035" s="22"/>
      <c r="E1035" s="22"/>
      <c r="F1035" s="22"/>
      <c r="G1035" s="23"/>
      <c r="H1035" s="24" t="str">
        <f aca="false">IF(G1035="","",ROUND((Config!$C$4-G1035)/365.25,2))</f>
        <v/>
      </c>
      <c r="I1035" s="25" t="str">
        <f aca="false">IF(H1035="","",IF(H1035&lt;=1,"Tramo 1",IF(H1035&lt;=3,"Tramo 2",IF(H1035&lt;=5,"Tramo 3","Tramo 4"))))</f>
        <v/>
      </c>
      <c r="J1035" s="22"/>
      <c r="K1035" s="22"/>
      <c r="L1035" s="22"/>
      <c r="M1035" s="26"/>
      <c r="N1035" s="22"/>
      <c r="O1035" s="22"/>
      <c r="P1035" s="25" t="str">
        <f aca="false">IF(OR(O1035="",O1035="Sin información"),"",IFERROR(INDEX(Listas!$B$2:$B$9,MATCH(O1035,Listas!$A$2:$A$9,0)),""))</f>
        <v/>
      </c>
      <c r="Q1035" s="25" t="str">
        <f aca="false">IF(OR(O1035="",O1035="Sin información"),"",IFERROR(INDEX(Listas!$C$2:$C$9,MATCH(O1035,Listas!$A$2:$A$9,0)),""))</f>
        <v/>
      </c>
      <c r="R1035" s="22"/>
      <c r="S1035" s="22"/>
      <c r="T1035" s="25" t="str">
        <f aca="false">IF(S1035="","",IFERROR(INDEX(Empleadores!$B$2:$B$601,MATCH(S1035,Empleadores!$A$2:$A$601,0)),"No encontrado"))</f>
        <v/>
      </c>
      <c r="U1035" s="25" t="str">
        <f aca="false">IF(C1035="","",IF(V1035="","No",IF(Config!$C$4-V1035&lt;=Config!$C$15,"Sí","No")))</f>
        <v/>
      </c>
      <c r="V1035" s="23"/>
      <c r="W1035" s="22"/>
      <c r="X1035" s="22"/>
      <c r="Y1035" s="22"/>
      <c r="Z1035" s="27"/>
      <c r="AA1035" s="22"/>
      <c r="AB1035" s="22"/>
    </row>
    <row r="1036" customFormat="false" ht="15" hidden="false" customHeight="false" outlineLevel="0" collapsed="false">
      <c r="A1036" s="22"/>
      <c r="B1036" s="22"/>
      <c r="C1036" s="22"/>
      <c r="D1036" s="22"/>
      <c r="E1036" s="22"/>
      <c r="F1036" s="22"/>
      <c r="G1036" s="23"/>
      <c r="H1036" s="24" t="str">
        <f aca="false">IF(G1036="","",ROUND((Config!$C$4-G1036)/365.25,2))</f>
        <v/>
      </c>
      <c r="I1036" s="25" t="str">
        <f aca="false">IF(H1036="","",IF(H1036&lt;=1,"Tramo 1",IF(H1036&lt;=3,"Tramo 2",IF(H1036&lt;=5,"Tramo 3","Tramo 4"))))</f>
        <v/>
      </c>
      <c r="J1036" s="22"/>
      <c r="K1036" s="22"/>
      <c r="L1036" s="22"/>
      <c r="M1036" s="26"/>
      <c r="N1036" s="22"/>
      <c r="O1036" s="22"/>
      <c r="P1036" s="25" t="str">
        <f aca="false">IF(OR(O1036="",O1036="Sin información"),"",IFERROR(INDEX(Listas!$B$2:$B$9,MATCH(O1036,Listas!$A$2:$A$9,0)),""))</f>
        <v/>
      </c>
      <c r="Q1036" s="25" t="str">
        <f aca="false">IF(OR(O1036="",O1036="Sin información"),"",IFERROR(INDEX(Listas!$C$2:$C$9,MATCH(O1036,Listas!$A$2:$A$9,0)),""))</f>
        <v/>
      </c>
      <c r="R1036" s="22"/>
      <c r="S1036" s="22"/>
      <c r="T1036" s="25" t="str">
        <f aca="false">IF(S1036="","",IFERROR(INDEX(Empleadores!$B$2:$B$601,MATCH(S1036,Empleadores!$A$2:$A$601,0)),"No encontrado"))</f>
        <v/>
      </c>
      <c r="U1036" s="25" t="str">
        <f aca="false">IF(C1036="","",IF(V1036="","No",IF(Config!$C$4-V1036&lt;=Config!$C$15,"Sí","No")))</f>
        <v/>
      </c>
      <c r="V1036" s="23"/>
      <c r="W1036" s="22"/>
      <c r="X1036" s="22"/>
      <c r="Y1036" s="22"/>
      <c r="Z1036" s="27"/>
      <c r="AA1036" s="22"/>
      <c r="AB1036" s="22"/>
    </row>
    <row r="1037" customFormat="false" ht="15" hidden="false" customHeight="false" outlineLevel="0" collapsed="false">
      <c r="A1037" s="22"/>
      <c r="B1037" s="22"/>
      <c r="C1037" s="22"/>
      <c r="D1037" s="22"/>
      <c r="E1037" s="22"/>
      <c r="F1037" s="22"/>
      <c r="G1037" s="23"/>
      <c r="H1037" s="24" t="str">
        <f aca="false">IF(G1037="","",ROUND((Config!$C$4-G1037)/365.25,2))</f>
        <v/>
      </c>
      <c r="I1037" s="25" t="str">
        <f aca="false">IF(H1037="","",IF(H1037&lt;=1,"Tramo 1",IF(H1037&lt;=3,"Tramo 2",IF(H1037&lt;=5,"Tramo 3","Tramo 4"))))</f>
        <v/>
      </c>
      <c r="J1037" s="22"/>
      <c r="K1037" s="22"/>
      <c r="L1037" s="22"/>
      <c r="M1037" s="26"/>
      <c r="N1037" s="22"/>
      <c r="O1037" s="22"/>
      <c r="P1037" s="25" t="str">
        <f aca="false">IF(OR(O1037="",O1037="Sin información"),"",IFERROR(INDEX(Listas!$B$2:$B$9,MATCH(O1037,Listas!$A$2:$A$9,0)),""))</f>
        <v/>
      </c>
      <c r="Q1037" s="25" t="str">
        <f aca="false">IF(OR(O1037="",O1037="Sin información"),"",IFERROR(INDEX(Listas!$C$2:$C$9,MATCH(O1037,Listas!$A$2:$A$9,0)),""))</f>
        <v/>
      </c>
      <c r="R1037" s="22"/>
      <c r="S1037" s="22"/>
      <c r="T1037" s="25" t="str">
        <f aca="false">IF(S1037="","",IFERROR(INDEX(Empleadores!$B$2:$B$601,MATCH(S1037,Empleadores!$A$2:$A$601,0)),"No encontrado"))</f>
        <v/>
      </c>
      <c r="U1037" s="25" t="str">
        <f aca="false">IF(C1037="","",IF(V1037="","No",IF(Config!$C$4-V1037&lt;=Config!$C$15,"Sí","No")))</f>
        <v/>
      </c>
      <c r="V1037" s="23"/>
      <c r="W1037" s="22"/>
      <c r="X1037" s="22"/>
      <c r="Y1037" s="22"/>
      <c r="Z1037" s="27"/>
      <c r="AA1037" s="22"/>
      <c r="AB1037" s="22"/>
    </row>
    <row r="1038" customFormat="false" ht="15" hidden="false" customHeight="false" outlineLevel="0" collapsed="false">
      <c r="A1038" s="22"/>
      <c r="B1038" s="22"/>
      <c r="C1038" s="22"/>
      <c r="D1038" s="22"/>
      <c r="E1038" s="22"/>
      <c r="F1038" s="22"/>
      <c r="G1038" s="23"/>
      <c r="H1038" s="24" t="str">
        <f aca="false">IF(G1038="","",ROUND((Config!$C$4-G1038)/365.25,2))</f>
        <v/>
      </c>
      <c r="I1038" s="25" t="str">
        <f aca="false">IF(H1038="","",IF(H1038&lt;=1,"Tramo 1",IF(H1038&lt;=3,"Tramo 2",IF(H1038&lt;=5,"Tramo 3","Tramo 4"))))</f>
        <v/>
      </c>
      <c r="J1038" s="22"/>
      <c r="K1038" s="22"/>
      <c r="L1038" s="22"/>
      <c r="M1038" s="26"/>
      <c r="N1038" s="22"/>
      <c r="O1038" s="22"/>
      <c r="P1038" s="25" t="str">
        <f aca="false">IF(OR(O1038="",O1038="Sin información"),"",IFERROR(INDEX(Listas!$B$2:$B$9,MATCH(O1038,Listas!$A$2:$A$9,0)),""))</f>
        <v/>
      </c>
      <c r="Q1038" s="25" t="str">
        <f aca="false">IF(OR(O1038="",O1038="Sin información"),"",IFERROR(INDEX(Listas!$C$2:$C$9,MATCH(O1038,Listas!$A$2:$A$9,0)),""))</f>
        <v/>
      </c>
      <c r="R1038" s="22"/>
      <c r="S1038" s="22"/>
      <c r="T1038" s="25" t="str">
        <f aca="false">IF(S1038="","",IFERROR(INDEX(Empleadores!$B$2:$B$601,MATCH(S1038,Empleadores!$A$2:$A$601,0)),"No encontrado"))</f>
        <v/>
      </c>
      <c r="U1038" s="25" t="str">
        <f aca="false">IF(C1038="","",IF(V1038="","No",IF(Config!$C$4-V1038&lt;=Config!$C$15,"Sí","No")))</f>
        <v/>
      </c>
      <c r="V1038" s="23"/>
      <c r="W1038" s="22"/>
      <c r="X1038" s="22"/>
      <c r="Y1038" s="22"/>
      <c r="Z1038" s="27"/>
      <c r="AA1038" s="22"/>
      <c r="AB1038" s="22"/>
    </row>
    <row r="1039" customFormat="false" ht="15" hidden="false" customHeight="false" outlineLevel="0" collapsed="false">
      <c r="A1039" s="22"/>
      <c r="B1039" s="22"/>
      <c r="C1039" s="22"/>
      <c r="D1039" s="22"/>
      <c r="E1039" s="22"/>
      <c r="F1039" s="22"/>
      <c r="G1039" s="23"/>
      <c r="H1039" s="24" t="str">
        <f aca="false">IF(G1039="","",ROUND((Config!$C$4-G1039)/365.25,2))</f>
        <v/>
      </c>
      <c r="I1039" s="25" t="str">
        <f aca="false">IF(H1039="","",IF(H1039&lt;=1,"Tramo 1",IF(H1039&lt;=3,"Tramo 2",IF(H1039&lt;=5,"Tramo 3","Tramo 4"))))</f>
        <v/>
      </c>
      <c r="J1039" s="22"/>
      <c r="K1039" s="22"/>
      <c r="L1039" s="22"/>
      <c r="M1039" s="26"/>
      <c r="N1039" s="22"/>
      <c r="O1039" s="22"/>
      <c r="P1039" s="25" t="str">
        <f aca="false">IF(OR(O1039="",O1039="Sin información"),"",IFERROR(INDEX(Listas!$B$2:$B$9,MATCH(O1039,Listas!$A$2:$A$9,0)),""))</f>
        <v/>
      </c>
      <c r="Q1039" s="25" t="str">
        <f aca="false">IF(OR(O1039="",O1039="Sin información"),"",IFERROR(INDEX(Listas!$C$2:$C$9,MATCH(O1039,Listas!$A$2:$A$9,0)),""))</f>
        <v/>
      </c>
      <c r="R1039" s="22"/>
      <c r="S1039" s="22"/>
      <c r="T1039" s="25" t="str">
        <f aca="false">IF(S1039="","",IFERROR(INDEX(Empleadores!$B$2:$B$601,MATCH(S1039,Empleadores!$A$2:$A$601,0)),"No encontrado"))</f>
        <v/>
      </c>
      <c r="U1039" s="25" t="str">
        <f aca="false">IF(C1039="","",IF(V1039="","No",IF(Config!$C$4-V1039&lt;=Config!$C$15,"Sí","No")))</f>
        <v/>
      </c>
      <c r="V1039" s="23"/>
      <c r="W1039" s="22"/>
      <c r="X1039" s="22"/>
      <c r="Y1039" s="22"/>
      <c r="Z1039" s="27"/>
      <c r="AA1039" s="22"/>
      <c r="AB1039" s="22"/>
    </row>
    <row r="1040" customFormat="false" ht="15" hidden="false" customHeight="false" outlineLevel="0" collapsed="false">
      <c r="A1040" s="22"/>
      <c r="B1040" s="22"/>
      <c r="C1040" s="22"/>
      <c r="D1040" s="22"/>
      <c r="E1040" s="22"/>
      <c r="F1040" s="22"/>
      <c r="G1040" s="23"/>
      <c r="H1040" s="24" t="str">
        <f aca="false">IF(G1040="","",ROUND((Config!$C$4-G1040)/365.25,2))</f>
        <v/>
      </c>
      <c r="I1040" s="25" t="str">
        <f aca="false">IF(H1040="","",IF(H1040&lt;=1,"Tramo 1",IF(H1040&lt;=3,"Tramo 2",IF(H1040&lt;=5,"Tramo 3","Tramo 4"))))</f>
        <v/>
      </c>
      <c r="J1040" s="22"/>
      <c r="K1040" s="22"/>
      <c r="L1040" s="22"/>
      <c r="M1040" s="26"/>
      <c r="N1040" s="22"/>
      <c r="O1040" s="22"/>
      <c r="P1040" s="25" t="str">
        <f aca="false">IF(OR(O1040="",O1040="Sin información"),"",IFERROR(INDEX(Listas!$B$2:$B$9,MATCH(O1040,Listas!$A$2:$A$9,0)),""))</f>
        <v/>
      </c>
      <c r="Q1040" s="25" t="str">
        <f aca="false">IF(OR(O1040="",O1040="Sin información"),"",IFERROR(INDEX(Listas!$C$2:$C$9,MATCH(O1040,Listas!$A$2:$A$9,0)),""))</f>
        <v/>
      </c>
      <c r="R1040" s="22"/>
      <c r="S1040" s="22"/>
      <c r="T1040" s="25" t="str">
        <f aca="false">IF(S1040="","",IFERROR(INDEX(Empleadores!$B$2:$B$601,MATCH(S1040,Empleadores!$A$2:$A$601,0)),"No encontrado"))</f>
        <v/>
      </c>
      <c r="U1040" s="25" t="str">
        <f aca="false">IF(C1040="","",IF(V1040="","No",IF(Config!$C$4-V1040&lt;=Config!$C$15,"Sí","No")))</f>
        <v/>
      </c>
      <c r="V1040" s="23"/>
      <c r="W1040" s="22"/>
      <c r="X1040" s="22"/>
      <c r="Y1040" s="22"/>
      <c r="Z1040" s="27"/>
      <c r="AA1040" s="22"/>
      <c r="AB1040" s="22"/>
    </row>
    <row r="1041" customFormat="false" ht="15" hidden="false" customHeight="false" outlineLevel="0" collapsed="false">
      <c r="A1041" s="22"/>
      <c r="B1041" s="22"/>
      <c r="C1041" s="22"/>
      <c r="D1041" s="22"/>
      <c r="E1041" s="22"/>
      <c r="F1041" s="22"/>
      <c r="G1041" s="23"/>
      <c r="H1041" s="24" t="str">
        <f aca="false">IF(G1041="","",ROUND((Config!$C$4-G1041)/365.25,2))</f>
        <v/>
      </c>
      <c r="I1041" s="25" t="str">
        <f aca="false">IF(H1041="","",IF(H1041&lt;=1,"Tramo 1",IF(H1041&lt;=3,"Tramo 2",IF(H1041&lt;=5,"Tramo 3","Tramo 4"))))</f>
        <v/>
      </c>
      <c r="J1041" s="22"/>
      <c r="K1041" s="22"/>
      <c r="L1041" s="22"/>
      <c r="M1041" s="26"/>
      <c r="N1041" s="22"/>
      <c r="O1041" s="22"/>
      <c r="P1041" s="25" t="str">
        <f aca="false">IF(OR(O1041="",O1041="Sin información"),"",IFERROR(INDEX(Listas!$B$2:$B$9,MATCH(O1041,Listas!$A$2:$A$9,0)),""))</f>
        <v/>
      </c>
      <c r="Q1041" s="25" t="str">
        <f aca="false">IF(OR(O1041="",O1041="Sin información"),"",IFERROR(INDEX(Listas!$C$2:$C$9,MATCH(O1041,Listas!$A$2:$A$9,0)),""))</f>
        <v/>
      </c>
      <c r="R1041" s="22"/>
      <c r="S1041" s="22"/>
      <c r="T1041" s="25" t="str">
        <f aca="false">IF(S1041="","",IFERROR(INDEX(Empleadores!$B$2:$B$601,MATCH(S1041,Empleadores!$A$2:$A$601,0)),"No encontrado"))</f>
        <v/>
      </c>
      <c r="U1041" s="25" t="str">
        <f aca="false">IF(C1041="","",IF(V1041="","No",IF(Config!$C$4-V1041&lt;=Config!$C$15,"Sí","No")))</f>
        <v/>
      </c>
      <c r="V1041" s="23"/>
      <c r="W1041" s="22"/>
      <c r="X1041" s="22"/>
      <c r="Y1041" s="22"/>
      <c r="Z1041" s="27"/>
      <c r="AA1041" s="22"/>
      <c r="AB1041" s="22"/>
    </row>
    <row r="1042" customFormat="false" ht="15" hidden="false" customHeight="false" outlineLevel="0" collapsed="false">
      <c r="A1042" s="22"/>
      <c r="B1042" s="22"/>
      <c r="C1042" s="22"/>
      <c r="D1042" s="22"/>
      <c r="E1042" s="22"/>
      <c r="F1042" s="22"/>
      <c r="G1042" s="23"/>
      <c r="H1042" s="24" t="str">
        <f aca="false">IF(G1042="","",ROUND((Config!$C$4-G1042)/365.25,2))</f>
        <v/>
      </c>
      <c r="I1042" s="25" t="str">
        <f aca="false">IF(H1042="","",IF(H1042&lt;=1,"Tramo 1",IF(H1042&lt;=3,"Tramo 2",IF(H1042&lt;=5,"Tramo 3","Tramo 4"))))</f>
        <v/>
      </c>
      <c r="J1042" s="22"/>
      <c r="K1042" s="22"/>
      <c r="L1042" s="22"/>
      <c r="M1042" s="26"/>
      <c r="N1042" s="22"/>
      <c r="O1042" s="22"/>
      <c r="P1042" s="25" t="str">
        <f aca="false">IF(OR(O1042="",O1042="Sin información"),"",IFERROR(INDEX(Listas!$B$2:$B$9,MATCH(O1042,Listas!$A$2:$A$9,0)),""))</f>
        <v/>
      </c>
      <c r="Q1042" s="25" t="str">
        <f aca="false">IF(OR(O1042="",O1042="Sin información"),"",IFERROR(INDEX(Listas!$C$2:$C$9,MATCH(O1042,Listas!$A$2:$A$9,0)),""))</f>
        <v/>
      </c>
      <c r="R1042" s="22"/>
      <c r="S1042" s="22"/>
      <c r="T1042" s="25" t="str">
        <f aca="false">IF(S1042="","",IFERROR(INDEX(Empleadores!$B$2:$B$601,MATCH(S1042,Empleadores!$A$2:$A$601,0)),"No encontrado"))</f>
        <v/>
      </c>
      <c r="U1042" s="25" t="str">
        <f aca="false">IF(C1042="","",IF(V1042="","No",IF(Config!$C$4-V1042&lt;=Config!$C$15,"Sí","No")))</f>
        <v/>
      </c>
      <c r="V1042" s="23"/>
      <c r="W1042" s="22"/>
      <c r="X1042" s="22"/>
      <c r="Y1042" s="22"/>
      <c r="Z1042" s="27"/>
      <c r="AA1042" s="22"/>
      <c r="AB1042" s="22"/>
    </row>
    <row r="1043" customFormat="false" ht="15" hidden="false" customHeight="false" outlineLevel="0" collapsed="false">
      <c r="A1043" s="22"/>
      <c r="B1043" s="22"/>
      <c r="C1043" s="22"/>
      <c r="D1043" s="22"/>
      <c r="E1043" s="22"/>
      <c r="F1043" s="22"/>
      <c r="G1043" s="23"/>
      <c r="H1043" s="24" t="str">
        <f aca="false">IF(G1043="","",ROUND((Config!$C$4-G1043)/365.25,2))</f>
        <v/>
      </c>
      <c r="I1043" s="25" t="str">
        <f aca="false">IF(H1043="","",IF(H1043&lt;=1,"Tramo 1",IF(H1043&lt;=3,"Tramo 2",IF(H1043&lt;=5,"Tramo 3","Tramo 4"))))</f>
        <v/>
      </c>
      <c r="J1043" s="22"/>
      <c r="K1043" s="22"/>
      <c r="L1043" s="22"/>
      <c r="M1043" s="26"/>
      <c r="N1043" s="22"/>
      <c r="O1043" s="22"/>
      <c r="P1043" s="25" t="str">
        <f aca="false">IF(OR(O1043="",O1043="Sin información"),"",IFERROR(INDEX(Listas!$B$2:$B$9,MATCH(O1043,Listas!$A$2:$A$9,0)),""))</f>
        <v/>
      </c>
      <c r="Q1043" s="25" t="str">
        <f aca="false">IF(OR(O1043="",O1043="Sin información"),"",IFERROR(INDEX(Listas!$C$2:$C$9,MATCH(O1043,Listas!$A$2:$A$9,0)),""))</f>
        <v/>
      </c>
      <c r="R1043" s="22"/>
      <c r="S1043" s="22"/>
      <c r="T1043" s="25" t="str">
        <f aca="false">IF(S1043="","",IFERROR(INDEX(Empleadores!$B$2:$B$601,MATCH(S1043,Empleadores!$A$2:$A$601,0)),"No encontrado"))</f>
        <v/>
      </c>
      <c r="U1043" s="25" t="str">
        <f aca="false">IF(C1043="","",IF(V1043="","No",IF(Config!$C$4-V1043&lt;=Config!$C$15,"Sí","No")))</f>
        <v/>
      </c>
      <c r="V1043" s="23"/>
      <c r="W1043" s="22"/>
      <c r="X1043" s="22"/>
      <c r="Y1043" s="22"/>
      <c r="Z1043" s="27"/>
      <c r="AA1043" s="22"/>
      <c r="AB1043" s="22"/>
    </row>
    <row r="1044" customFormat="false" ht="15" hidden="false" customHeight="false" outlineLevel="0" collapsed="false">
      <c r="A1044" s="22"/>
      <c r="B1044" s="22"/>
      <c r="C1044" s="22"/>
      <c r="D1044" s="22"/>
      <c r="E1044" s="22"/>
      <c r="F1044" s="22"/>
      <c r="G1044" s="23"/>
      <c r="H1044" s="24" t="str">
        <f aca="false">IF(G1044="","",ROUND((Config!$C$4-G1044)/365.25,2))</f>
        <v/>
      </c>
      <c r="I1044" s="25" t="str">
        <f aca="false">IF(H1044="","",IF(H1044&lt;=1,"Tramo 1",IF(H1044&lt;=3,"Tramo 2",IF(H1044&lt;=5,"Tramo 3","Tramo 4"))))</f>
        <v/>
      </c>
      <c r="J1044" s="22"/>
      <c r="K1044" s="22"/>
      <c r="L1044" s="22"/>
      <c r="M1044" s="26"/>
      <c r="N1044" s="22"/>
      <c r="O1044" s="22"/>
      <c r="P1044" s="25" t="str">
        <f aca="false">IF(OR(O1044="",O1044="Sin información"),"",IFERROR(INDEX(Listas!$B$2:$B$9,MATCH(O1044,Listas!$A$2:$A$9,0)),""))</f>
        <v/>
      </c>
      <c r="Q1044" s="25" t="str">
        <f aca="false">IF(OR(O1044="",O1044="Sin información"),"",IFERROR(INDEX(Listas!$C$2:$C$9,MATCH(O1044,Listas!$A$2:$A$9,0)),""))</f>
        <v/>
      </c>
      <c r="R1044" s="22"/>
      <c r="S1044" s="22"/>
      <c r="T1044" s="25" t="str">
        <f aca="false">IF(S1044="","",IFERROR(INDEX(Empleadores!$B$2:$B$601,MATCH(S1044,Empleadores!$A$2:$A$601,0)),"No encontrado"))</f>
        <v/>
      </c>
      <c r="U1044" s="25" t="str">
        <f aca="false">IF(C1044="","",IF(V1044="","No",IF(Config!$C$4-V1044&lt;=Config!$C$15,"Sí","No")))</f>
        <v/>
      </c>
      <c r="V1044" s="23"/>
      <c r="W1044" s="22"/>
      <c r="X1044" s="22"/>
      <c r="Y1044" s="22"/>
      <c r="Z1044" s="27"/>
      <c r="AA1044" s="22"/>
      <c r="AB1044" s="22"/>
    </row>
    <row r="1045" customFormat="false" ht="15" hidden="false" customHeight="false" outlineLevel="0" collapsed="false">
      <c r="A1045" s="22"/>
      <c r="B1045" s="22"/>
      <c r="C1045" s="22"/>
      <c r="D1045" s="22"/>
      <c r="E1045" s="22"/>
      <c r="F1045" s="22"/>
      <c r="G1045" s="23"/>
      <c r="H1045" s="24" t="str">
        <f aca="false">IF(G1045="","",ROUND((Config!$C$4-G1045)/365.25,2))</f>
        <v/>
      </c>
      <c r="I1045" s="25" t="str">
        <f aca="false">IF(H1045="","",IF(H1045&lt;=1,"Tramo 1",IF(H1045&lt;=3,"Tramo 2",IF(H1045&lt;=5,"Tramo 3","Tramo 4"))))</f>
        <v/>
      </c>
      <c r="J1045" s="22"/>
      <c r="K1045" s="22"/>
      <c r="L1045" s="22"/>
      <c r="M1045" s="26"/>
      <c r="N1045" s="22"/>
      <c r="O1045" s="22"/>
      <c r="P1045" s="25" t="str">
        <f aca="false">IF(OR(O1045="",O1045="Sin información"),"",IFERROR(INDEX(Listas!$B$2:$B$9,MATCH(O1045,Listas!$A$2:$A$9,0)),""))</f>
        <v/>
      </c>
      <c r="Q1045" s="25" t="str">
        <f aca="false">IF(OR(O1045="",O1045="Sin información"),"",IFERROR(INDEX(Listas!$C$2:$C$9,MATCH(O1045,Listas!$A$2:$A$9,0)),""))</f>
        <v/>
      </c>
      <c r="R1045" s="22"/>
      <c r="S1045" s="22"/>
      <c r="T1045" s="25" t="str">
        <f aca="false">IF(S1045="","",IFERROR(INDEX(Empleadores!$B$2:$B$601,MATCH(S1045,Empleadores!$A$2:$A$601,0)),"No encontrado"))</f>
        <v/>
      </c>
      <c r="U1045" s="25" t="str">
        <f aca="false">IF(C1045="","",IF(V1045="","No",IF(Config!$C$4-V1045&lt;=Config!$C$15,"Sí","No")))</f>
        <v/>
      </c>
      <c r="V1045" s="23"/>
      <c r="W1045" s="22"/>
      <c r="X1045" s="22"/>
      <c r="Y1045" s="22"/>
      <c r="Z1045" s="27"/>
      <c r="AA1045" s="22"/>
      <c r="AB1045" s="22"/>
    </row>
    <row r="1046" customFormat="false" ht="15" hidden="false" customHeight="false" outlineLevel="0" collapsed="false">
      <c r="A1046" s="22"/>
      <c r="B1046" s="22"/>
      <c r="C1046" s="22"/>
      <c r="D1046" s="22"/>
      <c r="E1046" s="22"/>
      <c r="F1046" s="22"/>
      <c r="G1046" s="23"/>
      <c r="H1046" s="24" t="str">
        <f aca="false">IF(G1046="","",ROUND((Config!$C$4-G1046)/365.25,2))</f>
        <v/>
      </c>
      <c r="I1046" s="25" t="str">
        <f aca="false">IF(H1046="","",IF(H1046&lt;=1,"Tramo 1",IF(H1046&lt;=3,"Tramo 2",IF(H1046&lt;=5,"Tramo 3","Tramo 4"))))</f>
        <v/>
      </c>
      <c r="J1046" s="22"/>
      <c r="K1046" s="22"/>
      <c r="L1046" s="22"/>
      <c r="M1046" s="26"/>
      <c r="N1046" s="22"/>
      <c r="O1046" s="22"/>
      <c r="P1046" s="25" t="str">
        <f aca="false">IF(OR(O1046="",O1046="Sin información"),"",IFERROR(INDEX(Listas!$B$2:$B$9,MATCH(O1046,Listas!$A$2:$A$9,0)),""))</f>
        <v/>
      </c>
      <c r="Q1046" s="25" t="str">
        <f aca="false">IF(OR(O1046="",O1046="Sin información"),"",IFERROR(INDEX(Listas!$C$2:$C$9,MATCH(O1046,Listas!$A$2:$A$9,0)),""))</f>
        <v/>
      </c>
      <c r="R1046" s="22"/>
      <c r="S1046" s="22"/>
      <c r="T1046" s="25" t="str">
        <f aca="false">IF(S1046="","",IFERROR(INDEX(Empleadores!$B$2:$B$601,MATCH(S1046,Empleadores!$A$2:$A$601,0)),"No encontrado"))</f>
        <v/>
      </c>
      <c r="U1046" s="25" t="str">
        <f aca="false">IF(C1046="","",IF(V1046="","No",IF(Config!$C$4-V1046&lt;=Config!$C$15,"Sí","No")))</f>
        <v/>
      </c>
      <c r="V1046" s="23"/>
      <c r="W1046" s="22"/>
      <c r="X1046" s="22"/>
      <c r="Y1046" s="22"/>
      <c r="Z1046" s="27"/>
      <c r="AA1046" s="22"/>
      <c r="AB1046" s="22"/>
    </row>
    <row r="1047" customFormat="false" ht="15" hidden="false" customHeight="false" outlineLevel="0" collapsed="false">
      <c r="A1047" s="22"/>
      <c r="B1047" s="22"/>
      <c r="C1047" s="22"/>
      <c r="D1047" s="22"/>
      <c r="E1047" s="22"/>
      <c r="F1047" s="22"/>
      <c r="G1047" s="23"/>
      <c r="H1047" s="24" t="str">
        <f aca="false">IF(G1047="","",ROUND((Config!$C$4-G1047)/365.25,2))</f>
        <v/>
      </c>
      <c r="I1047" s="25" t="str">
        <f aca="false">IF(H1047="","",IF(H1047&lt;=1,"Tramo 1",IF(H1047&lt;=3,"Tramo 2",IF(H1047&lt;=5,"Tramo 3","Tramo 4"))))</f>
        <v/>
      </c>
      <c r="J1047" s="22"/>
      <c r="K1047" s="22"/>
      <c r="L1047" s="22"/>
      <c r="M1047" s="26"/>
      <c r="N1047" s="22"/>
      <c r="O1047" s="22"/>
      <c r="P1047" s="25" t="str">
        <f aca="false">IF(OR(O1047="",O1047="Sin información"),"",IFERROR(INDEX(Listas!$B$2:$B$9,MATCH(O1047,Listas!$A$2:$A$9,0)),""))</f>
        <v/>
      </c>
      <c r="Q1047" s="25" t="str">
        <f aca="false">IF(OR(O1047="",O1047="Sin información"),"",IFERROR(INDEX(Listas!$C$2:$C$9,MATCH(O1047,Listas!$A$2:$A$9,0)),""))</f>
        <v/>
      </c>
      <c r="R1047" s="22"/>
      <c r="S1047" s="22"/>
      <c r="T1047" s="25" t="str">
        <f aca="false">IF(S1047="","",IFERROR(INDEX(Empleadores!$B$2:$B$601,MATCH(S1047,Empleadores!$A$2:$A$601,0)),"No encontrado"))</f>
        <v/>
      </c>
      <c r="U1047" s="25" t="str">
        <f aca="false">IF(C1047="","",IF(V1047="","No",IF(Config!$C$4-V1047&lt;=Config!$C$15,"Sí","No")))</f>
        <v/>
      </c>
      <c r="V1047" s="23"/>
      <c r="W1047" s="22"/>
      <c r="X1047" s="22"/>
      <c r="Y1047" s="22"/>
      <c r="Z1047" s="27"/>
      <c r="AA1047" s="22"/>
      <c r="AB1047" s="22"/>
    </row>
    <row r="1048" customFormat="false" ht="15" hidden="false" customHeight="false" outlineLevel="0" collapsed="false">
      <c r="A1048" s="22"/>
      <c r="B1048" s="22"/>
      <c r="C1048" s="22"/>
      <c r="D1048" s="22"/>
      <c r="E1048" s="22"/>
      <c r="F1048" s="22"/>
      <c r="G1048" s="23"/>
      <c r="H1048" s="24" t="str">
        <f aca="false">IF(G1048="","",ROUND((Config!$C$4-G1048)/365.25,2))</f>
        <v/>
      </c>
      <c r="I1048" s="25" t="str">
        <f aca="false">IF(H1048="","",IF(H1048&lt;=1,"Tramo 1",IF(H1048&lt;=3,"Tramo 2",IF(H1048&lt;=5,"Tramo 3","Tramo 4"))))</f>
        <v/>
      </c>
      <c r="J1048" s="22"/>
      <c r="K1048" s="22"/>
      <c r="L1048" s="22"/>
      <c r="M1048" s="26"/>
      <c r="N1048" s="22"/>
      <c r="O1048" s="22"/>
      <c r="P1048" s="25" t="str">
        <f aca="false">IF(OR(O1048="",O1048="Sin información"),"",IFERROR(INDEX(Listas!$B$2:$B$9,MATCH(O1048,Listas!$A$2:$A$9,0)),""))</f>
        <v/>
      </c>
      <c r="Q1048" s="25" t="str">
        <f aca="false">IF(OR(O1048="",O1048="Sin información"),"",IFERROR(INDEX(Listas!$C$2:$C$9,MATCH(O1048,Listas!$A$2:$A$9,0)),""))</f>
        <v/>
      </c>
      <c r="R1048" s="22"/>
      <c r="S1048" s="22"/>
      <c r="T1048" s="25" t="str">
        <f aca="false">IF(S1048="","",IFERROR(INDEX(Empleadores!$B$2:$B$601,MATCH(S1048,Empleadores!$A$2:$A$601,0)),"No encontrado"))</f>
        <v/>
      </c>
      <c r="U1048" s="25" t="str">
        <f aca="false">IF(C1048="","",IF(V1048="","No",IF(Config!$C$4-V1048&lt;=Config!$C$15,"Sí","No")))</f>
        <v/>
      </c>
      <c r="V1048" s="23"/>
      <c r="W1048" s="22"/>
      <c r="X1048" s="22"/>
      <c r="Y1048" s="22"/>
      <c r="Z1048" s="27"/>
      <c r="AA1048" s="22"/>
      <c r="AB1048" s="22"/>
    </row>
    <row r="1049" customFormat="false" ht="15" hidden="false" customHeight="false" outlineLevel="0" collapsed="false">
      <c r="A1049" s="22"/>
      <c r="B1049" s="22"/>
      <c r="C1049" s="22"/>
      <c r="D1049" s="22"/>
      <c r="E1049" s="22"/>
      <c r="F1049" s="22"/>
      <c r="G1049" s="23"/>
      <c r="H1049" s="24" t="str">
        <f aca="false">IF(G1049="","",ROUND((Config!$C$4-G1049)/365.25,2))</f>
        <v/>
      </c>
      <c r="I1049" s="25" t="str">
        <f aca="false">IF(H1049="","",IF(H1049&lt;=1,"Tramo 1",IF(H1049&lt;=3,"Tramo 2",IF(H1049&lt;=5,"Tramo 3","Tramo 4"))))</f>
        <v/>
      </c>
      <c r="J1049" s="22"/>
      <c r="K1049" s="22"/>
      <c r="L1049" s="22"/>
      <c r="M1049" s="26"/>
      <c r="N1049" s="22"/>
      <c r="O1049" s="22"/>
      <c r="P1049" s="25" t="str">
        <f aca="false">IF(OR(O1049="",O1049="Sin información"),"",IFERROR(INDEX(Listas!$B$2:$B$9,MATCH(O1049,Listas!$A$2:$A$9,0)),""))</f>
        <v/>
      </c>
      <c r="Q1049" s="25" t="str">
        <f aca="false">IF(OR(O1049="",O1049="Sin información"),"",IFERROR(INDEX(Listas!$C$2:$C$9,MATCH(O1049,Listas!$A$2:$A$9,0)),""))</f>
        <v/>
      </c>
      <c r="R1049" s="22"/>
      <c r="S1049" s="22"/>
      <c r="T1049" s="25" t="str">
        <f aca="false">IF(S1049="","",IFERROR(INDEX(Empleadores!$B$2:$B$601,MATCH(S1049,Empleadores!$A$2:$A$601,0)),"No encontrado"))</f>
        <v/>
      </c>
      <c r="U1049" s="25" t="str">
        <f aca="false">IF(C1049="","",IF(V1049="","No",IF(Config!$C$4-V1049&lt;=Config!$C$15,"Sí","No")))</f>
        <v/>
      </c>
      <c r="V1049" s="23"/>
      <c r="W1049" s="22"/>
      <c r="X1049" s="22"/>
      <c r="Y1049" s="22"/>
      <c r="Z1049" s="27"/>
      <c r="AA1049" s="22"/>
      <c r="AB1049" s="22"/>
    </row>
    <row r="1050" customFormat="false" ht="15" hidden="false" customHeight="false" outlineLevel="0" collapsed="false">
      <c r="A1050" s="22"/>
      <c r="B1050" s="22"/>
      <c r="C1050" s="22"/>
      <c r="D1050" s="22"/>
      <c r="E1050" s="22"/>
      <c r="F1050" s="22"/>
      <c r="G1050" s="23"/>
      <c r="H1050" s="24" t="str">
        <f aca="false">IF(G1050="","",ROUND((Config!$C$4-G1050)/365.25,2))</f>
        <v/>
      </c>
      <c r="I1050" s="25" t="str">
        <f aca="false">IF(H1050="","",IF(H1050&lt;=1,"Tramo 1",IF(H1050&lt;=3,"Tramo 2",IF(H1050&lt;=5,"Tramo 3","Tramo 4"))))</f>
        <v/>
      </c>
      <c r="J1050" s="22"/>
      <c r="K1050" s="22"/>
      <c r="L1050" s="22"/>
      <c r="M1050" s="26"/>
      <c r="N1050" s="22"/>
      <c r="O1050" s="22"/>
      <c r="P1050" s="25" t="str">
        <f aca="false">IF(OR(O1050="",O1050="Sin información"),"",IFERROR(INDEX(Listas!$B$2:$B$9,MATCH(O1050,Listas!$A$2:$A$9,0)),""))</f>
        <v/>
      </c>
      <c r="Q1050" s="25" t="str">
        <f aca="false">IF(OR(O1050="",O1050="Sin información"),"",IFERROR(INDEX(Listas!$C$2:$C$9,MATCH(O1050,Listas!$A$2:$A$9,0)),""))</f>
        <v/>
      </c>
      <c r="R1050" s="22"/>
      <c r="S1050" s="22"/>
      <c r="T1050" s="25" t="str">
        <f aca="false">IF(S1050="","",IFERROR(INDEX(Empleadores!$B$2:$B$601,MATCH(S1050,Empleadores!$A$2:$A$601,0)),"No encontrado"))</f>
        <v/>
      </c>
      <c r="U1050" s="25" t="str">
        <f aca="false">IF(C1050="","",IF(V1050="","No",IF(Config!$C$4-V1050&lt;=Config!$C$15,"Sí","No")))</f>
        <v/>
      </c>
      <c r="V1050" s="23"/>
      <c r="W1050" s="22"/>
      <c r="X1050" s="22"/>
      <c r="Y1050" s="22"/>
      <c r="Z1050" s="27"/>
      <c r="AA1050" s="22"/>
      <c r="AB1050" s="22"/>
    </row>
    <row r="1051" customFormat="false" ht="15" hidden="false" customHeight="false" outlineLevel="0" collapsed="false">
      <c r="A1051" s="22"/>
      <c r="B1051" s="22"/>
      <c r="C1051" s="22"/>
      <c r="D1051" s="22"/>
      <c r="E1051" s="22"/>
      <c r="F1051" s="22"/>
      <c r="G1051" s="23"/>
      <c r="H1051" s="24" t="str">
        <f aca="false">IF(G1051="","",ROUND((Config!$C$4-G1051)/365.25,2))</f>
        <v/>
      </c>
      <c r="I1051" s="25" t="str">
        <f aca="false">IF(H1051="","",IF(H1051&lt;=1,"Tramo 1",IF(H1051&lt;=3,"Tramo 2",IF(H1051&lt;=5,"Tramo 3","Tramo 4"))))</f>
        <v/>
      </c>
      <c r="J1051" s="22"/>
      <c r="K1051" s="22"/>
      <c r="L1051" s="22"/>
      <c r="M1051" s="26"/>
      <c r="N1051" s="22"/>
      <c r="O1051" s="22"/>
      <c r="P1051" s="25" t="str">
        <f aca="false">IF(OR(O1051="",O1051="Sin información"),"",IFERROR(INDEX(Listas!$B$2:$B$9,MATCH(O1051,Listas!$A$2:$A$9,0)),""))</f>
        <v/>
      </c>
      <c r="Q1051" s="25" t="str">
        <f aca="false">IF(OR(O1051="",O1051="Sin información"),"",IFERROR(INDEX(Listas!$C$2:$C$9,MATCH(O1051,Listas!$A$2:$A$9,0)),""))</f>
        <v/>
      </c>
      <c r="R1051" s="22"/>
      <c r="S1051" s="22"/>
      <c r="T1051" s="25" t="str">
        <f aca="false">IF(S1051="","",IFERROR(INDEX(Empleadores!$B$2:$B$601,MATCH(S1051,Empleadores!$A$2:$A$601,0)),"No encontrado"))</f>
        <v/>
      </c>
      <c r="U1051" s="25" t="str">
        <f aca="false">IF(C1051="","",IF(V1051="","No",IF(Config!$C$4-V1051&lt;=Config!$C$15,"Sí","No")))</f>
        <v/>
      </c>
      <c r="V1051" s="23"/>
      <c r="W1051" s="22"/>
      <c r="X1051" s="22"/>
      <c r="Y1051" s="22"/>
      <c r="Z1051" s="27"/>
      <c r="AA1051" s="22"/>
      <c r="AB1051" s="22"/>
    </row>
    <row r="1052" customFormat="false" ht="15" hidden="false" customHeight="false" outlineLevel="0" collapsed="false">
      <c r="A1052" s="22"/>
      <c r="B1052" s="22"/>
      <c r="C1052" s="22"/>
      <c r="D1052" s="22"/>
      <c r="E1052" s="22"/>
      <c r="F1052" s="22"/>
      <c r="G1052" s="23"/>
      <c r="H1052" s="24" t="str">
        <f aca="false">IF(G1052="","",ROUND((Config!$C$4-G1052)/365.25,2))</f>
        <v/>
      </c>
      <c r="I1052" s="25" t="str">
        <f aca="false">IF(H1052="","",IF(H1052&lt;=1,"Tramo 1",IF(H1052&lt;=3,"Tramo 2",IF(H1052&lt;=5,"Tramo 3","Tramo 4"))))</f>
        <v/>
      </c>
      <c r="J1052" s="22"/>
      <c r="K1052" s="22"/>
      <c r="L1052" s="22"/>
      <c r="M1052" s="26"/>
      <c r="N1052" s="22"/>
      <c r="O1052" s="22"/>
      <c r="P1052" s="25" t="str">
        <f aca="false">IF(OR(O1052="",O1052="Sin información"),"",IFERROR(INDEX(Listas!$B$2:$B$9,MATCH(O1052,Listas!$A$2:$A$9,0)),""))</f>
        <v/>
      </c>
      <c r="Q1052" s="25" t="str">
        <f aca="false">IF(OR(O1052="",O1052="Sin información"),"",IFERROR(INDEX(Listas!$C$2:$C$9,MATCH(O1052,Listas!$A$2:$A$9,0)),""))</f>
        <v/>
      </c>
      <c r="R1052" s="22"/>
      <c r="S1052" s="22"/>
      <c r="T1052" s="25" t="str">
        <f aca="false">IF(S1052="","",IFERROR(INDEX(Empleadores!$B$2:$B$601,MATCH(S1052,Empleadores!$A$2:$A$601,0)),"No encontrado"))</f>
        <v/>
      </c>
      <c r="U1052" s="25" t="str">
        <f aca="false">IF(C1052="","",IF(V1052="","No",IF(Config!$C$4-V1052&lt;=Config!$C$15,"Sí","No")))</f>
        <v/>
      </c>
      <c r="V1052" s="23"/>
      <c r="W1052" s="22"/>
      <c r="X1052" s="22"/>
      <c r="Y1052" s="22"/>
      <c r="Z1052" s="27"/>
      <c r="AA1052" s="22"/>
      <c r="AB1052" s="22"/>
    </row>
    <row r="1053" customFormat="false" ht="15" hidden="false" customHeight="false" outlineLevel="0" collapsed="false">
      <c r="A1053" s="22"/>
      <c r="B1053" s="22"/>
      <c r="C1053" s="22"/>
      <c r="D1053" s="22"/>
      <c r="E1053" s="22"/>
      <c r="F1053" s="22"/>
      <c r="G1053" s="23"/>
      <c r="H1053" s="24" t="str">
        <f aca="false">IF(G1053="","",ROUND((Config!$C$4-G1053)/365.25,2))</f>
        <v/>
      </c>
      <c r="I1053" s="25" t="str">
        <f aca="false">IF(H1053="","",IF(H1053&lt;=1,"Tramo 1",IF(H1053&lt;=3,"Tramo 2",IF(H1053&lt;=5,"Tramo 3","Tramo 4"))))</f>
        <v/>
      </c>
      <c r="J1053" s="22"/>
      <c r="K1053" s="22"/>
      <c r="L1053" s="22"/>
      <c r="M1053" s="26"/>
      <c r="N1053" s="22"/>
      <c r="O1053" s="22"/>
      <c r="P1053" s="25" t="str">
        <f aca="false">IF(OR(O1053="",O1053="Sin información"),"",IFERROR(INDEX(Listas!$B$2:$B$9,MATCH(O1053,Listas!$A$2:$A$9,0)),""))</f>
        <v/>
      </c>
      <c r="Q1053" s="25" t="str">
        <f aca="false">IF(OR(O1053="",O1053="Sin información"),"",IFERROR(INDEX(Listas!$C$2:$C$9,MATCH(O1053,Listas!$A$2:$A$9,0)),""))</f>
        <v/>
      </c>
      <c r="R1053" s="22"/>
      <c r="S1053" s="22"/>
      <c r="T1053" s="25" t="str">
        <f aca="false">IF(S1053="","",IFERROR(INDEX(Empleadores!$B$2:$B$601,MATCH(S1053,Empleadores!$A$2:$A$601,0)),"No encontrado"))</f>
        <v/>
      </c>
      <c r="U1053" s="25" t="str">
        <f aca="false">IF(C1053="","",IF(V1053="","No",IF(Config!$C$4-V1053&lt;=Config!$C$15,"Sí","No")))</f>
        <v/>
      </c>
      <c r="V1053" s="23"/>
      <c r="W1053" s="22"/>
      <c r="X1053" s="22"/>
      <c r="Y1053" s="22"/>
      <c r="Z1053" s="27"/>
      <c r="AA1053" s="22"/>
      <c r="AB1053" s="22"/>
    </row>
    <row r="1054" customFormat="false" ht="15" hidden="false" customHeight="false" outlineLevel="0" collapsed="false">
      <c r="A1054" s="22"/>
      <c r="B1054" s="22"/>
      <c r="C1054" s="22"/>
      <c r="D1054" s="22"/>
      <c r="E1054" s="22"/>
      <c r="F1054" s="22"/>
      <c r="G1054" s="23"/>
      <c r="H1054" s="24" t="str">
        <f aca="false">IF(G1054="","",ROUND((Config!$C$4-G1054)/365.25,2))</f>
        <v/>
      </c>
      <c r="I1054" s="25" t="str">
        <f aca="false">IF(H1054="","",IF(H1054&lt;=1,"Tramo 1",IF(H1054&lt;=3,"Tramo 2",IF(H1054&lt;=5,"Tramo 3","Tramo 4"))))</f>
        <v/>
      </c>
      <c r="J1054" s="22"/>
      <c r="K1054" s="22"/>
      <c r="L1054" s="22"/>
      <c r="M1054" s="26"/>
      <c r="N1054" s="22"/>
      <c r="O1054" s="22"/>
      <c r="P1054" s="25" t="str">
        <f aca="false">IF(OR(O1054="",O1054="Sin información"),"",IFERROR(INDEX(Listas!$B$2:$B$9,MATCH(O1054,Listas!$A$2:$A$9,0)),""))</f>
        <v/>
      </c>
      <c r="Q1054" s="25" t="str">
        <f aca="false">IF(OR(O1054="",O1054="Sin información"),"",IFERROR(INDEX(Listas!$C$2:$C$9,MATCH(O1054,Listas!$A$2:$A$9,0)),""))</f>
        <v/>
      </c>
      <c r="R1054" s="22"/>
      <c r="S1054" s="22"/>
      <c r="T1054" s="25" t="str">
        <f aca="false">IF(S1054="","",IFERROR(INDEX(Empleadores!$B$2:$B$601,MATCH(S1054,Empleadores!$A$2:$A$601,0)),"No encontrado"))</f>
        <v/>
      </c>
      <c r="U1054" s="25" t="str">
        <f aca="false">IF(C1054="","",IF(V1054="","No",IF(Config!$C$4-V1054&lt;=Config!$C$15,"Sí","No")))</f>
        <v/>
      </c>
      <c r="V1054" s="23"/>
      <c r="W1054" s="22"/>
      <c r="X1054" s="22"/>
      <c r="Y1054" s="22"/>
      <c r="Z1054" s="27"/>
      <c r="AA1054" s="22"/>
      <c r="AB1054" s="22"/>
    </row>
    <row r="1055" customFormat="false" ht="15" hidden="false" customHeight="false" outlineLevel="0" collapsed="false">
      <c r="A1055" s="22"/>
      <c r="B1055" s="22"/>
      <c r="C1055" s="22"/>
      <c r="D1055" s="22"/>
      <c r="E1055" s="22"/>
      <c r="F1055" s="22"/>
      <c r="G1055" s="23"/>
      <c r="H1055" s="24" t="str">
        <f aca="false">IF(G1055="","",ROUND((Config!$C$4-G1055)/365.25,2))</f>
        <v/>
      </c>
      <c r="I1055" s="25" t="str">
        <f aca="false">IF(H1055="","",IF(H1055&lt;=1,"Tramo 1",IF(H1055&lt;=3,"Tramo 2",IF(H1055&lt;=5,"Tramo 3","Tramo 4"))))</f>
        <v/>
      </c>
      <c r="J1055" s="22"/>
      <c r="K1055" s="22"/>
      <c r="L1055" s="22"/>
      <c r="M1055" s="26"/>
      <c r="N1055" s="22"/>
      <c r="O1055" s="22"/>
      <c r="P1055" s="25" t="str">
        <f aca="false">IF(OR(O1055="",O1055="Sin información"),"",IFERROR(INDEX(Listas!$B$2:$B$9,MATCH(O1055,Listas!$A$2:$A$9,0)),""))</f>
        <v/>
      </c>
      <c r="Q1055" s="25" t="str">
        <f aca="false">IF(OR(O1055="",O1055="Sin información"),"",IFERROR(INDEX(Listas!$C$2:$C$9,MATCH(O1055,Listas!$A$2:$A$9,0)),""))</f>
        <v/>
      </c>
      <c r="R1055" s="22"/>
      <c r="S1055" s="22"/>
      <c r="T1055" s="25" t="str">
        <f aca="false">IF(S1055="","",IFERROR(INDEX(Empleadores!$B$2:$B$601,MATCH(S1055,Empleadores!$A$2:$A$601,0)),"No encontrado"))</f>
        <v/>
      </c>
      <c r="U1055" s="25" t="str">
        <f aca="false">IF(C1055="","",IF(V1055="","No",IF(Config!$C$4-V1055&lt;=Config!$C$15,"Sí","No")))</f>
        <v/>
      </c>
      <c r="V1055" s="23"/>
      <c r="W1055" s="22"/>
      <c r="X1055" s="22"/>
      <c r="Y1055" s="22"/>
      <c r="Z1055" s="27"/>
      <c r="AA1055" s="22"/>
      <c r="AB1055" s="22"/>
    </row>
    <row r="1056" customFormat="false" ht="15" hidden="false" customHeight="false" outlineLevel="0" collapsed="false">
      <c r="A1056" s="22"/>
      <c r="B1056" s="22"/>
      <c r="C1056" s="22"/>
      <c r="D1056" s="22"/>
      <c r="E1056" s="22"/>
      <c r="F1056" s="22"/>
      <c r="G1056" s="23"/>
      <c r="H1056" s="24" t="str">
        <f aca="false">IF(G1056="","",ROUND((Config!$C$4-G1056)/365.25,2))</f>
        <v/>
      </c>
      <c r="I1056" s="25" t="str">
        <f aca="false">IF(H1056="","",IF(H1056&lt;=1,"Tramo 1",IF(H1056&lt;=3,"Tramo 2",IF(H1056&lt;=5,"Tramo 3","Tramo 4"))))</f>
        <v/>
      </c>
      <c r="J1056" s="22"/>
      <c r="K1056" s="22"/>
      <c r="L1056" s="22"/>
      <c r="M1056" s="26"/>
      <c r="N1056" s="22"/>
      <c r="O1056" s="22"/>
      <c r="P1056" s="25" t="str">
        <f aca="false">IF(OR(O1056="",O1056="Sin información"),"",IFERROR(INDEX(Listas!$B$2:$B$9,MATCH(O1056,Listas!$A$2:$A$9,0)),""))</f>
        <v/>
      </c>
      <c r="Q1056" s="25" t="str">
        <f aca="false">IF(OR(O1056="",O1056="Sin información"),"",IFERROR(INDEX(Listas!$C$2:$C$9,MATCH(O1056,Listas!$A$2:$A$9,0)),""))</f>
        <v/>
      </c>
      <c r="R1056" s="22"/>
      <c r="S1056" s="22"/>
      <c r="T1056" s="25" t="str">
        <f aca="false">IF(S1056="","",IFERROR(INDEX(Empleadores!$B$2:$B$601,MATCH(S1056,Empleadores!$A$2:$A$601,0)),"No encontrado"))</f>
        <v/>
      </c>
      <c r="U1056" s="25" t="str">
        <f aca="false">IF(C1056="","",IF(V1056="","No",IF(Config!$C$4-V1056&lt;=Config!$C$15,"Sí","No")))</f>
        <v/>
      </c>
      <c r="V1056" s="23"/>
      <c r="W1056" s="22"/>
      <c r="X1056" s="22"/>
      <c r="Y1056" s="22"/>
      <c r="Z1056" s="27"/>
      <c r="AA1056" s="22"/>
      <c r="AB1056" s="22"/>
    </row>
    <row r="1057" customFormat="false" ht="15" hidden="false" customHeight="false" outlineLevel="0" collapsed="false">
      <c r="A1057" s="22"/>
      <c r="B1057" s="22"/>
      <c r="C1057" s="22"/>
      <c r="D1057" s="22"/>
      <c r="E1057" s="22"/>
      <c r="F1057" s="22"/>
      <c r="G1057" s="23"/>
      <c r="H1057" s="24" t="str">
        <f aca="false">IF(G1057="","",ROUND((Config!$C$4-G1057)/365.25,2))</f>
        <v/>
      </c>
      <c r="I1057" s="25" t="str">
        <f aca="false">IF(H1057="","",IF(H1057&lt;=1,"Tramo 1",IF(H1057&lt;=3,"Tramo 2",IF(H1057&lt;=5,"Tramo 3","Tramo 4"))))</f>
        <v/>
      </c>
      <c r="J1057" s="22"/>
      <c r="K1057" s="22"/>
      <c r="L1057" s="22"/>
      <c r="M1057" s="26"/>
      <c r="N1057" s="22"/>
      <c r="O1057" s="22"/>
      <c r="P1057" s="25" t="str">
        <f aca="false">IF(OR(O1057="",O1057="Sin información"),"",IFERROR(INDEX(Listas!$B$2:$B$9,MATCH(O1057,Listas!$A$2:$A$9,0)),""))</f>
        <v/>
      </c>
      <c r="Q1057" s="25" t="str">
        <f aca="false">IF(OR(O1057="",O1057="Sin información"),"",IFERROR(INDEX(Listas!$C$2:$C$9,MATCH(O1057,Listas!$A$2:$A$9,0)),""))</f>
        <v/>
      </c>
      <c r="R1057" s="22"/>
      <c r="S1057" s="22"/>
      <c r="T1057" s="25" t="str">
        <f aca="false">IF(S1057="","",IFERROR(INDEX(Empleadores!$B$2:$B$601,MATCH(S1057,Empleadores!$A$2:$A$601,0)),"No encontrado"))</f>
        <v/>
      </c>
      <c r="U1057" s="25" t="str">
        <f aca="false">IF(C1057="","",IF(V1057="","No",IF(Config!$C$4-V1057&lt;=Config!$C$15,"Sí","No")))</f>
        <v/>
      </c>
      <c r="V1057" s="23"/>
      <c r="W1057" s="22"/>
      <c r="X1057" s="22"/>
      <c r="Y1057" s="22"/>
      <c r="Z1057" s="27"/>
      <c r="AA1057" s="22"/>
      <c r="AB1057" s="22"/>
    </row>
    <row r="1058" customFormat="false" ht="15" hidden="false" customHeight="false" outlineLevel="0" collapsed="false">
      <c r="A1058" s="22"/>
      <c r="B1058" s="22"/>
      <c r="C1058" s="22"/>
      <c r="D1058" s="22"/>
      <c r="E1058" s="22"/>
      <c r="F1058" s="22"/>
      <c r="G1058" s="23"/>
      <c r="H1058" s="24" t="str">
        <f aca="false">IF(G1058="","",ROUND((Config!$C$4-G1058)/365.25,2))</f>
        <v/>
      </c>
      <c r="I1058" s="25" t="str">
        <f aca="false">IF(H1058="","",IF(H1058&lt;=1,"Tramo 1",IF(H1058&lt;=3,"Tramo 2",IF(H1058&lt;=5,"Tramo 3","Tramo 4"))))</f>
        <v/>
      </c>
      <c r="J1058" s="22"/>
      <c r="K1058" s="22"/>
      <c r="L1058" s="22"/>
      <c r="M1058" s="26"/>
      <c r="N1058" s="22"/>
      <c r="O1058" s="22"/>
      <c r="P1058" s="25" t="str">
        <f aca="false">IF(OR(O1058="",O1058="Sin información"),"",IFERROR(INDEX(Listas!$B$2:$B$9,MATCH(O1058,Listas!$A$2:$A$9,0)),""))</f>
        <v/>
      </c>
      <c r="Q1058" s="25" t="str">
        <f aca="false">IF(OR(O1058="",O1058="Sin información"),"",IFERROR(INDEX(Listas!$C$2:$C$9,MATCH(O1058,Listas!$A$2:$A$9,0)),""))</f>
        <v/>
      </c>
      <c r="R1058" s="22"/>
      <c r="S1058" s="22"/>
      <c r="T1058" s="25" t="str">
        <f aca="false">IF(S1058="","",IFERROR(INDEX(Empleadores!$B$2:$B$601,MATCH(S1058,Empleadores!$A$2:$A$601,0)),"No encontrado"))</f>
        <v/>
      </c>
      <c r="U1058" s="25" t="str">
        <f aca="false">IF(C1058="","",IF(V1058="","No",IF(Config!$C$4-V1058&lt;=Config!$C$15,"Sí","No")))</f>
        <v/>
      </c>
      <c r="V1058" s="23"/>
      <c r="W1058" s="22"/>
      <c r="X1058" s="22"/>
      <c r="Y1058" s="22"/>
      <c r="Z1058" s="27"/>
      <c r="AA1058" s="22"/>
      <c r="AB1058" s="22"/>
    </row>
    <row r="1059" customFormat="false" ht="15" hidden="false" customHeight="false" outlineLevel="0" collapsed="false">
      <c r="A1059" s="22"/>
      <c r="B1059" s="22"/>
      <c r="C1059" s="22"/>
      <c r="D1059" s="22"/>
      <c r="E1059" s="22"/>
      <c r="F1059" s="22"/>
      <c r="G1059" s="23"/>
      <c r="H1059" s="24" t="str">
        <f aca="false">IF(G1059="","",ROUND((Config!$C$4-G1059)/365.25,2))</f>
        <v/>
      </c>
      <c r="I1059" s="25" t="str">
        <f aca="false">IF(H1059="","",IF(H1059&lt;=1,"Tramo 1",IF(H1059&lt;=3,"Tramo 2",IF(H1059&lt;=5,"Tramo 3","Tramo 4"))))</f>
        <v/>
      </c>
      <c r="J1059" s="22"/>
      <c r="K1059" s="22"/>
      <c r="L1059" s="22"/>
      <c r="M1059" s="26"/>
      <c r="N1059" s="22"/>
      <c r="O1059" s="22"/>
      <c r="P1059" s="25" t="str">
        <f aca="false">IF(OR(O1059="",O1059="Sin información"),"",IFERROR(INDEX(Listas!$B$2:$B$9,MATCH(O1059,Listas!$A$2:$A$9,0)),""))</f>
        <v/>
      </c>
      <c r="Q1059" s="25" t="str">
        <f aca="false">IF(OR(O1059="",O1059="Sin información"),"",IFERROR(INDEX(Listas!$C$2:$C$9,MATCH(O1059,Listas!$A$2:$A$9,0)),""))</f>
        <v/>
      </c>
      <c r="R1059" s="22"/>
      <c r="S1059" s="22"/>
      <c r="T1059" s="25" t="str">
        <f aca="false">IF(S1059="","",IFERROR(INDEX(Empleadores!$B$2:$B$601,MATCH(S1059,Empleadores!$A$2:$A$601,0)),"No encontrado"))</f>
        <v/>
      </c>
      <c r="U1059" s="25" t="str">
        <f aca="false">IF(C1059="","",IF(V1059="","No",IF(Config!$C$4-V1059&lt;=Config!$C$15,"Sí","No")))</f>
        <v/>
      </c>
      <c r="V1059" s="23"/>
      <c r="W1059" s="22"/>
      <c r="X1059" s="22"/>
      <c r="Y1059" s="22"/>
      <c r="Z1059" s="27"/>
      <c r="AA1059" s="22"/>
      <c r="AB1059" s="22"/>
    </row>
    <row r="1060" customFormat="false" ht="15" hidden="false" customHeight="false" outlineLevel="0" collapsed="false">
      <c r="A1060" s="22"/>
      <c r="B1060" s="22"/>
      <c r="C1060" s="22"/>
      <c r="D1060" s="22"/>
      <c r="E1060" s="22"/>
      <c r="F1060" s="22"/>
      <c r="G1060" s="23"/>
      <c r="H1060" s="24" t="str">
        <f aca="false">IF(G1060="","",ROUND((Config!$C$4-G1060)/365.25,2))</f>
        <v/>
      </c>
      <c r="I1060" s="25" t="str">
        <f aca="false">IF(H1060="","",IF(H1060&lt;=1,"Tramo 1",IF(H1060&lt;=3,"Tramo 2",IF(H1060&lt;=5,"Tramo 3","Tramo 4"))))</f>
        <v/>
      </c>
      <c r="J1060" s="22"/>
      <c r="K1060" s="22"/>
      <c r="L1060" s="22"/>
      <c r="M1060" s="26"/>
      <c r="N1060" s="22"/>
      <c r="O1060" s="22"/>
      <c r="P1060" s="25" t="str">
        <f aca="false">IF(OR(O1060="",O1060="Sin información"),"",IFERROR(INDEX(Listas!$B$2:$B$9,MATCH(O1060,Listas!$A$2:$A$9,0)),""))</f>
        <v/>
      </c>
      <c r="Q1060" s="25" t="str">
        <f aca="false">IF(OR(O1060="",O1060="Sin información"),"",IFERROR(INDEX(Listas!$C$2:$C$9,MATCH(O1060,Listas!$A$2:$A$9,0)),""))</f>
        <v/>
      </c>
      <c r="R1060" s="22"/>
      <c r="S1060" s="22"/>
      <c r="T1060" s="25" t="str">
        <f aca="false">IF(S1060="","",IFERROR(INDEX(Empleadores!$B$2:$B$601,MATCH(S1060,Empleadores!$A$2:$A$601,0)),"No encontrado"))</f>
        <v/>
      </c>
      <c r="U1060" s="25" t="str">
        <f aca="false">IF(C1060="","",IF(V1060="","No",IF(Config!$C$4-V1060&lt;=Config!$C$15,"Sí","No")))</f>
        <v/>
      </c>
      <c r="V1060" s="23"/>
      <c r="W1060" s="22"/>
      <c r="X1060" s="22"/>
      <c r="Y1060" s="22"/>
      <c r="Z1060" s="27"/>
      <c r="AA1060" s="22"/>
      <c r="AB1060" s="22"/>
    </row>
    <row r="1061" customFormat="false" ht="15" hidden="false" customHeight="false" outlineLevel="0" collapsed="false">
      <c r="A1061" s="22"/>
      <c r="B1061" s="22"/>
      <c r="C1061" s="22"/>
      <c r="D1061" s="22"/>
      <c r="E1061" s="22"/>
      <c r="F1061" s="22"/>
      <c r="G1061" s="23"/>
      <c r="H1061" s="24" t="str">
        <f aca="false">IF(G1061="","",ROUND((Config!$C$4-G1061)/365.25,2))</f>
        <v/>
      </c>
      <c r="I1061" s="25" t="str">
        <f aca="false">IF(H1061="","",IF(H1061&lt;=1,"Tramo 1",IF(H1061&lt;=3,"Tramo 2",IF(H1061&lt;=5,"Tramo 3","Tramo 4"))))</f>
        <v/>
      </c>
      <c r="J1061" s="22"/>
      <c r="K1061" s="22"/>
      <c r="L1061" s="22"/>
      <c r="M1061" s="26"/>
      <c r="N1061" s="22"/>
      <c r="O1061" s="22"/>
      <c r="P1061" s="25" t="str">
        <f aca="false">IF(OR(O1061="",O1061="Sin información"),"",IFERROR(INDEX(Listas!$B$2:$B$9,MATCH(O1061,Listas!$A$2:$A$9,0)),""))</f>
        <v/>
      </c>
      <c r="Q1061" s="25" t="str">
        <f aca="false">IF(OR(O1061="",O1061="Sin información"),"",IFERROR(INDEX(Listas!$C$2:$C$9,MATCH(O1061,Listas!$A$2:$A$9,0)),""))</f>
        <v/>
      </c>
      <c r="R1061" s="22"/>
      <c r="S1061" s="22"/>
      <c r="T1061" s="25" t="str">
        <f aca="false">IF(S1061="","",IFERROR(INDEX(Empleadores!$B$2:$B$601,MATCH(S1061,Empleadores!$A$2:$A$601,0)),"No encontrado"))</f>
        <v/>
      </c>
      <c r="U1061" s="25" t="str">
        <f aca="false">IF(C1061="","",IF(V1061="","No",IF(Config!$C$4-V1061&lt;=Config!$C$15,"Sí","No")))</f>
        <v/>
      </c>
      <c r="V1061" s="23"/>
      <c r="W1061" s="22"/>
      <c r="X1061" s="22"/>
      <c r="Y1061" s="22"/>
      <c r="Z1061" s="27"/>
      <c r="AA1061" s="22"/>
      <c r="AB1061" s="22"/>
    </row>
    <row r="1062" customFormat="false" ht="15" hidden="false" customHeight="false" outlineLevel="0" collapsed="false">
      <c r="A1062" s="22"/>
      <c r="B1062" s="22"/>
      <c r="C1062" s="22"/>
      <c r="D1062" s="22"/>
      <c r="E1062" s="22"/>
      <c r="F1062" s="22"/>
      <c r="G1062" s="23"/>
      <c r="H1062" s="24" t="str">
        <f aca="false">IF(G1062="","",ROUND((Config!$C$4-G1062)/365.25,2))</f>
        <v/>
      </c>
      <c r="I1062" s="25" t="str">
        <f aca="false">IF(H1062="","",IF(H1062&lt;=1,"Tramo 1",IF(H1062&lt;=3,"Tramo 2",IF(H1062&lt;=5,"Tramo 3","Tramo 4"))))</f>
        <v/>
      </c>
      <c r="J1062" s="22"/>
      <c r="K1062" s="22"/>
      <c r="L1062" s="22"/>
      <c r="M1062" s="26"/>
      <c r="N1062" s="22"/>
      <c r="O1062" s="22"/>
      <c r="P1062" s="25" t="str">
        <f aca="false">IF(OR(O1062="",O1062="Sin información"),"",IFERROR(INDEX(Listas!$B$2:$B$9,MATCH(O1062,Listas!$A$2:$A$9,0)),""))</f>
        <v/>
      </c>
      <c r="Q1062" s="25" t="str">
        <f aca="false">IF(OR(O1062="",O1062="Sin información"),"",IFERROR(INDEX(Listas!$C$2:$C$9,MATCH(O1062,Listas!$A$2:$A$9,0)),""))</f>
        <v/>
      </c>
      <c r="R1062" s="22"/>
      <c r="S1062" s="22"/>
      <c r="T1062" s="25" t="str">
        <f aca="false">IF(S1062="","",IFERROR(INDEX(Empleadores!$B$2:$B$601,MATCH(S1062,Empleadores!$A$2:$A$601,0)),"No encontrado"))</f>
        <v/>
      </c>
      <c r="U1062" s="25" t="str">
        <f aca="false">IF(C1062="","",IF(V1062="","No",IF(Config!$C$4-V1062&lt;=Config!$C$15,"Sí","No")))</f>
        <v/>
      </c>
      <c r="V1062" s="23"/>
      <c r="W1062" s="22"/>
      <c r="X1062" s="22"/>
      <c r="Y1062" s="22"/>
      <c r="Z1062" s="27"/>
      <c r="AA1062" s="22"/>
      <c r="AB1062" s="22"/>
    </row>
    <row r="1063" customFormat="false" ht="15" hidden="false" customHeight="false" outlineLevel="0" collapsed="false">
      <c r="A1063" s="22"/>
      <c r="B1063" s="22"/>
      <c r="C1063" s="22"/>
      <c r="D1063" s="22"/>
      <c r="E1063" s="22"/>
      <c r="F1063" s="22"/>
      <c r="G1063" s="23"/>
      <c r="H1063" s="24" t="str">
        <f aca="false">IF(G1063="","",ROUND((Config!$C$4-G1063)/365.25,2))</f>
        <v/>
      </c>
      <c r="I1063" s="25" t="str">
        <f aca="false">IF(H1063="","",IF(H1063&lt;=1,"Tramo 1",IF(H1063&lt;=3,"Tramo 2",IF(H1063&lt;=5,"Tramo 3","Tramo 4"))))</f>
        <v/>
      </c>
      <c r="J1063" s="22"/>
      <c r="K1063" s="22"/>
      <c r="L1063" s="22"/>
      <c r="M1063" s="26"/>
      <c r="N1063" s="22"/>
      <c r="O1063" s="22"/>
      <c r="P1063" s="25" t="str">
        <f aca="false">IF(OR(O1063="",O1063="Sin información"),"",IFERROR(INDEX(Listas!$B$2:$B$9,MATCH(O1063,Listas!$A$2:$A$9,0)),""))</f>
        <v/>
      </c>
      <c r="Q1063" s="25" t="str">
        <f aca="false">IF(OR(O1063="",O1063="Sin información"),"",IFERROR(INDEX(Listas!$C$2:$C$9,MATCH(O1063,Listas!$A$2:$A$9,0)),""))</f>
        <v/>
      </c>
      <c r="R1063" s="22"/>
      <c r="S1063" s="22"/>
      <c r="T1063" s="25" t="str">
        <f aca="false">IF(S1063="","",IFERROR(INDEX(Empleadores!$B$2:$B$601,MATCH(S1063,Empleadores!$A$2:$A$601,0)),"No encontrado"))</f>
        <v/>
      </c>
      <c r="U1063" s="25" t="str">
        <f aca="false">IF(C1063="","",IF(V1063="","No",IF(Config!$C$4-V1063&lt;=Config!$C$15,"Sí","No")))</f>
        <v/>
      </c>
      <c r="V1063" s="23"/>
      <c r="W1063" s="22"/>
      <c r="X1063" s="22"/>
      <c r="Y1063" s="22"/>
      <c r="Z1063" s="27"/>
      <c r="AA1063" s="22"/>
      <c r="AB1063" s="22"/>
    </row>
    <row r="1064" customFormat="false" ht="15" hidden="false" customHeight="false" outlineLevel="0" collapsed="false">
      <c r="A1064" s="22"/>
      <c r="B1064" s="22"/>
      <c r="C1064" s="22"/>
      <c r="D1064" s="22"/>
      <c r="E1064" s="22"/>
      <c r="F1064" s="22"/>
      <c r="G1064" s="23"/>
      <c r="H1064" s="24" t="str">
        <f aca="false">IF(G1064="","",ROUND((Config!$C$4-G1064)/365.25,2))</f>
        <v/>
      </c>
      <c r="I1064" s="25" t="str">
        <f aca="false">IF(H1064="","",IF(H1064&lt;=1,"Tramo 1",IF(H1064&lt;=3,"Tramo 2",IF(H1064&lt;=5,"Tramo 3","Tramo 4"))))</f>
        <v/>
      </c>
      <c r="J1064" s="22"/>
      <c r="K1064" s="22"/>
      <c r="L1064" s="22"/>
      <c r="M1064" s="26"/>
      <c r="N1064" s="22"/>
      <c r="O1064" s="22"/>
      <c r="P1064" s="25" t="str">
        <f aca="false">IF(OR(O1064="",O1064="Sin información"),"",IFERROR(INDEX(Listas!$B$2:$B$9,MATCH(O1064,Listas!$A$2:$A$9,0)),""))</f>
        <v/>
      </c>
      <c r="Q1064" s="25" t="str">
        <f aca="false">IF(OR(O1064="",O1064="Sin información"),"",IFERROR(INDEX(Listas!$C$2:$C$9,MATCH(O1064,Listas!$A$2:$A$9,0)),""))</f>
        <v/>
      </c>
      <c r="R1064" s="22"/>
      <c r="S1064" s="22"/>
      <c r="T1064" s="25" t="str">
        <f aca="false">IF(S1064="","",IFERROR(INDEX(Empleadores!$B$2:$B$601,MATCH(S1064,Empleadores!$A$2:$A$601,0)),"No encontrado"))</f>
        <v/>
      </c>
      <c r="U1064" s="25" t="str">
        <f aca="false">IF(C1064="","",IF(V1064="","No",IF(Config!$C$4-V1064&lt;=Config!$C$15,"Sí","No")))</f>
        <v/>
      </c>
      <c r="V1064" s="23"/>
      <c r="W1064" s="22"/>
      <c r="X1064" s="22"/>
      <c r="Y1064" s="22"/>
      <c r="Z1064" s="27"/>
      <c r="AA1064" s="22"/>
      <c r="AB1064" s="22"/>
    </row>
    <row r="1065" customFormat="false" ht="15" hidden="false" customHeight="false" outlineLevel="0" collapsed="false">
      <c r="A1065" s="22"/>
      <c r="B1065" s="22"/>
      <c r="C1065" s="22"/>
      <c r="D1065" s="22"/>
      <c r="E1065" s="22"/>
      <c r="F1065" s="22"/>
      <c r="G1065" s="23"/>
      <c r="H1065" s="24" t="str">
        <f aca="false">IF(G1065="","",ROUND((Config!$C$4-G1065)/365.25,2))</f>
        <v/>
      </c>
      <c r="I1065" s="25" t="str">
        <f aca="false">IF(H1065="","",IF(H1065&lt;=1,"Tramo 1",IF(H1065&lt;=3,"Tramo 2",IF(H1065&lt;=5,"Tramo 3","Tramo 4"))))</f>
        <v/>
      </c>
      <c r="J1065" s="22"/>
      <c r="K1065" s="22"/>
      <c r="L1065" s="22"/>
      <c r="M1065" s="26"/>
      <c r="N1065" s="22"/>
      <c r="O1065" s="22"/>
      <c r="P1065" s="25" t="str">
        <f aca="false">IF(OR(O1065="",O1065="Sin información"),"",IFERROR(INDEX(Listas!$B$2:$B$9,MATCH(O1065,Listas!$A$2:$A$9,0)),""))</f>
        <v/>
      </c>
      <c r="Q1065" s="25" t="str">
        <f aca="false">IF(OR(O1065="",O1065="Sin información"),"",IFERROR(INDEX(Listas!$C$2:$C$9,MATCH(O1065,Listas!$A$2:$A$9,0)),""))</f>
        <v/>
      </c>
      <c r="R1065" s="22"/>
      <c r="S1065" s="22"/>
      <c r="T1065" s="25" t="str">
        <f aca="false">IF(S1065="","",IFERROR(INDEX(Empleadores!$B$2:$B$601,MATCH(S1065,Empleadores!$A$2:$A$601,0)),"No encontrado"))</f>
        <v/>
      </c>
      <c r="U1065" s="25" t="str">
        <f aca="false">IF(C1065="","",IF(V1065="","No",IF(Config!$C$4-V1065&lt;=Config!$C$15,"Sí","No")))</f>
        <v/>
      </c>
      <c r="V1065" s="23"/>
      <c r="W1065" s="22"/>
      <c r="X1065" s="22"/>
      <c r="Y1065" s="22"/>
      <c r="Z1065" s="27"/>
      <c r="AA1065" s="22"/>
      <c r="AB1065" s="22"/>
    </row>
    <row r="1066" customFormat="false" ht="15" hidden="false" customHeight="false" outlineLevel="0" collapsed="false">
      <c r="A1066" s="22"/>
      <c r="B1066" s="22"/>
      <c r="C1066" s="22"/>
      <c r="D1066" s="22"/>
      <c r="E1066" s="22"/>
      <c r="F1066" s="22"/>
      <c r="G1066" s="23"/>
      <c r="H1066" s="24" t="str">
        <f aca="false">IF(G1066="","",ROUND((Config!$C$4-G1066)/365.25,2))</f>
        <v/>
      </c>
      <c r="I1066" s="25" t="str">
        <f aca="false">IF(H1066="","",IF(H1066&lt;=1,"Tramo 1",IF(H1066&lt;=3,"Tramo 2",IF(H1066&lt;=5,"Tramo 3","Tramo 4"))))</f>
        <v/>
      </c>
      <c r="J1066" s="22"/>
      <c r="K1066" s="22"/>
      <c r="L1066" s="22"/>
      <c r="M1066" s="26"/>
      <c r="N1066" s="22"/>
      <c r="O1066" s="22"/>
      <c r="P1066" s="25" t="str">
        <f aca="false">IF(OR(O1066="",O1066="Sin información"),"",IFERROR(INDEX(Listas!$B$2:$B$9,MATCH(O1066,Listas!$A$2:$A$9,0)),""))</f>
        <v/>
      </c>
      <c r="Q1066" s="25" t="str">
        <f aca="false">IF(OR(O1066="",O1066="Sin información"),"",IFERROR(INDEX(Listas!$C$2:$C$9,MATCH(O1066,Listas!$A$2:$A$9,0)),""))</f>
        <v/>
      </c>
      <c r="R1066" s="22"/>
      <c r="S1066" s="22"/>
      <c r="T1066" s="25" t="str">
        <f aca="false">IF(S1066="","",IFERROR(INDEX(Empleadores!$B$2:$B$601,MATCH(S1066,Empleadores!$A$2:$A$601,0)),"No encontrado"))</f>
        <v/>
      </c>
      <c r="U1066" s="25" t="str">
        <f aca="false">IF(C1066="","",IF(V1066="","No",IF(Config!$C$4-V1066&lt;=Config!$C$15,"Sí","No")))</f>
        <v/>
      </c>
      <c r="V1066" s="23"/>
      <c r="W1066" s="22"/>
      <c r="X1066" s="22"/>
      <c r="Y1066" s="22"/>
      <c r="Z1066" s="27"/>
      <c r="AA1066" s="22"/>
      <c r="AB1066" s="22"/>
    </row>
    <row r="1067" customFormat="false" ht="15" hidden="false" customHeight="false" outlineLevel="0" collapsed="false">
      <c r="A1067" s="22"/>
      <c r="B1067" s="22"/>
      <c r="C1067" s="22"/>
      <c r="D1067" s="22"/>
      <c r="E1067" s="22"/>
      <c r="F1067" s="22"/>
      <c r="G1067" s="23"/>
      <c r="H1067" s="24" t="str">
        <f aca="false">IF(G1067="","",ROUND((Config!$C$4-G1067)/365.25,2))</f>
        <v/>
      </c>
      <c r="I1067" s="25" t="str">
        <f aca="false">IF(H1067="","",IF(H1067&lt;=1,"Tramo 1",IF(H1067&lt;=3,"Tramo 2",IF(H1067&lt;=5,"Tramo 3","Tramo 4"))))</f>
        <v/>
      </c>
      <c r="J1067" s="22"/>
      <c r="K1067" s="22"/>
      <c r="L1067" s="22"/>
      <c r="M1067" s="26"/>
      <c r="N1067" s="22"/>
      <c r="O1067" s="22"/>
      <c r="P1067" s="25" t="str">
        <f aca="false">IF(OR(O1067="",O1067="Sin información"),"",IFERROR(INDEX(Listas!$B$2:$B$9,MATCH(O1067,Listas!$A$2:$A$9,0)),""))</f>
        <v/>
      </c>
      <c r="Q1067" s="25" t="str">
        <f aca="false">IF(OR(O1067="",O1067="Sin información"),"",IFERROR(INDEX(Listas!$C$2:$C$9,MATCH(O1067,Listas!$A$2:$A$9,0)),""))</f>
        <v/>
      </c>
      <c r="R1067" s="22"/>
      <c r="S1067" s="22"/>
      <c r="T1067" s="25" t="str">
        <f aca="false">IF(S1067="","",IFERROR(INDEX(Empleadores!$B$2:$B$601,MATCH(S1067,Empleadores!$A$2:$A$601,0)),"No encontrado"))</f>
        <v/>
      </c>
      <c r="U1067" s="25" t="str">
        <f aca="false">IF(C1067="","",IF(V1067="","No",IF(Config!$C$4-V1067&lt;=Config!$C$15,"Sí","No")))</f>
        <v/>
      </c>
      <c r="V1067" s="23"/>
      <c r="W1067" s="22"/>
      <c r="X1067" s="22"/>
      <c r="Y1067" s="22"/>
      <c r="Z1067" s="27"/>
      <c r="AA1067" s="22"/>
      <c r="AB1067" s="22"/>
    </row>
    <row r="1068" customFormat="false" ht="15" hidden="false" customHeight="false" outlineLevel="0" collapsed="false">
      <c r="A1068" s="22"/>
      <c r="B1068" s="22"/>
      <c r="C1068" s="22"/>
      <c r="D1068" s="22"/>
      <c r="E1068" s="22"/>
      <c r="F1068" s="22"/>
      <c r="G1068" s="23"/>
      <c r="H1068" s="24" t="str">
        <f aca="false">IF(G1068="","",ROUND((Config!$C$4-G1068)/365.25,2))</f>
        <v/>
      </c>
      <c r="I1068" s="25" t="str">
        <f aca="false">IF(H1068="","",IF(H1068&lt;=1,"Tramo 1",IF(H1068&lt;=3,"Tramo 2",IF(H1068&lt;=5,"Tramo 3","Tramo 4"))))</f>
        <v/>
      </c>
      <c r="J1068" s="22"/>
      <c r="K1068" s="22"/>
      <c r="L1068" s="22"/>
      <c r="M1068" s="26"/>
      <c r="N1068" s="22"/>
      <c r="O1068" s="22"/>
      <c r="P1068" s="25" t="str">
        <f aca="false">IF(OR(O1068="",O1068="Sin información"),"",IFERROR(INDEX(Listas!$B$2:$B$9,MATCH(O1068,Listas!$A$2:$A$9,0)),""))</f>
        <v/>
      </c>
      <c r="Q1068" s="25" t="str">
        <f aca="false">IF(OR(O1068="",O1068="Sin información"),"",IFERROR(INDEX(Listas!$C$2:$C$9,MATCH(O1068,Listas!$A$2:$A$9,0)),""))</f>
        <v/>
      </c>
      <c r="R1068" s="22"/>
      <c r="S1068" s="22"/>
      <c r="T1068" s="25" t="str">
        <f aca="false">IF(S1068="","",IFERROR(INDEX(Empleadores!$B$2:$B$601,MATCH(S1068,Empleadores!$A$2:$A$601,0)),"No encontrado"))</f>
        <v/>
      </c>
      <c r="U1068" s="25" t="str">
        <f aca="false">IF(C1068="","",IF(V1068="","No",IF(Config!$C$4-V1068&lt;=Config!$C$15,"Sí","No")))</f>
        <v/>
      </c>
      <c r="V1068" s="23"/>
      <c r="W1068" s="22"/>
      <c r="X1068" s="22"/>
      <c r="Y1068" s="22"/>
      <c r="Z1068" s="27"/>
      <c r="AA1068" s="22"/>
      <c r="AB1068" s="22"/>
    </row>
    <row r="1069" customFormat="false" ht="15" hidden="false" customHeight="false" outlineLevel="0" collapsed="false">
      <c r="A1069" s="22"/>
      <c r="B1069" s="22"/>
      <c r="C1069" s="22"/>
      <c r="D1069" s="22"/>
      <c r="E1069" s="22"/>
      <c r="F1069" s="22"/>
      <c r="G1069" s="23"/>
      <c r="H1069" s="24" t="str">
        <f aca="false">IF(G1069="","",ROUND((Config!$C$4-G1069)/365.25,2))</f>
        <v/>
      </c>
      <c r="I1069" s="25" t="str">
        <f aca="false">IF(H1069="","",IF(H1069&lt;=1,"Tramo 1",IF(H1069&lt;=3,"Tramo 2",IF(H1069&lt;=5,"Tramo 3","Tramo 4"))))</f>
        <v/>
      </c>
      <c r="J1069" s="22"/>
      <c r="K1069" s="22"/>
      <c r="L1069" s="22"/>
      <c r="M1069" s="26"/>
      <c r="N1069" s="22"/>
      <c r="O1069" s="22"/>
      <c r="P1069" s="25" t="str">
        <f aca="false">IF(OR(O1069="",O1069="Sin información"),"",IFERROR(INDEX(Listas!$B$2:$B$9,MATCH(O1069,Listas!$A$2:$A$9,0)),""))</f>
        <v/>
      </c>
      <c r="Q1069" s="25" t="str">
        <f aca="false">IF(OR(O1069="",O1069="Sin información"),"",IFERROR(INDEX(Listas!$C$2:$C$9,MATCH(O1069,Listas!$A$2:$A$9,0)),""))</f>
        <v/>
      </c>
      <c r="R1069" s="22"/>
      <c r="S1069" s="22"/>
      <c r="T1069" s="25" t="str">
        <f aca="false">IF(S1069="","",IFERROR(INDEX(Empleadores!$B$2:$B$601,MATCH(S1069,Empleadores!$A$2:$A$601,0)),"No encontrado"))</f>
        <v/>
      </c>
      <c r="U1069" s="25" t="str">
        <f aca="false">IF(C1069="","",IF(V1069="","No",IF(Config!$C$4-V1069&lt;=Config!$C$15,"Sí","No")))</f>
        <v/>
      </c>
      <c r="V1069" s="23"/>
      <c r="W1069" s="22"/>
      <c r="X1069" s="22"/>
      <c r="Y1069" s="22"/>
      <c r="Z1069" s="27"/>
      <c r="AA1069" s="22"/>
      <c r="AB1069" s="22"/>
    </row>
    <row r="1070" customFormat="false" ht="15" hidden="false" customHeight="false" outlineLevel="0" collapsed="false">
      <c r="A1070" s="22"/>
      <c r="B1070" s="22"/>
      <c r="C1070" s="22"/>
      <c r="D1070" s="22"/>
      <c r="E1070" s="22"/>
      <c r="F1070" s="22"/>
      <c r="G1070" s="23"/>
      <c r="H1070" s="24" t="str">
        <f aca="false">IF(G1070="","",ROUND((Config!$C$4-G1070)/365.25,2))</f>
        <v/>
      </c>
      <c r="I1070" s="25" t="str">
        <f aca="false">IF(H1070="","",IF(H1070&lt;=1,"Tramo 1",IF(H1070&lt;=3,"Tramo 2",IF(H1070&lt;=5,"Tramo 3","Tramo 4"))))</f>
        <v/>
      </c>
      <c r="J1070" s="22"/>
      <c r="K1070" s="22"/>
      <c r="L1070" s="22"/>
      <c r="M1070" s="26"/>
      <c r="N1070" s="22"/>
      <c r="O1070" s="22"/>
      <c r="P1070" s="25" t="str">
        <f aca="false">IF(OR(O1070="",O1070="Sin información"),"",IFERROR(INDEX(Listas!$B$2:$B$9,MATCH(O1070,Listas!$A$2:$A$9,0)),""))</f>
        <v/>
      </c>
      <c r="Q1070" s="25" t="str">
        <f aca="false">IF(OR(O1070="",O1070="Sin información"),"",IFERROR(INDEX(Listas!$C$2:$C$9,MATCH(O1070,Listas!$A$2:$A$9,0)),""))</f>
        <v/>
      </c>
      <c r="R1070" s="22"/>
      <c r="S1070" s="22"/>
      <c r="T1070" s="25" t="str">
        <f aca="false">IF(S1070="","",IFERROR(INDEX(Empleadores!$B$2:$B$601,MATCH(S1070,Empleadores!$A$2:$A$601,0)),"No encontrado"))</f>
        <v/>
      </c>
      <c r="U1070" s="25" t="str">
        <f aca="false">IF(C1070="","",IF(V1070="","No",IF(Config!$C$4-V1070&lt;=Config!$C$15,"Sí","No")))</f>
        <v/>
      </c>
      <c r="V1070" s="23"/>
      <c r="W1070" s="22"/>
      <c r="X1070" s="22"/>
      <c r="Y1070" s="22"/>
      <c r="Z1070" s="27"/>
      <c r="AA1070" s="22"/>
      <c r="AB1070" s="22"/>
    </row>
    <row r="1071" customFormat="false" ht="15" hidden="false" customHeight="false" outlineLevel="0" collapsed="false">
      <c r="A1071" s="22"/>
      <c r="B1071" s="22"/>
      <c r="C1071" s="22"/>
      <c r="D1071" s="22"/>
      <c r="E1071" s="22"/>
      <c r="F1071" s="22"/>
      <c r="G1071" s="23"/>
      <c r="H1071" s="24" t="str">
        <f aca="false">IF(G1071="","",ROUND((Config!$C$4-G1071)/365.25,2))</f>
        <v/>
      </c>
      <c r="I1071" s="25" t="str">
        <f aca="false">IF(H1071="","",IF(H1071&lt;=1,"Tramo 1",IF(H1071&lt;=3,"Tramo 2",IF(H1071&lt;=5,"Tramo 3","Tramo 4"))))</f>
        <v/>
      </c>
      <c r="J1071" s="22"/>
      <c r="K1071" s="22"/>
      <c r="L1071" s="22"/>
      <c r="M1071" s="26"/>
      <c r="N1071" s="22"/>
      <c r="O1071" s="22"/>
      <c r="P1071" s="25" t="str">
        <f aca="false">IF(OR(O1071="",O1071="Sin información"),"",IFERROR(INDEX(Listas!$B$2:$B$9,MATCH(O1071,Listas!$A$2:$A$9,0)),""))</f>
        <v/>
      </c>
      <c r="Q1071" s="25" t="str">
        <f aca="false">IF(OR(O1071="",O1071="Sin información"),"",IFERROR(INDEX(Listas!$C$2:$C$9,MATCH(O1071,Listas!$A$2:$A$9,0)),""))</f>
        <v/>
      </c>
      <c r="R1071" s="22"/>
      <c r="S1071" s="22"/>
      <c r="T1071" s="25" t="str">
        <f aca="false">IF(S1071="","",IFERROR(INDEX(Empleadores!$B$2:$B$601,MATCH(S1071,Empleadores!$A$2:$A$601,0)),"No encontrado"))</f>
        <v/>
      </c>
      <c r="U1071" s="25" t="str">
        <f aca="false">IF(C1071="","",IF(V1071="","No",IF(Config!$C$4-V1071&lt;=Config!$C$15,"Sí","No")))</f>
        <v/>
      </c>
      <c r="V1071" s="23"/>
      <c r="W1071" s="22"/>
      <c r="X1071" s="22"/>
      <c r="Y1071" s="22"/>
      <c r="Z1071" s="27"/>
      <c r="AA1071" s="22"/>
      <c r="AB1071" s="22"/>
    </row>
    <row r="1072" customFormat="false" ht="15" hidden="false" customHeight="false" outlineLevel="0" collapsed="false">
      <c r="A1072" s="22"/>
      <c r="B1072" s="22"/>
      <c r="C1072" s="22"/>
      <c r="D1072" s="22"/>
      <c r="E1072" s="22"/>
      <c r="F1072" s="22"/>
      <c r="G1072" s="23"/>
      <c r="H1072" s="24" t="str">
        <f aca="false">IF(G1072="","",ROUND((Config!$C$4-G1072)/365.25,2))</f>
        <v/>
      </c>
      <c r="I1072" s="25" t="str">
        <f aca="false">IF(H1072="","",IF(H1072&lt;=1,"Tramo 1",IF(H1072&lt;=3,"Tramo 2",IF(H1072&lt;=5,"Tramo 3","Tramo 4"))))</f>
        <v/>
      </c>
      <c r="J1072" s="22"/>
      <c r="K1072" s="22"/>
      <c r="L1072" s="22"/>
      <c r="M1072" s="26"/>
      <c r="N1072" s="22"/>
      <c r="O1072" s="22"/>
      <c r="P1072" s="25" t="str">
        <f aca="false">IF(OR(O1072="",O1072="Sin información"),"",IFERROR(INDEX(Listas!$B$2:$B$9,MATCH(O1072,Listas!$A$2:$A$9,0)),""))</f>
        <v/>
      </c>
      <c r="Q1072" s="25" t="str">
        <f aca="false">IF(OR(O1072="",O1072="Sin información"),"",IFERROR(INDEX(Listas!$C$2:$C$9,MATCH(O1072,Listas!$A$2:$A$9,0)),""))</f>
        <v/>
      </c>
      <c r="R1072" s="22"/>
      <c r="S1072" s="22"/>
      <c r="T1072" s="25" t="str">
        <f aca="false">IF(S1072="","",IFERROR(INDEX(Empleadores!$B$2:$B$601,MATCH(S1072,Empleadores!$A$2:$A$601,0)),"No encontrado"))</f>
        <v/>
      </c>
      <c r="U1072" s="25" t="str">
        <f aca="false">IF(C1072="","",IF(V1072="","No",IF(Config!$C$4-V1072&lt;=Config!$C$15,"Sí","No")))</f>
        <v/>
      </c>
      <c r="V1072" s="23"/>
      <c r="W1072" s="22"/>
      <c r="X1072" s="22"/>
      <c r="Y1072" s="22"/>
      <c r="Z1072" s="27"/>
      <c r="AA1072" s="22"/>
      <c r="AB1072" s="22"/>
    </row>
    <row r="1073" customFormat="false" ht="15" hidden="false" customHeight="false" outlineLevel="0" collapsed="false">
      <c r="A1073" s="22"/>
      <c r="B1073" s="22"/>
      <c r="C1073" s="22"/>
      <c r="D1073" s="22"/>
      <c r="E1073" s="22"/>
      <c r="F1073" s="22"/>
      <c r="G1073" s="23"/>
      <c r="H1073" s="24" t="str">
        <f aca="false">IF(G1073="","",ROUND((Config!$C$4-G1073)/365.25,2))</f>
        <v/>
      </c>
      <c r="I1073" s="25" t="str">
        <f aca="false">IF(H1073="","",IF(H1073&lt;=1,"Tramo 1",IF(H1073&lt;=3,"Tramo 2",IF(H1073&lt;=5,"Tramo 3","Tramo 4"))))</f>
        <v/>
      </c>
      <c r="J1073" s="22"/>
      <c r="K1073" s="22"/>
      <c r="L1073" s="22"/>
      <c r="M1073" s="26"/>
      <c r="N1073" s="22"/>
      <c r="O1073" s="22"/>
      <c r="P1073" s="25" t="str">
        <f aca="false">IF(OR(O1073="",O1073="Sin información"),"",IFERROR(INDEX(Listas!$B$2:$B$9,MATCH(O1073,Listas!$A$2:$A$9,0)),""))</f>
        <v/>
      </c>
      <c r="Q1073" s="25" t="str">
        <f aca="false">IF(OR(O1073="",O1073="Sin información"),"",IFERROR(INDEX(Listas!$C$2:$C$9,MATCH(O1073,Listas!$A$2:$A$9,0)),""))</f>
        <v/>
      </c>
      <c r="R1073" s="22"/>
      <c r="S1073" s="22"/>
      <c r="T1073" s="25" t="str">
        <f aca="false">IF(S1073="","",IFERROR(INDEX(Empleadores!$B$2:$B$601,MATCH(S1073,Empleadores!$A$2:$A$601,0)),"No encontrado"))</f>
        <v/>
      </c>
      <c r="U1073" s="25" t="str">
        <f aca="false">IF(C1073="","",IF(V1073="","No",IF(Config!$C$4-V1073&lt;=Config!$C$15,"Sí","No")))</f>
        <v/>
      </c>
      <c r="V1073" s="23"/>
      <c r="W1073" s="22"/>
      <c r="X1073" s="22"/>
      <c r="Y1073" s="22"/>
      <c r="Z1073" s="27"/>
      <c r="AA1073" s="22"/>
      <c r="AB1073" s="22"/>
    </row>
    <row r="1074" customFormat="false" ht="15" hidden="false" customHeight="false" outlineLevel="0" collapsed="false">
      <c r="A1074" s="22"/>
      <c r="B1074" s="22"/>
      <c r="C1074" s="22"/>
      <c r="D1074" s="22"/>
      <c r="E1074" s="22"/>
      <c r="F1074" s="22"/>
      <c r="G1074" s="23"/>
      <c r="H1074" s="24" t="str">
        <f aca="false">IF(G1074="","",ROUND((Config!$C$4-G1074)/365.25,2))</f>
        <v/>
      </c>
      <c r="I1074" s="25" t="str">
        <f aca="false">IF(H1074="","",IF(H1074&lt;=1,"Tramo 1",IF(H1074&lt;=3,"Tramo 2",IF(H1074&lt;=5,"Tramo 3","Tramo 4"))))</f>
        <v/>
      </c>
      <c r="J1074" s="22"/>
      <c r="K1074" s="22"/>
      <c r="L1074" s="22"/>
      <c r="M1074" s="26"/>
      <c r="N1074" s="22"/>
      <c r="O1074" s="22"/>
      <c r="P1074" s="25" t="str">
        <f aca="false">IF(OR(O1074="",O1074="Sin información"),"",IFERROR(INDEX(Listas!$B$2:$B$9,MATCH(O1074,Listas!$A$2:$A$9,0)),""))</f>
        <v/>
      </c>
      <c r="Q1074" s="25" t="str">
        <f aca="false">IF(OR(O1074="",O1074="Sin información"),"",IFERROR(INDEX(Listas!$C$2:$C$9,MATCH(O1074,Listas!$A$2:$A$9,0)),""))</f>
        <v/>
      </c>
      <c r="R1074" s="22"/>
      <c r="S1074" s="22"/>
      <c r="T1074" s="25" t="str">
        <f aca="false">IF(S1074="","",IFERROR(INDEX(Empleadores!$B$2:$B$601,MATCH(S1074,Empleadores!$A$2:$A$601,0)),"No encontrado"))</f>
        <v/>
      </c>
      <c r="U1074" s="25" t="str">
        <f aca="false">IF(C1074="","",IF(V1074="","No",IF(Config!$C$4-V1074&lt;=Config!$C$15,"Sí","No")))</f>
        <v/>
      </c>
      <c r="V1074" s="23"/>
      <c r="W1074" s="22"/>
      <c r="X1074" s="22"/>
      <c r="Y1074" s="22"/>
      <c r="Z1074" s="27"/>
      <c r="AA1074" s="22"/>
      <c r="AB1074" s="22"/>
    </row>
    <row r="1075" customFormat="false" ht="15" hidden="false" customHeight="false" outlineLevel="0" collapsed="false">
      <c r="A1075" s="22"/>
      <c r="B1075" s="22"/>
      <c r="C1075" s="22"/>
      <c r="D1075" s="22"/>
      <c r="E1075" s="22"/>
      <c r="F1075" s="22"/>
      <c r="G1075" s="23"/>
      <c r="H1075" s="24" t="str">
        <f aca="false">IF(G1075="","",ROUND((Config!$C$4-G1075)/365.25,2))</f>
        <v/>
      </c>
      <c r="I1075" s="25" t="str">
        <f aca="false">IF(H1075="","",IF(H1075&lt;=1,"Tramo 1",IF(H1075&lt;=3,"Tramo 2",IF(H1075&lt;=5,"Tramo 3","Tramo 4"))))</f>
        <v/>
      </c>
      <c r="J1075" s="22"/>
      <c r="K1075" s="22"/>
      <c r="L1075" s="22"/>
      <c r="M1075" s="26"/>
      <c r="N1075" s="22"/>
      <c r="O1075" s="22"/>
      <c r="P1075" s="25" t="str">
        <f aca="false">IF(OR(O1075="",O1075="Sin información"),"",IFERROR(INDEX(Listas!$B$2:$B$9,MATCH(O1075,Listas!$A$2:$A$9,0)),""))</f>
        <v/>
      </c>
      <c r="Q1075" s="25" t="str">
        <f aca="false">IF(OR(O1075="",O1075="Sin información"),"",IFERROR(INDEX(Listas!$C$2:$C$9,MATCH(O1075,Listas!$A$2:$A$9,0)),""))</f>
        <v/>
      </c>
      <c r="R1075" s="22"/>
      <c r="S1075" s="22"/>
      <c r="T1075" s="25" t="str">
        <f aca="false">IF(S1075="","",IFERROR(INDEX(Empleadores!$B$2:$B$601,MATCH(S1075,Empleadores!$A$2:$A$601,0)),"No encontrado"))</f>
        <v/>
      </c>
      <c r="U1075" s="25" t="str">
        <f aca="false">IF(C1075="","",IF(V1075="","No",IF(Config!$C$4-V1075&lt;=Config!$C$15,"Sí","No")))</f>
        <v/>
      </c>
      <c r="V1075" s="23"/>
      <c r="W1075" s="22"/>
      <c r="X1075" s="22"/>
      <c r="Y1075" s="22"/>
      <c r="Z1075" s="27"/>
      <c r="AA1075" s="22"/>
      <c r="AB1075" s="22"/>
    </row>
    <row r="1076" customFormat="false" ht="15" hidden="false" customHeight="false" outlineLevel="0" collapsed="false">
      <c r="A1076" s="22"/>
      <c r="B1076" s="22"/>
      <c r="C1076" s="22"/>
      <c r="D1076" s="22"/>
      <c r="E1076" s="22"/>
      <c r="F1076" s="22"/>
      <c r="G1076" s="23"/>
      <c r="H1076" s="24" t="str">
        <f aca="false">IF(G1076="","",ROUND((Config!$C$4-G1076)/365.25,2))</f>
        <v/>
      </c>
      <c r="I1076" s="25" t="str">
        <f aca="false">IF(H1076="","",IF(H1076&lt;=1,"Tramo 1",IF(H1076&lt;=3,"Tramo 2",IF(H1076&lt;=5,"Tramo 3","Tramo 4"))))</f>
        <v/>
      </c>
      <c r="J1076" s="22"/>
      <c r="K1076" s="22"/>
      <c r="L1076" s="22"/>
      <c r="M1076" s="26"/>
      <c r="N1076" s="22"/>
      <c r="O1076" s="22"/>
      <c r="P1076" s="25" t="str">
        <f aca="false">IF(OR(O1076="",O1076="Sin información"),"",IFERROR(INDEX(Listas!$B$2:$B$9,MATCH(O1076,Listas!$A$2:$A$9,0)),""))</f>
        <v/>
      </c>
      <c r="Q1076" s="25" t="str">
        <f aca="false">IF(OR(O1076="",O1076="Sin información"),"",IFERROR(INDEX(Listas!$C$2:$C$9,MATCH(O1076,Listas!$A$2:$A$9,0)),""))</f>
        <v/>
      </c>
      <c r="R1076" s="22"/>
      <c r="S1076" s="22"/>
      <c r="T1076" s="25" t="str">
        <f aca="false">IF(S1076="","",IFERROR(INDEX(Empleadores!$B$2:$B$601,MATCH(S1076,Empleadores!$A$2:$A$601,0)),"No encontrado"))</f>
        <v/>
      </c>
      <c r="U1076" s="25" t="str">
        <f aca="false">IF(C1076="","",IF(V1076="","No",IF(Config!$C$4-V1076&lt;=Config!$C$15,"Sí","No")))</f>
        <v/>
      </c>
      <c r="V1076" s="23"/>
      <c r="W1076" s="22"/>
      <c r="X1076" s="22"/>
      <c r="Y1076" s="22"/>
      <c r="Z1076" s="27"/>
      <c r="AA1076" s="22"/>
      <c r="AB1076" s="22"/>
    </row>
    <row r="1077" customFormat="false" ht="15" hidden="false" customHeight="false" outlineLevel="0" collapsed="false">
      <c r="A1077" s="22"/>
      <c r="B1077" s="22"/>
      <c r="C1077" s="22"/>
      <c r="D1077" s="22"/>
      <c r="E1077" s="22"/>
      <c r="F1077" s="22"/>
      <c r="G1077" s="23"/>
      <c r="H1077" s="24" t="str">
        <f aca="false">IF(G1077="","",ROUND((Config!$C$4-G1077)/365.25,2))</f>
        <v/>
      </c>
      <c r="I1077" s="25" t="str">
        <f aca="false">IF(H1077="","",IF(H1077&lt;=1,"Tramo 1",IF(H1077&lt;=3,"Tramo 2",IF(H1077&lt;=5,"Tramo 3","Tramo 4"))))</f>
        <v/>
      </c>
      <c r="J1077" s="22"/>
      <c r="K1077" s="22"/>
      <c r="L1077" s="22"/>
      <c r="M1077" s="26"/>
      <c r="N1077" s="22"/>
      <c r="O1077" s="22"/>
      <c r="P1077" s="25" t="str">
        <f aca="false">IF(OR(O1077="",O1077="Sin información"),"",IFERROR(INDEX(Listas!$B$2:$B$9,MATCH(O1077,Listas!$A$2:$A$9,0)),""))</f>
        <v/>
      </c>
      <c r="Q1077" s="25" t="str">
        <f aca="false">IF(OR(O1077="",O1077="Sin información"),"",IFERROR(INDEX(Listas!$C$2:$C$9,MATCH(O1077,Listas!$A$2:$A$9,0)),""))</f>
        <v/>
      </c>
      <c r="R1077" s="22"/>
      <c r="S1077" s="22"/>
      <c r="T1077" s="25" t="str">
        <f aca="false">IF(S1077="","",IFERROR(INDEX(Empleadores!$B$2:$B$601,MATCH(S1077,Empleadores!$A$2:$A$601,0)),"No encontrado"))</f>
        <v/>
      </c>
      <c r="U1077" s="25" t="str">
        <f aca="false">IF(C1077="","",IF(V1077="","No",IF(Config!$C$4-V1077&lt;=Config!$C$15,"Sí","No")))</f>
        <v/>
      </c>
      <c r="V1077" s="23"/>
      <c r="W1077" s="22"/>
      <c r="X1077" s="22"/>
      <c r="Y1077" s="22"/>
      <c r="Z1077" s="27"/>
      <c r="AA1077" s="22"/>
      <c r="AB1077" s="22"/>
    </row>
    <row r="1078" customFormat="false" ht="15" hidden="false" customHeight="false" outlineLevel="0" collapsed="false">
      <c r="A1078" s="22"/>
      <c r="B1078" s="22"/>
      <c r="C1078" s="22"/>
      <c r="D1078" s="22"/>
      <c r="E1078" s="22"/>
      <c r="F1078" s="22"/>
      <c r="G1078" s="23"/>
      <c r="H1078" s="24" t="str">
        <f aca="false">IF(G1078="","",ROUND((Config!$C$4-G1078)/365.25,2))</f>
        <v/>
      </c>
      <c r="I1078" s="25" t="str">
        <f aca="false">IF(H1078="","",IF(H1078&lt;=1,"Tramo 1",IF(H1078&lt;=3,"Tramo 2",IF(H1078&lt;=5,"Tramo 3","Tramo 4"))))</f>
        <v/>
      </c>
      <c r="J1078" s="22"/>
      <c r="K1078" s="22"/>
      <c r="L1078" s="22"/>
      <c r="M1078" s="26"/>
      <c r="N1078" s="22"/>
      <c r="O1078" s="22"/>
      <c r="P1078" s="25" t="str">
        <f aca="false">IF(OR(O1078="",O1078="Sin información"),"",IFERROR(INDEX(Listas!$B$2:$B$9,MATCH(O1078,Listas!$A$2:$A$9,0)),""))</f>
        <v/>
      </c>
      <c r="Q1078" s="25" t="str">
        <f aca="false">IF(OR(O1078="",O1078="Sin información"),"",IFERROR(INDEX(Listas!$C$2:$C$9,MATCH(O1078,Listas!$A$2:$A$9,0)),""))</f>
        <v/>
      </c>
      <c r="R1078" s="22"/>
      <c r="S1078" s="22"/>
      <c r="T1078" s="25" t="str">
        <f aca="false">IF(S1078="","",IFERROR(INDEX(Empleadores!$B$2:$B$601,MATCH(S1078,Empleadores!$A$2:$A$601,0)),"No encontrado"))</f>
        <v/>
      </c>
      <c r="U1078" s="25" t="str">
        <f aca="false">IF(C1078="","",IF(V1078="","No",IF(Config!$C$4-V1078&lt;=Config!$C$15,"Sí","No")))</f>
        <v/>
      </c>
      <c r="V1078" s="23"/>
      <c r="W1078" s="22"/>
      <c r="X1078" s="22"/>
      <c r="Y1078" s="22"/>
      <c r="Z1078" s="27"/>
      <c r="AA1078" s="22"/>
      <c r="AB1078" s="22"/>
    </row>
    <row r="1079" customFormat="false" ht="15" hidden="false" customHeight="false" outlineLevel="0" collapsed="false">
      <c r="A1079" s="22"/>
      <c r="B1079" s="22"/>
      <c r="C1079" s="22"/>
      <c r="D1079" s="22"/>
      <c r="E1079" s="22"/>
      <c r="F1079" s="22"/>
      <c r="G1079" s="23"/>
      <c r="H1079" s="24" t="str">
        <f aca="false">IF(G1079="","",ROUND((Config!$C$4-G1079)/365.25,2))</f>
        <v/>
      </c>
      <c r="I1079" s="25" t="str">
        <f aca="false">IF(H1079="","",IF(H1079&lt;=1,"Tramo 1",IF(H1079&lt;=3,"Tramo 2",IF(H1079&lt;=5,"Tramo 3","Tramo 4"))))</f>
        <v/>
      </c>
      <c r="J1079" s="22"/>
      <c r="K1079" s="22"/>
      <c r="L1079" s="22"/>
      <c r="M1079" s="26"/>
      <c r="N1079" s="22"/>
      <c r="O1079" s="22"/>
      <c r="P1079" s="25" t="str">
        <f aca="false">IF(OR(O1079="",O1079="Sin información"),"",IFERROR(INDEX(Listas!$B$2:$B$9,MATCH(O1079,Listas!$A$2:$A$9,0)),""))</f>
        <v/>
      </c>
      <c r="Q1079" s="25" t="str">
        <f aca="false">IF(OR(O1079="",O1079="Sin información"),"",IFERROR(INDEX(Listas!$C$2:$C$9,MATCH(O1079,Listas!$A$2:$A$9,0)),""))</f>
        <v/>
      </c>
      <c r="R1079" s="22"/>
      <c r="S1079" s="22"/>
      <c r="T1079" s="25" t="str">
        <f aca="false">IF(S1079="","",IFERROR(INDEX(Empleadores!$B$2:$B$601,MATCH(S1079,Empleadores!$A$2:$A$601,0)),"No encontrado"))</f>
        <v/>
      </c>
      <c r="U1079" s="25" t="str">
        <f aca="false">IF(C1079="","",IF(V1079="","No",IF(Config!$C$4-V1079&lt;=Config!$C$15,"Sí","No")))</f>
        <v/>
      </c>
      <c r="V1079" s="23"/>
      <c r="W1079" s="22"/>
      <c r="X1079" s="22"/>
      <c r="Y1079" s="22"/>
      <c r="Z1079" s="27"/>
      <c r="AA1079" s="22"/>
      <c r="AB1079" s="22"/>
    </row>
    <row r="1080" customFormat="false" ht="15" hidden="false" customHeight="false" outlineLevel="0" collapsed="false">
      <c r="A1080" s="22"/>
      <c r="B1080" s="22"/>
      <c r="C1080" s="22"/>
      <c r="D1080" s="22"/>
      <c r="E1080" s="22"/>
      <c r="F1080" s="22"/>
      <c r="G1080" s="23"/>
      <c r="H1080" s="24" t="str">
        <f aca="false">IF(G1080="","",ROUND((Config!$C$4-G1080)/365.25,2))</f>
        <v/>
      </c>
      <c r="I1080" s="25" t="str">
        <f aca="false">IF(H1080="","",IF(H1080&lt;=1,"Tramo 1",IF(H1080&lt;=3,"Tramo 2",IF(H1080&lt;=5,"Tramo 3","Tramo 4"))))</f>
        <v/>
      </c>
      <c r="J1080" s="22"/>
      <c r="K1080" s="22"/>
      <c r="L1080" s="22"/>
      <c r="M1080" s="26"/>
      <c r="N1080" s="22"/>
      <c r="O1080" s="22"/>
      <c r="P1080" s="25" t="str">
        <f aca="false">IF(OR(O1080="",O1080="Sin información"),"",IFERROR(INDEX(Listas!$B$2:$B$9,MATCH(O1080,Listas!$A$2:$A$9,0)),""))</f>
        <v/>
      </c>
      <c r="Q1080" s="25" t="str">
        <f aca="false">IF(OR(O1080="",O1080="Sin información"),"",IFERROR(INDEX(Listas!$C$2:$C$9,MATCH(O1080,Listas!$A$2:$A$9,0)),""))</f>
        <v/>
      </c>
      <c r="R1080" s="22"/>
      <c r="S1080" s="22"/>
      <c r="T1080" s="25" t="str">
        <f aca="false">IF(S1080="","",IFERROR(INDEX(Empleadores!$B$2:$B$601,MATCH(S1080,Empleadores!$A$2:$A$601,0)),"No encontrado"))</f>
        <v/>
      </c>
      <c r="U1080" s="25" t="str">
        <f aca="false">IF(C1080="","",IF(V1080="","No",IF(Config!$C$4-V1080&lt;=Config!$C$15,"Sí","No")))</f>
        <v/>
      </c>
      <c r="V1080" s="23"/>
      <c r="W1080" s="22"/>
      <c r="X1080" s="22"/>
      <c r="Y1080" s="22"/>
      <c r="Z1080" s="27"/>
      <c r="AA1080" s="22"/>
      <c r="AB1080" s="22"/>
    </row>
    <row r="1081" customFormat="false" ht="15" hidden="false" customHeight="false" outlineLevel="0" collapsed="false">
      <c r="A1081" s="22"/>
      <c r="B1081" s="22"/>
      <c r="C1081" s="22"/>
      <c r="D1081" s="22"/>
      <c r="E1081" s="22"/>
      <c r="F1081" s="22"/>
      <c r="G1081" s="23"/>
      <c r="H1081" s="24" t="str">
        <f aca="false">IF(G1081="","",ROUND((Config!$C$4-G1081)/365.25,2))</f>
        <v/>
      </c>
      <c r="I1081" s="25" t="str">
        <f aca="false">IF(H1081="","",IF(H1081&lt;=1,"Tramo 1",IF(H1081&lt;=3,"Tramo 2",IF(H1081&lt;=5,"Tramo 3","Tramo 4"))))</f>
        <v/>
      </c>
      <c r="J1081" s="22"/>
      <c r="K1081" s="22"/>
      <c r="L1081" s="22"/>
      <c r="M1081" s="26"/>
      <c r="N1081" s="22"/>
      <c r="O1081" s="22"/>
      <c r="P1081" s="25" t="str">
        <f aca="false">IF(OR(O1081="",O1081="Sin información"),"",IFERROR(INDEX(Listas!$B$2:$B$9,MATCH(O1081,Listas!$A$2:$A$9,0)),""))</f>
        <v/>
      </c>
      <c r="Q1081" s="25" t="str">
        <f aca="false">IF(OR(O1081="",O1081="Sin información"),"",IFERROR(INDEX(Listas!$C$2:$C$9,MATCH(O1081,Listas!$A$2:$A$9,0)),""))</f>
        <v/>
      </c>
      <c r="R1081" s="22"/>
      <c r="S1081" s="22"/>
      <c r="T1081" s="25" t="str">
        <f aca="false">IF(S1081="","",IFERROR(INDEX(Empleadores!$B$2:$B$601,MATCH(S1081,Empleadores!$A$2:$A$601,0)),"No encontrado"))</f>
        <v/>
      </c>
      <c r="U1081" s="25" t="str">
        <f aca="false">IF(C1081="","",IF(V1081="","No",IF(Config!$C$4-V1081&lt;=Config!$C$15,"Sí","No")))</f>
        <v/>
      </c>
      <c r="V1081" s="23"/>
      <c r="W1081" s="22"/>
      <c r="X1081" s="22"/>
      <c r="Y1081" s="22"/>
      <c r="Z1081" s="27"/>
      <c r="AA1081" s="22"/>
      <c r="AB1081" s="22"/>
    </row>
    <row r="1082" customFormat="false" ht="15" hidden="false" customHeight="false" outlineLevel="0" collapsed="false">
      <c r="A1082" s="22"/>
      <c r="B1082" s="22"/>
      <c r="C1082" s="22"/>
      <c r="D1082" s="22"/>
      <c r="E1082" s="22"/>
      <c r="F1082" s="22"/>
      <c r="G1082" s="23"/>
      <c r="H1082" s="24" t="str">
        <f aca="false">IF(G1082="","",ROUND((Config!$C$4-G1082)/365.25,2))</f>
        <v/>
      </c>
      <c r="I1082" s="25" t="str">
        <f aca="false">IF(H1082="","",IF(H1082&lt;=1,"Tramo 1",IF(H1082&lt;=3,"Tramo 2",IF(H1082&lt;=5,"Tramo 3","Tramo 4"))))</f>
        <v/>
      </c>
      <c r="J1082" s="22"/>
      <c r="K1082" s="22"/>
      <c r="L1082" s="22"/>
      <c r="M1082" s="26"/>
      <c r="N1082" s="22"/>
      <c r="O1082" s="22"/>
      <c r="P1082" s="25" t="str">
        <f aca="false">IF(OR(O1082="",O1082="Sin información"),"",IFERROR(INDEX(Listas!$B$2:$B$9,MATCH(O1082,Listas!$A$2:$A$9,0)),""))</f>
        <v/>
      </c>
      <c r="Q1082" s="25" t="str">
        <f aca="false">IF(OR(O1082="",O1082="Sin información"),"",IFERROR(INDEX(Listas!$C$2:$C$9,MATCH(O1082,Listas!$A$2:$A$9,0)),""))</f>
        <v/>
      </c>
      <c r="R1082" s="22"/>
      <c r="S1082" s="22"/>
      <c r="T1082" s="25" t="str">
        <f aca="false">IF(S1082="","",IFERROR(INDEX(Empleadores!$B$2:$B$601,MATCH(S1082,Empleadores!$A$2:$A$601,0)),"No encontrado"))</f>
        <v/>
      </c>
      <c r="U1082" s="25" t="str">
        <f aca="false">IF(C1082="","",IF(V1082="","No",IF(Config!$C$4-V1082&lt;=Config!$C$15,"Sí","No")))</f>
        <v/>
      </c>
      <c r="V1082" s="23"/>
      <c r="W1082" s="22"/>
      <c r="X1082" s="22"/>
      <c r="Y1082" s="22"/>
      <c r="Z1082" s="27"/>
      <c r="AA1082" s="22"/>
      <c r="AB1082" s="22"/>
    </row>
    <row r="1083" customFormat="false" ht="15" hidden="false" customHeight="false" outlineLevel="0" collapsed="false">
      <c r="A1083" s="22"/>
      <c r="B1083" s="22"/>
      <c r="C1083" s="22"/>
      <c r="D1083" s="22"/>
      <c r="E1083" s="22"/>
      <c r="F1083" s="22"/>
      <c r="G1083" s="23"/>
      <c r="H1083" s="24" t="str">
        <f aca="false">IF(G1083="","",ROUND((Config!$C$4-G1083)/365.25,2))</f>
        <v/>
      </c>
      <c r="I1083" s="25" t="str">
        <f aca="false">IF(H1083="","",IF(H1083&lt;=1,"Tramo 1",IF(H1083&lt;=3,"Tramo 2",IF(H1083&lt;=5,"Tramo 3","Tramo 4"))))</f>
        <v/>
      </c>
      <c r="J1083" s="22"/>
      <c r="K1083" s="22"/>
      <c r="L1083" s="22"/>
      <c r="M1083" s="26"/>
      <c r="N1083" s="22"/>
      <c r="O1083" s="22"/>
      <c r="P1083" s="25" t="str">
        <f aca="false">IF(OR(O1083="",O1083="Sin información"),"",IFERROR(INDEX(Listas!$B$2:$B$9,MATCH(O1083,Listas!$A$2:$A$9,0)),""))</f>
        <v/>
      </c>
      <c r="Q1083" s="25" t="str">
        <f aca="false">IF(OR(O1083="",O1083="Sin información"),"",IFERROR(INDEX(Listas!$C$2:$C$9,MATCH(O1083,Listas!$A$2:$A$9,0)),""))</f>
        <v/>
      </c>
      <c r="R1083" s="22"/>
      <c r="S1083" s="22"/>
      <c r="T1083" s="25" t="str">
        <f aca="false">IF(S1083="","",IFERROR(INDEX(Empleadores!$B$2:$B$601,MATCH(S1083,Empleadores!$A$2:$A$601,0)),"No encontrado"))</f>
        <v/>
      </c>
      <c r="U1083" s="25" t="str">
        <f aca="false">IF(C1083="","",IF(V1083="","No",IF(Config!$C$4-V1083&lt;=Config!$C$15,"Sí","No")))</f>
        <v/>
      </c>
      <c r="V1083" s="23"/>
      <c r="W1083" s="22"/>
      <c r="X1083" s="22"/>
      <c r="Y1083" s="22"/>
      <c r="Z1083" s="27"/>
      <c r="AA1083" s="22"/>
      <c r="AB1083" s="22"/>
    </row>
    <row r="1084" customFormat="false" ht="15" hidden="false" customHeight="false" outlineLevel="0" collapsed="false">
      <c r="A1084" s="22"/>
      <c r="B1084" s="22"/>
      <c r="C1084" s="22"/>
      <c r="D1084" s="22"/>
      <c r="E1084" s="22"/>
      <c r="F1084" s="22"/>
      <c r="G1084" s="23"/>
      <c r="H1084" s="24" t="str">
        <f aca="false">IF(G1084="","",ROUND((Config!$C$4-G1084)/365.25,2))</f>
        <v/>
      </c>
      <c r="I1084" s="25" t="str">
        <f aca="false">IF(H1084="","",IF(H1084&lt;=1,"Tramo 1",IF(H1084&lt;=3,"Tramo 2",IF(H1084&lt;=5,"Tramo 3","Tramo 4"))))</f>
        <v/>
      </c>
      <c r="J1084" s="22"/>
      <c r="K1084" s="22"/>
      <c r="L1084" s="22"/>
      <c r="M1084" s="26"/>
      <c r="N1084" s="22"/>
      <c r="O1084" s="22"/>
      <c r="P1084" s="25" t="str">
        <f aca="false">IF(OR(O1084="",O1084="Sin información"),"",IFERROR(INDEX(Listas!$B$2:$B$9,MATCH(O1084,Listas!$A$2:$A$9,0)),""))</f>
        <v/>
      </c>
      <c r="Q1084" s="25" t="str">
        <f aca="false">IF(OR(O1084="",O1084="Sin información"),"",IFERROR(INDEX(Listas!$C$2:$C$9,MATCH(O1084,Listas!$A$2:$A$9,0)),""))</f>
        <v/>
      </c>
      <c r="R1084" s="22"/>
      <c r="S1084" s="22"/>
      <c r="T1084" s="25" t="str">
        <f aca="false">IF(S1084="","",IFERROR(INDEX(Empleadores!$B$2:$B$601,MATCH(S1084,Empleadores!$A$2:$A$601,0)),"No encontrado"))</f>
        <v/>
      </c>
      <c r="U1084" s="25" t="str">
        <f aca="false">IF(C1084="","",IF(V1084="","No",IF(Config!$C$4-V1084&lt;=Config!$C$15,"Sí","No")))</f>
        <v/>
      </c>
      <c r="V1084" s="23"/>
      <c r="W1084" s="22"/>
      <c r="X1084" s="22"/>
      <c r="Y1084" s="22"/>
      <c r="Z1084" s="27"/>
      <c r="AA1084" s="22"/>
      <c r="AB1084" s="22"/>
    </row>
    <row r="1085" customFormat="false" ht="15" hidden="false" customHeight="false" outlineLevel="0" collapsed="false">
      <c r="A1085" s="22"/>
      <c r="B1085" s="22"/>
      <c r="C1085" s="22"/>
      <c r="D1085" s="22"/>
      <c r="E1085" s="22"/>
      <c r="F1085" s="22"/>
      <c r="G1085" s="23"/>
      <c r="H1085" s="24" t="str">
        <f aca="false">IF(G1085="","",ROUND((Config!$C$4-G1085)/365.25,2))</f>
        <v/>
      </c>
      <c r="I1085" s="25" t="str">
        <f aca="false">IF(H1085="","",IF(H1085&lt;=1,"Tramo 1",IF(H1085&lt;=3,"Tramo 2",IF(H1085&lt;=5,"Tramo 3","Tramo 4"))))</f>
        <v/>
      </c>
      <c r="J1085" s="22"/>
      <c r="K1085" s="22"/>
      <c r="L1085" s="22"/>
      <c r="M1085" s="26"/>
      <c r="N1085" s="22"/>
      <c r="O1085" s="22"/>
      <c r="P1085" s="25" t="str">
        <f aca="false">IF(OR(O1085="",O1085="Sin información"),"",IFERROR(INDEX(Listas!$B$2:$B$9,MATCH(O1085,Listas!$A$2:$A$9,0)),""))</f>
        <v/>
      </c>
      <c r="Q1085" s="25" t="str">
        <f aca="false">IF(OR(O1085="",O1085="Sin información"),"",IFERROR(INDEX(Listas!$C$2:$C$9,MATCH(O1085,Listas!$A$2:$A$9,0)),""))</f>
        <v/>
      </c>
      <c r="R1085" s="22"/>
      <c r="S1085" s="22"/>
      <c r="T1085" s="25" t="str">
        <f aca="false">IF(S1085="","",IFERROR(INDEX(Empleadores!$B$2:$B$601,MATCH(S1085,Empleadores!$A$2:$A$601,0)),"No encontrado"))</f>
        <v/>
      </c>
      <c r="U1085" s="25" t="str">
        <f aca="false">IF(C1085="","",IF(V1085="","No",IF(Config!$C$4-V1085&lt;=Config!$C$15,"Sí","No")))</f>
        <v/>
      </c>
      <c r="V1085" s="23"/>
      <c r="W1085" s="22"/>
      <c r="X1085" s="22"/>
      <c r="Y1085" s="22"/>
      <c r="Z1085" s="27"/>
      <c r="AA1085" s="22"/>
      <c r="AB1085" s="22"/>
    </row>
    <row r="1086" customFormat="false" ht="15" hidden="false" customHeight="false" outlineLevel="0" collapsed="false">
      <c r="A1086" s="22"/>
      <c r="B1086" s="22"/>
      <c r="C1086" s="22"/>
      <c r="D1086" s="22"/>
      <c r="E1086" s="22"/>
      <c r="F1086" s="22"/>
      <c r="G1086" s="23"/>
      <c r="H1086" s="24" t="str">
        <f aca="false">IF(G1086="","",ROUND((Config!$C$4-G1086)/365.25,2))</f>
        <v/>
      </c>
      <c r="I1086" s="25" t="str">
        <f aca="false">IF(H1086="","",IF(H1086&lt;=1,"Tramo 1",IF(H1086&lt;=3,"Tramo 2",IF(H1086&lt;=5,"Tramo 3","Tramo 4"))))</f>
        <v/>
      </c>
      <c r="J1086" s="22"/>
      <c r="K1086" s="22"/>
      <c r="L1086" s="22"/>
      <c r="M1086" s="26"/>
      <c r="N1086" s="22"/>
      <c r="O1086" s="22"/>
      <c r="P1086" s="25" t="str">
        <f aca="false">IF(OR(O1086="",O1086="Sin información"),"",IFERROR(INDEX(Listas!$B$2:$B$9,MATCH(O1086,Listas!$A$2:$A$9,0)),""))</f>
        <v/>
      </c>
      <c r="Q1086" s="25" t="str">
        <f aca="false">IF(OR(O1086="",O1086="Sin información"),"",IFERROR(INDEX(Listas!$C$2:$C$9,MATCH(O1086,Listas!$A$2:$A$9,0)),""))</f>
        <v/>
      </c>
      <c r="R1086" s="22"/>
      <c r="S1086" s="22"/>
      <c r="T1086" s="25" t="str">
        <f aca="false">IF(S1086="","",IFERROR(INDEX(Empleadores!$B$2:$B$601,MATCH(S1086,Empleadores!$A$2:$A$601,0)),"No encontrado"))</f>
        <v/>
      </c>
      <c r="U1086" s="25" t="str">
        <f aca="false">IF(C1086="","",IF(V1086="","No",IF(Config!$C$4-V1086&lt;=Config!$C$15,"Sí","No")))</f>
        <v/>
      </c>
      <c r="V1086" s="23"/>
      <c r="W1086" s="22"/>
      <c r="X1086" s="22"/>
      <c r="Y1086" s="22"/>
      <c r="Z1086" s="27"/>
      <c r="AA1086" s="22"/>
      <c r="AB1086" s="22"/>
    </row>
    <row r="1087" customFormat="false" ht="15" hidden="false" customHeight="false" outlineLevel="0" collapsed="false">
      <c r="A1087" s="22"/>
      <c r="B1087" s="22"/>
      <c r="C1087" s="22"/>
      <c r="D1087" s="22"/>
      <c r="E1087" s="22"/>
      <c r="F1087" s="22"/>
      <c r="G1087" s="23"/>
      <c r="H1087" s="24" t="str">
        <f aca="false">IF(G1087="","",ROUND((Config!$C$4-G1087)/365.25,2))</f>
        <v/>
      </c>
      <c r="I1087" s="25" t="str">
        <f aca="false">IF(H1087="","",IF(H1087&lt;=1,"Tramo 1",IF(H1087&lt;=3,"Tramo 2",IF(H1087&lt;=5,"Tramo 3","Tramo 4"))))</f>
        <v/>
      </c>
      <c r="J1087" s="22"/>
      <c r="K1087" s="22"/>
      <c r="L1087" s="22"/>
      <c r="M1087" s="26"/>
      <c r="N1087" s="22"/>
      <c r="O1087" s="22"/>
      <c r="P1087" s="25" t="str">
        <f aca="false">IF(OR(O1087="",O1087="Sin información"),"",IFERROR(INDEX(Listas!$B$2:$B$9,MATCH(O1087,Listas!$A$2:$A$9,0)),""))</f>
        <v/>
      </c>
      <c r="Q1087" s="25" t="str">
        <f aca="false">IF(OR(O1087="",O1087="Sin información"),"",IFERROR(INDEX(Listas!$C$2:$C$9,MATCH(O1087,Listas!$A$2:$A$9,0)),""))</f>
        <v/>
      </c>
      <c r="R1087" s="22"/>
      <c r="S1087" s="22"/>
      <c r="T1087" s="25" t="str">
        <f aca="false">IF(S1087="","",IFERROR(INDEX(Empleadores!$B$2:$B$601,MATCH(S1087,Empleadores!$A$2:$A$601,0)),"No encontrado"))</f>
        <v/>
      </c>
      <c r="U1087" s="25" t="str">
        <f aca="false">IF(C1087="","",IF(V1087="","No",IF(Config!$C$4-V1087&lt;=Config!$C$15,"Sí","No")))</f>
        <v/>
      </c>
      <c r="V1087" s="23"/>
      <c r="W1087" s="22"/>
      <c r="X1087" s="22"/>
      <c r="Y1087" s="22"/>
      <c r="Z1087" s="27"/>
      <c r="AA1087" s="22"/>
      <c r="AB1087" s="22"/>
    </row>
    <row r="1088" customFormat="false" ht="15" hidden="false" customHeight="false" outlineLevel="0" collapsed="false">
      <c r="A1088" s="22"/>
      <c r="B1088" s="22"/>
      <c r="C1088" s="22"/>
      <c r="D1088" s="22"/>
      <c r="E1088" s="22"/>
      <c r="F1088" s="22"/>
      <c r="G1088" s="23"/>
      <c r="H1088" s="24" t="str">
        <f aca="false">IF(G1088="","",ROUND((Config!$C$4-G1088)/365.25,2))</f>
        <v/>
      </c>
      <c r="I1088" s="25" t="str">
        <f aca="false">IF(H1088="","",IF(H1088&lt;=1,"Tramo 1",IF(H1088&lt;=3,"Tramo 2",IF(H1088&lt;=5,"Tramo 3","Tramo 4"))))</f>
        <v/>
      </c>
      <c r="J1088" s="22"/>
      <c r="K1088" s="22"/>
      <c r="L1088" s="22"/>
      <c r="M1088" s="26"/>
      <c r="N1088" s="22"/>
      <c r="O1088" s="22"/>
      <c r="P1088" s="25" t="str">
        <f aca="false">IF(OR(O1088="",O1088="Sin información"),"",IFERROR(INDEX(Listas!$B$2:$B$9,MATCH(O1088,Listas!$A$2:$A$9,0)),""))</f>
        <v/>
      </c>
      <c r="Q1088" s="25" t="str">
        <f aca="false">IF(OR(O1088="",O1088="Sin información"),"",IFERROR(INDEX(Listas!$C$2:$C$9,MATCH(O1088,Listas!$A$2:$A$9,0)),""))</f>
        <v/>
      </c>
      <c r="R1088" s="22"/>
      <c r="S1088" s="22"/>
      <c r="T1088" s="25" t="str">
        <f aca="false">IF(S1088="","",IFERROR(INDEX(Empleadores!$B$2:$B$601,MATCH(S1088,Empleadores!$A$2:$A$601,0)),"No encontrado"))</f>
        <v/>
      </c>
      <c r="U1088" s="25" t="str">
        <f aca="false">IF(C1088="","",IF(V1088="","No",IF(Config!$C$4-V1088&lt;=Config!$C$15,"Sí","No")))</f>
        <v/>
      </c>
      <c r="V1088" s="23"/>
      <c r="W1088" s="22"/>
      <c r="X1088" s="22"/>
      <c r="Y1088" s="22"/>
      <c r="Z1088" s="27"/>
      <c r="AA1088" s="22"/>
      <c r="AB1088" s="22"/>
    </row>
    <row r="1089" customFormat="false" ht="15" hidden="false" customHeight="false" outlineLevel="0" collapsed="false">
      <c r="A1089" s="22"/>
      <c r="B1089" s="22"/>
      <c r="C1089" s="22"/>
      <c r="D1089" s="22"/>
      <c r="E1089" s="22"/>
      <c r="F1089" s="22"/>
      <c r="G1089" s="23"/>
      <c r="H1089" s="24" t="str">
        <f aca="false">IF(G1089="","",ROUND((Config!$C$4-G1089)/365.25,2))</f>
        <v/>
      </c>
      <c r="I1089" s="25" t="str">
        <f aca="false">IF(H1089="","",IF(H1089&lt;=1,"Tramo 1",IF(H1089&lt;=3,"Tramo 2",IF(H1089&lt;=5,"Tramo 3","Tramo 4"))))</f>
        <v/>
      </c>
      <c r="J1089" s="22"/>
      <c r="K1089" s="22"/>
      <c r="L1089" s="22"/>
      <c r="M1089" s="26"/>
      <c r="N1089" s="22"/>
      <c r="O1089" s="22"/>
      <c r="P1089" s="25" t="str">
        <f aca="false">IF(OR(O1089="",O1089="Sin información"),"",IFERROR(INDEX(Listas!$B$2:$B$9,MATCH(O1089,Listas!$A$2:$A$9,0)),""))</f>
        <v/>
      </c>
      <c r="Q1089" s="25" t="str">
        <f aca="false">IF(OR(O1089="",O1089="Sin información"),"",IFERROR(INDEX(Listas!$C$2:$C$9,MATCH(O1089,Listas!$A$2:$A$9,0)),""))</f>
        <v/>
      </c>
      <c r="R1089" s="22"/>
      <c r="S1089" s="22"/>
      <c r="T1089" s="25" t="str">
        <f aca="false">IF(S1089="","",IFERROR(INDEX(Empleadores!$B$2:$B$601,MATCH(S1089,Empleadores!$A$2:$A$601,0)),"No encontrado"))</f>
        <v/>
      </c>
      <c r="U1089" s="25" t="str">
        <f aca="false">IF(C1089="","",IF(V1089="","No",IF(Config!$C$4-V1089&lt;=Config!$C$15,"Sí","No")))</f>
        <v/>
      </c>
      <c r="V1089" s="23"/>
      <c r="W1089" s="22"/>
      <c r="X1089" s="22"/>
      <c r="Y1089" s="22"/>
      <c r="Z1089" s="27"/>
      <c r="AA1089" s="22"/>
      <c r="AB1089" s="22"/>
    </row>
    <row r="1090" customFormat="false" ht="15" hidden="false" customHeight="false" outlineLevel="0" collapsed="false">
      <c r="A1090" s="22"/>
      <c r="B1090" s="22"/>
      <c r="C1090" s="22"/>
      <c r="D1090" s="22"/>
      <c r="E1090" s="22"/>
      <c r="F1090" s="22"/>
      <c r="G1090" s="23"/>
      <c r="H1090" s="24" t="str">
        <f aca="false">IF(G1090="","",ROUND((Config!$C$4-G1090)/365.25,2))</f>
        <v/>
      </c>
      <c r="I1090" s="25" t="str">
        <f aca="false">IF(H1090="","",IF(H1090&lt;=1,"Tramo 1",IF(H1090&lt;=3,"Tramo 2",IF(H1090&lt;=5,"Tramo 3","Tramo 4"))))</f>
        <v/>
      </c>
      <c r="J1090" s="22"/>
      <c r="K1090" s="22"/>
      <c r="L1090" s="22"/>
      <c r="M1090" s="26"/>
      <c r="N1090" s="22"/>
      <c r="O1090" s="22"/>
      <c r="P1090" s="25" t="str">
        <f aca="false">IF(OR(O1090="",O1090="Sin información"),"",IFERROR(INDEX(Listas!$B$2:$B$9,MATCH(O1090,Listas!$A$2:$A$9,0)),""))</f>
        <v/>
      </c>
      <c r="Q1090" s="25" t="str">
        <f aca="false">IF(OR(O1090="",O1090="Sin información"),"",IFERROR(INDEX(Listas!$C$2:$C$9,MATCH(O1090,Listas!$A$2:$A$9,0)),""))</f>
        <v/>
      </c>
      <c r="R1090" s="22"/>
      <c r="S1090" s="22"/>
      <c r="T1090" s="25" t="str">
        <f aca="false">IF(S1090="","",IFERROR(INDEX(Empleadores!$B$2:$B$601,MATCH(S1090,Empleadores!$A$2:$A$601,0)),"No encontrado"))</f>
        <v/>
      </c>
      <c r="U1090" s="25" t="str">
        <f aca="false">IF(C1090="","",IF(V1090="","No",IF(Config!$C$4-V1090&lt;=Config!$C$15,"Sí","No")))</f>
        <v/>
      </c>
      <c r="V1090" s="23"/>
      <c r="W1090" s="22"/>
      <c r="X1090" s="22"/>
      <c r="Y1090" s="22"/>
      <c r="Z1090" s="27"/>
      <c r="AA1090" s="22"/>
      <c r="AB1090" s="22"/>
    </row>
    <row r="1091" customFormat="false" ht="15" hidden="false" customHeight="false" outlineLevel="0" collapsed="false">
      <c r="A1091" s="22"/>
      <c r="B1091" s="22"/>
      <c r="C1091" s="22"/>
      <c r="D1091" s="22"/>
      <c r="E1091" s="22"/>
      <c r="F1091" s="22"/>
      <c r="G1091" s="23"/>
      <c r="H1091" s="24" t="str">
        <f aca="false">IF(G1091="","",ROUND((Config!$C$4-G1091)/365.25,2))</f>
        <v/>
      </c>
      <c r="I1091" s="25" t="str">
        <f aca="false">IF(H1091="","",IF(H1091&lt;=1,"Tramo 1",IF(H1091&lt;=3,"Tramo 2",IF(H1091&lt;=5,"Tramo 3","Tramo 4"))))</f>
        <v/>
      </c>
      <c r="J1091" s="22"/>
      <c r="K1091" s="22"/>
      <c r="L1091" s="22"/>
      <c r="M1091" s="26"/>
      <c r="N1091" s="22"/>
      <c r="O1091" s="22"/>
      <c r="P1091" s="25" t="str">
        <f aca="false">IF(OR(O1091="",O1091="Sin información"),"",IFERROR(INDEX(Listas!$B$2:$B$9,MATCH(O1091,Listas!$A$2:$A$9,0)),""))</f>
        <v/>
      </c>
      <c r="Q1091" s="25" t="str">
        <f aca="false">IF(OR(O1091="",O1091="Sin información"),"",IFERROR(INDEX(Listas!$C$2:$C$9,MATCH(O1091,Listas!$A$2:$A$9,0)),""))</f>
        <v/>
      </c>
      <c r="R1091" s="22"/>
      <c r="S1091" s="22"/>
      <c r="T1091" s="25" t="str">
        <f aca="false">IF(S1091="","",IFERROR(INDEX(Empleadores!$B$2:$B$601,MATCH(S1091,Empleadores!$A$2:$A$601,0)),"No encontrado"))</f>
        <v/>
      </c>
      <c r="U1091" s="25" t="str">
        <f aca="false">IF(C1091="","",IF(V1091="","No",IF(Config!$C$4-V1091&lt;=Config!$C$15,"Sí","No")))</f>
        <v/>
      </c>
      <c r="V1091" s="23"/>
      <c r="W1091" s="22"/>
      <c r="X1091" s="22"/>
      <c r="Y1091" s="22"/>
      <c r="Z1091" s="27"/>
      <c r="AA1091" s="22"/>
      <c r="AB1091" s="22"/>
    </row>
    <row r="1092" customFormat="false" ht="15" hidden="false" customHeight="false" outlineLevel="0" collapsed="false">
      <c r="A1092" s="22"/>
      <c r="B1092" s="22"/>
      <c r="C1092" s="22"/>
      <c r="D1092" s="22"/>
      <c r="E1092" s="22"/>
      <c r="F1092" s="22"/>
      <c r="G1092" s="23"/>
      <c r="H1092" s="24" t="str">
        <f aca="false">IF(G1092="","",ROUND((Config!$C$4-G1092)/365.25,2))</f>
        <v/>
      </c>
      <c r="I1092" s="25" t="str">
        <f aca="false">IF(H1092="","",IF(H1092&lt;=1,"Tramo 1",IF(H1092&lt;=3,"Tramo 2",IF(H1092&lt;=5,"Tramo 3","Tramo 4"))))</f>
        <v/>
      </c>
      <c r="J1092" s="22"/>
      <c r="K1092" s="22"/>
      <c r="L1092" s="22"/>
      <c r="M1092" s="26"/>
      <c r="N1092" s="22"/>
      <c r="O1092" s="22"/>
      <c r="P1092" s="25" t="str">
        <f aca="false">IF(OR(O1092="",O1092="Sin información"),"",IFERROR(INDEX(Listas!$B$2:$B$9,MATCH(O1092,Listas!$A$2:$A$9,0)),""))</f>
        <v/>
      </c>
      <c r="Q1092" s="25" t="str">
        <f aca="false">IF(OR(O1092="",O1092="Sin información"),"",IFERROR(INDEX(Listas!$C$2:$C$9,MATCH(O1092,Listas!$A$2:$A$9,0)),""))</f>
        <v/>
      </c>
      <c r="R1092" s="22"/>
      <c r="S1092" s="22"/>
      <c r="T1092" s="25" t="str">
        <f aca="false">IF(S1092="","",IFERROR(INDEX(Empleadores!$B$2:$B$601,MATCH(S1092,Empleadores!$A$2:$A$601,0)),"No encontrado"))</f>
        <v/>
      </c>
      <c r="U1092" s="25" t="str">
        <f aca="false">IF(C1092="","",IF(V1092="","No",IF(Config!$C$4-V1092&lt;=Config!$C$15,"Sí","No")))</f>
        <v/>
      </c>
      <c r="V1092" s="23"/>
      <c r="W1092" s="22"/>
      <c r="X1092" s="22"/>
      <c r="Y1092" s="22"/>
      <c r="Z1092" s="27"/>
      <c r="AA1092" s="22"/>
      <c r="AB1092" s="22"/>
    </row>
    <row r="1093" customFormat="false" ht="15" hidden="false" customHeight="false" outlineLevel="0" collapsed="false">
      <c r="A1093" s="22"/>
      <c r="B1093" s="22"/>
      <c r="C1093" s="22"/>
      <c r="D1093" s="22"/>
      <c r="E1093" s="22"/>
      <c r="F1093" s="22"/>
      <c r="G1093" s="23"/>
      <c r="H1093" s="24" t="str">
        <f aca="false">IF(G1093="","",ROUND((Config!$C$4-G1093)/365.25,2))</f>
        <v/>
      </c>
      <c r="I1093" s="25" t="str">
        <f aca="false">IF(H1093="","",IF(H1093&lt;=1,"Tramo 1",IF(H1093&lt;=3,"Tramo 2",IF(H1093&lt;=5,"Tramo 3","Tramo 4"))))</f>
        <v/>
      </c>
      <c r="J1093" s="22"/>
      <c r="K1093" s="22"/>
      <c r="L1093" s="22"/>
      <c r="M1093" s="26"/>
      <c r="N1093" s="22"/>
      <c r="O1093" s="22"/>
      <c r="P1093" s="25" t="str">
        <f aca="false">IF(OR(O1093="",O1093="Sin información"),"",IFERROR(INDEX(Listas!$B$2:$B$9,MATCH(O1093,Listas!$A$2:$A$9,0)),""))</f>
        <v/>
      </c>
      <c r="Q1093" s="25" t="str">
        <f aca="false">IF(OR(O1093="",O1093="Sin información"),"",IFERROR(INDEX(Listas!$C$2:$C$9,MATCH(O1093,Listas!$A$2:$A$9,0)),""))</f>
        <v/>
      </c>
      <c r="R1093" s="22"/>
      <c r="S1093" s="22"/>
      <c r="T1093" s="25" t="str">
        <f aca="false">IF(S1093="","",IFERROR(INDEX(Empleadores!$B$2:$B$601,MATCH(S1093,Empleadores!$A$2:$A$601,0)),"No encontrado"))</f>
        <v/>
      </c>
      <c r="U1093" s="25" t="str">
        <f aca="false">IF(C1093="","",IF(V1093="","No",IF(Config!$C$4-V1093&lt;=Config!$C$15,"Sí","No")))</f>
        <v/>
      </c>
      <c r="V1093" s="23"/>
      <c r="W1093" s="22"/>
      <c r="X1093" s="22"/>
      <c r="Y1093" s="22"/>
      <c r="Z1093" s="27"/>
      <c r="AA1093" s="22"/>
      <c r="AB1093" s="22"/>
    </row>
    <row r="1094" customFormat="false" ht="15" hidden="false" customHeight="false" outlineLevel="0" collapsed="false">
      <c r="A1094" s="22"/>
      <c r="B1094" s="22"/>
      <c r="C1094" s="22"/>
      <c r="D1094" s="22"/>
      <c r="E1094" s="22"/>
      <c r="F1094" s="22"/>
      <c r="G1094" s="23"/>
      <c r="H1094" s="24" t="str">
        <f aca="false">IF(G1094="","",ROUND((Config!$C$4-G1094)/365.25,2))</f>
        <v/>
      </c>
      <c r="I1094" s="25" t="str">
        <f aca="false">IF(H1094="","",IF(H1094&lt;=1,"Tramo 1",IF(H1094&lt;=3,"Tramo 2",IF(H1094&lt;=5,"Tramo 3","Tramo 4"))))</f>
        <v/>
      </c>
      <c r="J1094" s="22"/>
      <c r="K1094" s="22"/>
      <c r="L1094" s="22"/>
      <c r="M1094" s="26"/>
      <c r="N1094" s="22"/>
      <c r="O1094" s="22"/>
      <c r="P1094" s="25" t="str">
        <f aca="false">IF(OR(O1094="",O1094="Sin información"),"",IFERROR(INDEX(Listas!$B$2:$B$9,MATCH(O1094,Listas!$A$2:$A$9,0)),""))</f>
        <v/>
      </c>
      <c r="Q1094" s="25" t="str">
        <f aca="false">IF(OR(O1094="",O1094="Sin información"),"",IFERROR(INDEX(Listas!$C$2:$C$9,MATCH(O1094,Listas!$A$2:$A$9,0)),""))</f>
        <v/>
      </c>
      <c r="R1094" s="22"/>
      <c r="S1094" s="22"/>
      <c r="T1094" s="25" t="str">
        <f aca="false">IF(S1094="","",IFERROR(INDEX(Empleadores!$B$2:$B$601,MATCH(S1094,Empleadores!$A$2:$A$601,0)),"No encontrado"))</f>
        <v/>
      </c>
      <c r="U1094" s="25" t="str">
        <f aca="false">IF(C1094="","",IF(V1094="","No",IF(Config!$C$4-V1094&lt;=Config!$C$15,"Sí","No")))</f>
        <v/>
      </c>
      <c r="V1094" s="23"/>
      <c r="W1094" s="22"/>
      <c r="X1094" s="22"/>
      <c r="Y1094" s="22"/>
      <c r="Z1094" s="27"/>
      <c r="AA1094" s="22"/>
      <c r="AB1094" s="22"/>
    </row>
    <row r="1095" customFormat="false" ht="15" hidden="false" customHeight="false" outlineLevel="0" collapsed="false">
      <c r="A1095" s="22"/>
      <c r="B1095" s="22"/>
      <c r="C1095" s="22"/>
      <c r="D1095" s="22"/>
      <c r="E1095" s="22"/>
      <c r="F1095" s="22"/>
      <c r="G1095" s="23"/>
      <c r="H1095" s="24" t="str">
        <f aca="false">IF(G1095="","",ROUND((Config!$C$4-G1095)/365.25,2))</f>
        <v/>
      </c>
      <c r="I1095" s="25" t="str">
        <f aca="false">IF(H1095="","",IF(H1095&lt;=1,"Tramo 1",IF(H1095&lt;=3,"Tramo 2",IF(H1095&lt;=5,"Tramo 3","Tramo 4"))))</f>
        <v/>
      </c>
      <c r="J1095" s="22"/>
      <c r="K1095" s="22"/>
      <c r="L1095" s="22"/>
      <c r="M1095" s="26"/>
      <c r="N1095" s="22"/>
      <c r="O1095" s="22"/>
      <c r="P1095" s="25" t="str">
        <f aca="false">IF(OR(O1095="",O1095="Sin información"),"",IFERROR(INDEX(Listas!$B$2:$B$9,MATCH(O1095,Listas!$A$2:$A$9,0)),""))</f>
        <v/>
      </c>
      <c r="Q1095" s="25" t="str">
        <f aca="false">IF(OR(O1095="",O1095="Sin información"),"",IFERROR(INDEX(Listas!$C$2:$C$9,MATCH(O1095,Listas!$A$2:$A$9,0)),""))</f>
        <v/>
      </c>
      <c r="R1095" s="22"/>
      <c r="S1095" s="22"/>
      <c r="T1095" s="25" t="str">
        <f aca="false">IF(S1095="","",IFERROR(INDEX(Empleadores!$B$2:$B$601,MATCH(S1095,Empleadores!$A$2:$A$601,0)),"No encontrado"))</f>
        <v/>
      </c>
      <c r="U1095" s="25" t="str">
        <f aca="false">IF(C1095="","",IF(V1095="","No",IF(Config!$C$4-V1095&lt;=Config!$C$15,"Sí","No")))</f>
        <v/>
      </c>
      <c r="V1095" s="23"/>
      <c r="W1095" s="22"/>
      <c r="X1095" s="22"/>
      <c r="Y1095" s="22"/>
      <c r="Z1095" s="27"/>
      <c r="AA1095" s="22"/>
      <c r="AB1095" s="22"/>
    </row>
    <row r="1096" customFormat="false" ht="15" hidden="false" customHeight="false" outlineLevel="0" collapsed="false">
      <c r="A1096" s="22"/>
      <c r="B1096" s="22"/>
      <c r="C1096" s="22"/>
      <c r="D1096" s="22"/>
      <c r="E1096" s="22"/>
      <c r="F1096" s="22"/>
      <c r="G1096" s="23"/>
      <c r="H1096" s="24" t="str">
        <f aca="false">IF(G1096="","",ROUND((Config!$C$4-G1096)/365.25,2))</f>
        <v/>
      </c>
      <c r="I1096" s="25" t="str">
        <f aca="false">IF(H1096="","",IF(H1096&lt;=1,"Tramo 1",IF(H1096&lt;=3,"Tramo 2",IF(H1096&lt;=5,"Tramo 3","Tramo 4"))))</f>
        <v/>
      </c>
      <c r="J1096" s="22"/>
      <c r="K1096" s="22"/>
      <c r="L1096" s="22"/>
      <c r="M1096" s="26"/>
      <c r="N1096" s="22"/>
      <c r="O1096" s="22"/>
      <c r="P1096" s="25" t="str">
        <f aca="false">IF(OR(O1096="",O1096="Sin información"),"",IFERROR(INDEX(Listas!$B$2:$B$9,MATCH(O1096,Listas!$A$2:$A$9,0)),""))</f>
        <v/>
      </c>
      <c r="Q1096" s="25" t="str">
        <f aca="false">IF(OR(O1096="",O1096="Sin información"),"",IFERROR(INDEX(Listas!$C$2:$C$9,MATCH(O1096,Listas!$A$2:$A$9,0)),""))</f>
        <v/>
      </c>
      <c r="R1096" s="22"/>
      <c r="S1096" s="22"/>
      <c r="T1096" s="25" t="str">
        <f aca="false">IF(S1096="","",IFERROR(INDEX(Empleadores!$B$2:$B$601,MATCH(S1096,Empleadores!$A$2:$A$601,0)),"No encontrado"))</f>
        <v/>
      </c>
      <c r="U1096" s="25" t="str">
        <f aca="false">IF(C1096="","",IF(V1096="","No",IF(Config!$C$4-V1096&lt;=Config!$C$15,"Sí","No")))</f>
        <v/>
      </c>
      <c r="V1096" s="23"/>
      <c r="W1096" s="22"/>
      <c r="X1096" s="22"/>
      <c r="Y1096" s="22"/>
      <c r="Z1096" s="27"/>
      <c r="AA1096" s="22"/>
      <c r="AB1096" s="22"/>
    </row>
    <row r="1097" customFormat="false" ht="15" hidden="false" customHeight="false" outlineLevel="0" collapsed="false">
      <c r="A1097" s="22"/>
      <c r="B1097" s="22"/>
      <c r="C1097" s="22"/>
      <c r="D1097" s="22"/>
      <c r="E1097" s="22"/>
      <c r="F1097" s="22"/>
      <c r="G1097" s="23"/>
      <c r="H1097" s="24" t="str">
        <f aca="false">IF(G1097="","",ROUND((Config!$C$4-G1097)/365.25,2))</f>
        <v/>
      </c>
      <c r="I1097" s="25" t="str">
        <f aca="false">IF(H1097="","",IF(H1097&lt;=1,"Tramo 1",IF(H1097&lt;=3,"Tramo 2",IF(H1097&lt;=5,"Tramo 3","Tramo 4"))))</f>
        <v/>
      </c>
      <c r="J1097" s="22"/>
      <c r="K1097" s="22"/>
      <c r="L1097" s="22"/>
      <c r="M1097" s="26"/>
      <c r="N1097" s="22"/>
      <c r="O1097" s="22"/>
      <c r="P1097" s="25" t="str">
        <f aca="false">IF(OR(O1097="",O1097="Sin información"),"",IFERROR(INDEX(Listas!$B$2:$B$9,MATCH(O1097,Listas!$A$2:$A$9,0)),""))</f>
        <v/>
      </c>
      <c r="Q1097" s="25" t="str">
        <f aca="false">IF(OR(O1097="",O1097="Sin información"),"",IFERROR(INDEX(Listas!$C$2:$C$9,MATCH(O1097,Listas!$A$2:$A$9,0)),""))</f>
        <v/>
      </c>
      <c r="R1097" s="22"/>
      <c r="S1097" s="22"/>
      <c r="T1097" s="25" t="str">
        <f aca="false">IF(S1097="","",IFERROR(INDEX(Empleadores!$B$2:$B$601,MATCH(S1097,Empleadores!$A$2:$A$601,0)),"No encontrado"))</f>
        <v/>
      </c>
      <c r="U1097" s="25" t="str">
        <f aca="false">IF(C1097="","",IF(V1097="","No",IF(Config!$C$4-V1097&lt;=Config!$C$15,"Sí","No")))</f>
        <v/>
      </c>
      <c r="V1097" s="23"/>
      <c r="W1097" s="22"/>
      <c r="X1097" s="22"/>
      <c r="Y1097" s="22"/>
      <c r="Z1097" s="27"/>
      <c r="AA1097" s="22"/>
      <c r="AB1097" s="22"/>
    </row>
    <row r="1098" customFormat="false" ht="15" hidden="false" customHeight="false" outlineLevel="0" collapsed="false">
      <c r="A1098" s="22"/>
      <c r="B1098" s="22"/>
      <c r="C1098" s="22"/>
      <c r="D1098" s="22"/>
      <c r="E1098" s="22"/>
      <c r="F1098" s="22"/>
      <c r="G1098" s="23"/>
      <c r="H1098" s="24" t="str">
        <f aca="false">IF(G1098="","",ROUND((Config!$C$4-G1098)/365.25,2))</f>
        <v/>
      </c>
      <c r="I1098" s="25" t="str">
        <f aca="false">IF(H1098="","",IF(H1098&lt;=1,"Tramo 1",IF(H1098&lt;=3,"Tramo 2",IF(H1098&lt;=5,"Tramo 3","Tramo 4"))))</f>
        <v/>
      </c>
      <c r="J1098" s="22"/>
      <c r="K1098" s="22"/>
      <c r="L1098" s="22"/>
      <c r="M1098" s="26"/>
      <c r="N1098" s="22"/>
      <c r="O1098" s="22"/>
      <c r="P1098" s="25" t="str">
        <f aca="false">IF(OR(O1098="",O1098="Sin información"),"",IFERROR(INDEX(Listas!$B$2:$B$9,MATCH(O1098,Listas!$A$2:$A$9,0)),""))</f>
        <v/>
      </c>
      <c r="Q1098" s="25" t="str">
        <f aca="false">IF(OR(O1098="",O1098="Sin información"),"",IFERROR(INDEX(Listas!$C$2:$C$9,MATCH(O1098,Listas!$A$2:$A$9,0)),""))</f>
        <v/>
      </c>
      <c r="R1098" s="22"/>
      <c r="S1098" s="22"/>
      <c r="T1098" s="25" t="str">
        <f aca="false">IF(S1098="","",IFERROR(INDEX(Empleadores!$B$2:$B$601,MATCH(S1098,Empleadores!$A$2:$A$601,0)),"No encontrado"))</f>
        <v/>
      </c>
      <c r="U1098" s="25" t="str">
        <f aca="false">IF(C1098="","",IF(V1098="","No",IF(Config!$C$4-V1098&lt;=Config!$C$15,"Sí","No")))</f>
        <v/>
      </c>
      <c r="V1098" s="23"/>
      <c r="W1098" s="22"/>
      <c r="X1098" s="22"/>
      <c r="Y1098" s="22"/>
      <c r="Z1098" s="27"/>
      <c r="AA1098" s="22"/>
      <c r="AB1098" s="22"/>
    </row>
    <row r="1099" customFormat="false" ht="15" hidden="false" customHeight="false" outlineLevel="0" collapsed="false">
      <c r="A1099" s="22"/>
      <c r="B1099" s="22"/>
      <c r="C1099" s="22"/>
      <c r="D1099" s="22"/>
      <c r="E1099" s="22"/>
      <c r="F1099" s="22"/>
      <c r="G1099" s="23"/>
      <c r="H1099" s="24" t="str">
        <f aca="false">IF(G1099="","",ROUND((Config!$C$4-G1099)/365.25,2))</f>
        <v/>
      </c>
      <c r="I1099" s="25" t="str">
        <f aca="false">IF(H1099="","",IF(H1099&lt;=1,"Tramo 1",IF(H1099&lt;=3,"Tramo 2",IF(H1099&lt;=5,"Tramo 3","Tramo 4"))))</f>
        <v/>
      </c>
      <c r="J1099" s="22"/>
      <c r="K1099" s="22"/>
      <c r="L1099" s="22"/>
      <c r="M1099" s="26"/>
      <c r="N1099" s="22"/>
      <c r="O1099" s="22"/>
      <c r="P1099" s="25" t="str">
        <f aca="false">IF(OR(O1099="",O1099="Sin información"),"",IFERROR(INDEX(Listas!$B$2:$B$9,MATCH(O1099,Listas!$A$2:$A$9,0)),""))</f>
        <v/>
      </c>
      <c r="Q1099" s="25" t="str">
        <f aca="false">IF(OR(O1099="",O1099="Sin información"),"",IFERROR(INDEX(Listas!$C$2:$C$9,MATCH(O1099,Listas!$A$2:$A$9,0)),""))</f>
        <v/>
      </c>
      <c r="R1099" s="22"/>
      <c r="S1099" s="22"/>
      <c r="T1099" s="25" t="str">
        <f aca="false">IF(S1099="","",IFERROR(INDEX(Empleadores!$B$2:$B$601,MATCH(S1099,Empleadores!$A$2:$A$601,0)),"No encontrado"))</f>
        <v/>
      </c>
      <c r="U1099" s="25" t="str">
        <f aca="false">IF(C1099="","",IF(V1099="","No",IF(Config!$C$4-V1099&lt;=Config!$C$15,"Sí","No")))</f>
        <v/>
      </c>
      <c r="V1099" s="23"/>
      <c r="W1099" s="22"/>
      <c r="X1099" s="22"/>
      <c r="Y1099" s="22"/>
      <c r="Z1099" s="27"/>
      <c r="AA1099" s="22"/>
      <c r="AB1099" s="22"/>
    </row>
    <row r="1100" customFormat="false" ht="15" hidden="false" customHeight="false" outlineLevel="0" collapsed="false">
      <c r="A1100" s="22"/>
      <c r="B1100" s="22"/>
      <c r="C1100" s="22"/>
      <c r="D1100" s="22"/>
      <c r="E1100" s="22"/>
      <c r="F1100" s="22"/>
      <c r="G1100" s="23"/>
      <c r="H1100" s="24" t="str">
        <f aca="false">IF(G1100="","",ROUND((Config!$C$4-G1100)/365.25,2))</f>
        <v/>
      </c>
      <c r="I1100" s="25" t="str">
        <f aca="false">IF(H1100="","",IF(H1100&lt;=1,"Tramo 1",IF(H1100&lt;=3,"Tramo 2",IF(H1100&lt;=5,"Tramo 3","Tramo 4"))))</f>
        <v/>
      </c>
      <c r="J1100" s="22"/>
      <c r="K1100" s="22"/>
      <c r="L1100" s="22"/>
      <c r="M1100" s="26"/>
      <c r="N1100" s="22"/>
      <c r="O1100" s="22"/>
      <c r="P1100" s="25" t="str">
        <f aca="false">IF(OR(O1100="",O1100="Sin información"),"",IFERROR(INDEX(Listas!$B$2:$B$9,MATCH(O1100,Listas!$A$2:$A$9,0)),""))</f>
        <v/>
      </c>
      <c r="Q1100" s="25" t="str">
        <f aca="false">IF(OR(O1100="",O1100="Sin información"),"",IFERROR(INDEX(Listas!$C$2:$C$9,MATCH(O1100,Listas!$A$2:$A$9,0)),""))</f>
        <v/>
      </c>
      <c r="R1100" s="22"/>
      <c r="S1100" s="22"/>
      <c r="T1100" s="25" t="str">
        <f aca="false">IF(S1100="","",IFERROR(INDEX(Empleadores!$B$2:$B$601,MATCH(S1100,Empleadores!$A$2:$A$601,0)),"No encontrado"))</f>
        <v/>
      </c>
      <c r="U1100" s="25" t="str">
        <f aca="false">IF(C1100="","",IF(V1100="","No",IF(Config!$C$4-V1100&lt;=Config!$C$15,"Sí","No")))</f>
        <v/>
      </c>
      <c r="V1100" s="23"/>
      <c r="W1100" s="22"/>
      <c r="X1100" s="22"/>
      <c r="Y1100" s="22"/>
      <c r="Z1100" s="27"/>
      <c r="AA1100" s="22"/>
      <c r="AB1100" s="22"/>
    </row>
    <row r="1101" customFormat="false" ht="15" hidden="false" customHeight="false" outlineLevel="0" collapsed="false">
      <c r="A1101" s="22"/>
      <c r="B1101" s="22"/>
      <c r="C1101" s="22"/>
      <c r="D1101" s="22"/>
      <c r="E1101" s="22"/>
      <c r="F1101" s="22"/>
      <c r="G1101" s="23"/>
      <c r="H1101" s="24" t="str">
        <f aca="false">IF(G1101="","",ROUND((Config!$C$4-G1101)/365.25,2))</f>
        <v/>
      </c>
      <c r="I1101" s="25" t="str">
        <f aca="false">IF(H1101="","",IF(H1101&lt;=1,"Tramo 1",IF(H1101&lt;=3,"Tramo 2",IF(H1101&lt;=5,"Tramo 3","Tramo 4"))))</f>
        <v/>
      </c>
      <c r="J1101" s="22"/>
      <c r="K1101" s="22"/>
      <c r="L1101" s="22"/>
      <c r="M1101" s="26"/>
      <c r="N1101" s="22"/>
      <c r="O1101" s="22"/>
      <c r="P1101" s="25" t="str">
        <f aca="false">IF(OR(O1101="",O1101="Sin información"),"",IFERROR(INDEX(Listas!$B$2:$B$9,MATCH(O1101,Listas!$A$2:$A$9,0)),""))</f>
        <v/>
      </c>
      <c r="Q1101" s="25" t="str">
        <f aca="false">IF(OR(O1101="",O1101="Sin información"),"",IFERROR(INDEX(Listas!$C$2:$C$9,MATCH(O1101,Listas!$A$2:$A$9,0)),""))</f>
        <v/>
      </c>
      <c r="R1101" s="22"/>
      <c r="S1101" s="22"/>
      <c r="T1101" s="25" t="str">
        <f aca="false">IF(S1101="","",IFERROR(INDEX(Empleadores!$B$2:$B$601,MATCH(S1101,Empleadores!$A$2:$A$601,0)),"No encontrado"))</f>
        <v/>
      </c>
      <c r="U1101" s="25" t="str">
        <f aca="false">IF(C1101="","",IF(V1101="","No",IF(Config!$C$4-V1101&lt;=Config!$C$15,"Sí","No")))</f>
        <v/>
      </c>
      <c r="V1101" s="23"/>
      <c r="W1101" s="22"/>
      <c r="X1101" s="22"/>
      <c r="Y1101" s="22"/>
      <c r="Z1101" s="27"/>
      <c r="AA1101" s="22"/>
      <c r="AB1101" s="22"/>
    </row>
    <row r="1102" customFormat="false" ht="15" hidden="false" customHeight="false" outlineLevel="0" collapsed="false">
      <c r="A1102" s="22"/>
      <c r="B1102" s="22"/>
      <c r="C1102" s="22"/>
      <c r="D1102" s="22"/>
      <c r="E1102" s="22"/>
      <c r="F1102" s="22"/>
      <c r="G1102" s="23"/>
      <c r="H1102" s="24" t="str">
        <f aca="false">IF(G1102="","",ROUND((Config!$C$4-G1102)/365.25,2))</f>
        <v/>
      </c>
      <c r="I1102" s="25" t="str">
        <f aca="false">IF(H1102="","",IF(H1102&lt;=1,"Tramo 1",IF(H1102&lt;=3,"Tramo 2",IF(H1102&lt;=5,"Tramo 3","Tramo 4"))))</f>
        <v/>
      </c>
      <c r="J1102" s="22"/>
      <c r="K1102" s="22"/>
      <c r="L1102" s="22"/>
      <c r="M1102" s="26"/>
      <c r="N1102" s="22"/>
      <c r="O1102" s="22"/>
      <c r="P1102" s="25" t="str">
        <f aca="false">IF(OR(O1102="",O1102="Sin información"),"",IFERROR(INDEX(Listas!$B$2:$B$9,MATCH(O1102,Listas!$A$2:$A$9,0)),""))</f>
        <v/>
      </c>
      <c r="Q1102" s="25" t="str">
        <f aca="false">IF(OR(O1102="",O1102="Sin información"),"",IFERROR(INDEX(Listas!$C$2:$C$9,MATCH(O1102,Listas!$A$2:$A$9,0)),""))</f>
        <v/>
      </c>
      <c r="R1102" s="22"/>
      <c r="S1102" s="22"/>
      <c r="T1102" s="25" t="str">
        <f aca="false">IF(S1102="","",IFERROR(INDEX(Empleadores!$B$2:$B$601,MATCH(S1102,Empleadores!$A$2:$A$601,0)),"No encontrado"))</f>
        <v/>
      </c>
      <c r="U1102" s="25" t="str">
        <f aca="false">IF(C1102="","",IF(V1102="","No",IF(Config!$C$4-V1102&lt;=Config!$C$15,"Sí","No")))</f>
        <v/>
      </c>
      <c r="V1102" s="23"/>
      <c r="W1102" s="22"/>
      <c r="X1102" s="22"/>
      <c r="Y1102" s="22"/>
      <c r="Z1102" s="27"/>
      <c r="AA1102" s="22"/>
      <c r="AB1102" s="22"/>
    </row>
    <row r="1103" customFormat="false" ht="15" hidden="false" customHeight="false" outlineLevel="0" collapsed="false">
      <c r="A1103" s="22"/>
      <c r="B1103" s="22"/>
      <c r="C1103" s="22"/>
      <c r="D1103" s="22"/>
      <c r="E1103" s="22"/>
      <c r="F1103" s="22"/>
      <c r="G1103" s="23"/>
      <c r="H1103" s="24" t="str">
        <f aca="false">IF(G1103="","",ROUND((Config!$C$4-G1103)/365.25,2))</f>
        <v/>
      </c>
      <c r="I1103" s="25" t="str">
        <f aca="false">IF(H1103="","",IF(H1103&lt;=1,"Tramo 1",IF(H1103&lt;=3,"Tramo 2",IF(H1103&lt;=5,"Tramo 3","Tramo 4"))))</f>
        <v/>
      </c>
      <c r="J1103" s="22"/>
      <c r="K1103" s="22"/>
      <c r="L1103" s="22"/>
      <c r="M1103" s="26"/>
      <c r="N1103" s="22"/>
      <c r="O1103" s="22"/>
      <c r="P1103" s="25" t="str">
        <f aca="false">IF(OR(O1103="",O1103="Sin información"),"",IFERROR(INDEX(Listas!$B$2:$B$9,MATCH(O1103,Listas!$A$2:$A$9,0)),""))</f>
        <v/>
      </c>
      <c r="Q1103" s="25" t="str">
        <f aca="false">IF(OR(O1103="",O1103="Sin información"),"",IFERROR(INDEX(Listas!$C$2:$C$9,MATCH(O1103,Listas!$A$2:$A$9,0)),""))</f>
        <v/>
      </c>
      <c r="R1103" s="22"/>
      <c r="S1103" s="22"/>
      <c r="T1103" s="25" t="str">
        <f aca="false">IF(S1103="","",IFERROR(INDEX(Empleadores!$B$2:$B$601,MATCH(S1103,Empleadores!$A$2:$A$601,0)),"No encontrado"))</f>
        <v/>
      </c>
      <c r="U1103" s="25" t="str">
        <f aca="false">IF(C1103="","",IF(V1103="","No",IF(Config!$C$4-V1103&lt;=Config!$C$15,"Sí","No")))</f>
        <v/>
      </c>
      <c r="V1103" s="23"/>
      <c r="W1103" s="22"/>
      <c r="X1103" s="22"/>
      <c r="Y1103" s="22"/>
      <c r="Z1103" s="27"/>
      <c r="AA1103" s="22"/>
      <c r="AB1103" s="22"/>
    </row>
    <row r="1104" customFormat="false" ht="15" hidden="false" customHeight="false" outlineLevel="0" collapsed="false">
      <c r="A1104" s="22"/>
      <c r="B1104" s="22"/>
      <c r="C1104" s="22"/>
      <c r="D1104" s="22"/>
      <c r="E1104" s="22"/>
      <c r="F1104" s="22"/>
      <c r="G1104" s="23"/>
      <c r="H1104" s="24" t="str">
        <f aca="false">IF(G1104="","",ROUND((Config!$C$4-G1104)/365.25,2))</f>
        <v/>
      </c>
      <c r="I1104" s="25" t="str">
        <f aca="false">IF(H1104="","",IF(H1104&lt;=1,"Tramo 1",IF(H1104&lt;=3,"Tramo 2",IF(H1104&lt;=5,"Tramo 3","Tramo 4"))))</f>
        <v/>
      </c>
      <c r="J1104" s="22"/>
      <c r="K1104" s="22"/>
      <c r="L1104" s="22"/>
      <c r="M1104" s="26"/>
      <c r="N1104" s="22"/>
      <c r="O1104" s="22"/>
      <c r="P1104" s="25" t="str">
        <f aca="false">IF(OR(O1104="",O1104="Sin información"),"",IFERROR(INDEX(Listas!$B$2:$B$9,MATCH(O1104,Listas!$A$2:$A$9,0)),""))</f>
        <v/>
      </c>
      <c r="Q1104" s="25" t="str">
        <f aca="false">IF(OR(O1104="",O1104="Sin información"),"",IFERROR(INDEX(Listas!$C$2:$C$9,MATCH(O1104,Listas!$A$2:$A$9,0)),""))</f>
        <v/>
      </c>
      <c r="R1104" s="22"/>
      <c r="S1104" s="22"/>
      <c r="T1104" s="25" t="str">
        <f aca="false">IF(S1104="","",IFERROR(INDEX(Empleadores!$B$2:$B$601,MATCH(S1104,Empleadores!$A$2:$A$601,0)),"No encontrado"))</f>
        <v/>
      </c>
      <c r="U1104" s="25" t="str">
        <f aca="false">IF(C1104="","",IF(V1104="","No",IF(Config!$C$4-V1104&lt;=Config!$C$15,"Sí","No")))</f>
        <v/>
      </c>
      <c r="V1104" s="23"/>
      <c r="W1104" s="22"/>
      <c r="X1104" s="22"/>
      <c r="Y1104" s="22"/>
      <c r="Z1104" s="27"/>
      <c r="AA1104" s="22"/>
      <c r="AB1104" s="22"/>
    </row>
    <row r="1105" customFormat="false" ht="15" hidden="false" customHeight="false" outlineLevel="0" collapsed="false">
      <c r="A1105" s="22"/>
      <c r="B1105" s="22"/>
      <c r="C1105" s="22"/>
      <c r="D1105" s="22"/>
      <c r="E1105" s="22"/>
      <c r="F1105" s="22"/>
      <c r="G1105" s="23"/>
      <c r="H1105" s="24" t="str">
        <f aca="false">IF(G1105="","",ROUND((Config!$C$4-G1105)/365.25,2))</f>
        <v/>
      </c>
      <c r="I1105" s="25" t="str">
        <f aca="false">IF(H1105="","",IF(H1105&lt;=1,"Tramo 1",IF(H1105&lt;=3,"Tramo 2",IF(H1105&lt;=5,"Tramo 3","Tramo 4"))))</f>
        <v/>
      </c>
      <c r="J1105" s="22"/>
      <c r="K1105" s="22"/>
      <c r="L1105" s="22"/>
      <c r="M1105" s="26"/>
      <c r="N1105" s="22"/>
      <c r="O1105" s="22"/>
      <c r="P1105" s="25" t="str">
        <f aca="false">IF(OR(O1105="",O1105="Sin información"),"",IFERROR(INDEX(Listas!$B$2:$B$9,MATCH(O1105,Listas!$A$2:$A$9,0)),""))</f>
        <v/>
      </c>
      <c r="Q1105" s="25" t="str">
        <f aca="false">IF(OR(O1105="",O1105="Sin información"),"",IFERROR(INDEX(Listas!$C$2:$C$9,MATCH(O1105,Listas!$A$2:$A$9,0)),""))</f>
        <v/>
      </c>
      <c r="R1105" s="22"/>
      <c r="S1105" s="22"/>
      <c r="T1105" s="25" t="str">
        <f aca="false">IF(S1105="","",IFERROR(INDEX(Empleadores!$B$2:$B$601,MATCH(S1105,Empleadores!$A$2:$A$601,0)),"No encontrado"))</f>
        <v/>
      </c>
      <c r="U1105" s="25" t="str">
        <f aca="false">IF(C1105="","",IF(V1105="","No",IF(Config!$C$4-V1105&lt;=Config!$C$15,"Sí","No")))</f>
        <v/>
      </c>
      <c r="V1105" s="23"/>
      <c r="W1105" s="22"/>
      <c r="X1105" s="22"/>
      <c r="Y1105" s="22"/>
      <c r="Z1105" s="27"/>
      <c r="AA1105" s="22"/>
      <c r="AB1105" s="22"/>
    </row>
    <row r="1106" customFormat="false" ht="15" hidden="false" customHeight="false" outlineLevel="0" collapsed="false">
      <c r="A1106" s="22"/>
      <c r="B1106" s="22"/>
      <c r="C1106" s="22"/>
      <c r="D1106" s="22"/>
      <c r="E1106" s="22"/>
      <c r="F1106" s="22"/>
      <c r="G1106" s="23"/>
      <c r="H1106" s="24" t="str">
        <f aca="false">IF(G1106="","",ROUND((Config!$C$4-G1106)/365.25,2))</f>
        <v/>
      </c>
      <c r="I1106" s="25" t="str">
        <f aca="false">IF(H1106="","",IF(H1106&lt;=1,"Tramo 1",IF(H1106&lt;=3,"Tramo 2",IF(H1106&lt;=5,"Tramo 3","Tramo 4"))))</f>
        <v/>
      </c>
      <c r="J1106" s="22"/>
      <c r="K1106" s="22"/>
      <c r="L1106" s="22"/>
      <c r="M1106" s="26"/>
      <c r="N1106" s="22"/>
      <c r="O1106" s="22"/>
      <c r="P1106" s="25" t="str">
        <f aca="false">IF(OR(O1106="",O1106="Sin información"),"",IFERROR(INDEX(Listas!$B$2:$B$9,MATCH(O1106,Listas!$A$2:$A$9,0)),""))</f>
        <v/>
      </c>
      <c r="Q1106" s="25" t="str">
        <f aca="false">IF(OR(O1106="",O1106="Sin información"),"",IFERROR(INDEX(Listas!$C$2:$C$9,MATCH(O1106,Listas!$A$2:$A$9,0)),""))</f>
        <v/>
      </c>
      <c r="R1106" s="22"/>
      <c r="S1106" s="22"/>
      <c r="T1106" s="25" t="str">
        <f aca="false">IF(S1106="","",IFERROR(INDEX(Empleadores!$B$2:$B$601,MATCH(S1106,Empleadores!$A$2:$A$601,0)),"No encontrado"))</f>
        <v/>
      </c>
      <c r="U1106" s="25" t="str">
        <f aca="false">IF(C1106="","",IF(V1106="","No",IF(Config!$C$4-V1106&lt;=Config!$C$15,"Sí","No")))</f>
        <v/>
      </c>
      <c r="V1106" s="23"/>
      <c r="W1106" s="22"/>
      <c r="X1106" s="22"/>
      <c r="Y1106" s="22"/>
      <c r="Z1106" s="27"/>
      <c r="AA1106" s="22"/>
      <c r="AB1106" s="22"/>
    </row>
    <row r="1107" customFormat="false" ht="15" hidden="false" customHeight="false" outlineLevel="0" collapsed="false">
      <c r="A1107" s="22"/>
      <c r="B1107" s="22"/>
      <c r="C1107" s="22"/>
      <c r="D1107" s="22"/>
      <c r="E1107" s="22"/>
      <c r="F1107" s="22"/>
      <c r="G1107" s="23"/>
      <c r="H1107" s="24" t="str">
        <f aca="false">IF(G1107="","",ROUND((Config!$C$4-G1107)/365.25,2))</f>
        <v/>
      </c>
      <c r="I1107" s="25" t="str">
        <f aca="false">IF(H1107="","",IF(H1107&lt;=1,"Tramo 1",IF(H1107&lt;=3,"Tramo 2",IF(H1107&lt;=5,"Tramo 3","Tramo 4"))))</f>
        <v/>
      </c>
      <c r="J1107" s="22"/>
      <c r="K1107" s="22"/>
      <c r="L1107" s="22"/>
      <c r="M1107" s="26"/>
      <c r="N1107" s="22"/>
      <c r="O1107" s="22"/>
      <c r="P1107" s="25" t="str">
        <f aca="false">IF(OR(O1107="",O1107="Sin información"),"",IFERROR(INDEX(Listas!$B$2:$B$9,MATCH(O1107,Listas!$A$2:$A$9,0)),""))</f>
        <v/>
      </c>
      <c r="Q1107" s="25" t="str">
        <f aca="false">IF(OR(O1107="",O1107="Sin información"),"",IFERROR(INDEX(Listas!$C$2:$C$9,MATCH(O1107,Listas!$A$2:$A$9,0)),""))</f>
        <v/>
      </c>
      <c r="R1107" s="22"/>
      <c r="S1107" s="22"/>
      <c r="T1107" s="25" t="str">
        <f aca="false">IF(S1107="","",IFERROR(INDEX(Empleadores!$B$2:$B$601,MATCH(S1107,Empleadores!$A$2:$A$601,0)),"No encontrado"))</f>
        <v/>
      </c>
      <c r="U1107" s="25" t="str">
        <f aca="false">IF(C1107="","",IF(V1107="","No",IF(Config!$C$4-V1107&lt;=Config!$C$15,"Sí","No")))</f>
        <v/>
      </c>
      <c r="V1107" s="23"/>
      <c r="W1107" s="22"/>
      <c r="X1107" s="22"/>
      <c r="Y1107" s="22"/>
      <c r="Z1107" s="27"/>
      <c r="AA1107" s="22"/>
      <c r="AB1107" s="22"/>
    </row>
    <row r="1108" customFormat="false" ht="15" hidden="false" customHeight="false" outlineLevel="0" collapsed="false">
      <c r="A1108" s="22"/>
      <c r="B1108" s="22"/>
      <c r="C1108" s="22"/>
      <c r="D1108" s="22"/>
      <c r="E1108" s="22"/>
      <c r="F1108" s="22"/>
      <c r="G1108" s="23"/>
      <c r="H1108" s="24" t="str">
        <f aca="false">IF(G1108="","",ROUND((Config!$C$4-G1108)/365.25,2))</f>
        <v/>
      </c>
      <c r="I1108" s="25" t="str">
        <f aca="false">IF(H1108="","",IF(H1108&lt;=1,"Tramo 1",IF(H1108&lt;=3,"Tramo 2",IF(H1108&lt;=5,"Tramo 3","Tramo 4"))))</f>
        <v/>
      </c>
      <c r="J1108" s="22"/>
      <c r="K1108" s="22"/>
      <c r="L1108" s="22"/>
      <c r="M1108" s="26"/>
      <c r="N1108" s="22"/>
      <c r="O1108" s="22"/>
      <c r="P1108" s="25" t="str">
        <f aca="false">IF(OR(O1108="",O1108="Sin información"),"",IFERROR(INDEX(Listas!$B$2:$B$9,MATCH(O1108,Listas!$A$2:$A$9,0)),""))</f>
        <v/>
      </c>
      <c r="Q1108" s="25" t="str">
        <f aca="false">IF(OR(O1108="",O1108="Sin información"),"",IFERROR(INDEX(Listas!$C$2:$C$9,MATCH(O1108,Listas!$A$2:$A$9,0)),""))</f>
        <v/>
      </c>
      <c r="R1108" s="22"/>
      <c r="S1108" s="22"/>
      <c r="T1108" s="25" t="str">
        <f aca="false">IF(S1108="","",IFERROR(INDEX(Empleadores!$B$2:$B$601,MATCH(S1108,Empleadores!$A$2:$A$601,0)),"No encontrado"))</f>
        <v/>
      </c>
      <c r="U1108" s="25" t="str">
        <f aca="false">IF(C1108="","",IF(V1108="","No",IF(Config!$C$4-V1108&lt;=Config!$C$15,"Sí","No")))</f>
        <v/>
      </c>
      <c r="V1108" s="23"/>
      <c r="W1108" s="22"/>
      <c r="X1108" s="22"/>
      <c r="Y1108" s="22"/>
      <c r="Z1108" s="27"/>
      <c r="AA1108" s="22"/>
      <c r="AB1108" s="22"/>
    </row>
    <row r="1109" customFormat="false" ht="15" hidden="false" customHeight="false" outlineLevel="0" collapsed="false">
      <c r="A1109" s="22"/>
      <c r="B1109" s="22"/>
      <c r="C1109" s="22"/>
      <c r="D1109" s="22"/>
      <c r="E1109" s="22"/>
      <c r="F1109" s="22"/>
      <c r="G1109" s="23"/>
      <c r="H1109" s="24" t="str">
        <f aca="false">IF(G1109="","",ROUND((Config!$C$4-G1109)/365.25,2))</f>
        <v/>
      </c>
      <c r="I1109" s="25" t="str">
        <f aca="false">IF(H1109="","",IF(H1109&lt;=1,"Tramo 1",IF(H1109&lt;=3,"Tramo 2",IF(H1109&lt;=5,"Tramo 3","Tramo 4"))))</f>
        <v/>
      </c>
      <c r="J1109" s="22"/>
      <c r="K1109" s="22"/>
      <c r="L1109" s="22"/>
      <c r="M1109" s="26"/>
      <c r="N1109" s="22"/>
      <c r="O1109" s="22"/>
      <c r="P1109" s="25" t="str">
        <f aca="false">IF(OR(O1109="",O1109="Sin información"),"",IFERROR(INDEX(Listas!$B$2:$B$9,MATCH(O1109,Listas!$A$2:$A$9,0)),""))</f>
        <v/>
      </c>
      <c r="Q1109" s="25" t="str">
        <f aca="false">IF(OR(O1109="",O1109="Sin información"),"",IFERROR(INDEX(Listas!$C$2:$C$9,MATCH(O1109,Listas!$A$2:$A$9,0)),""))</f>
        <v/>
      </c>
      <c r="R1109" s="22"/>
      <c r="S1109" s="22"/>
      <c r="T1109" s="25" t="str">
        <f aca="false">IF(S1109="","",IFERROR(INDEX(Empleadores!$B$2:$B$601,MATCH(S1109,Empleadores!$A$2:$A$601,0)),"No encontrado"))</f>
        <v/>
      </c>
      <c r="U1109" s="25" t="str">
        <f aca="false">IF(C1109="","",IF(V1109="","No",IF(Config!$C$4-V1109&lt;=Config!$C$15,"Sí","No")))</f>
        <v/>
      </c>
      <c r="V1109" s="23"/>
      <c r="W1109" s="22"/>
      <c r="X1109" s="22"/>
      <c r="Y1109" s="22"/>
      <c r="Z1109" s="27"/>
      <c r="AA1109" s="22"/>
      <c r="AB1109" s="22"/>
    </row>
    <row r="1110" customFormat="false" ht="15" hidden="false" customHeight="false" outlineLevel="0" collapsed="false">
      <c r="A1110" s="22"/>
      <c r="B1110" s="22"/>
      <c r="C1110" s="22"/>
      <c r="D1110" s="22"/>
      <c r="E1110" s="22"/>
      <c r="F1110" s="22"/>
      <c r="G1110" s="23"/>
      <c r="H1110" s="24" t="str">
        <f aca="false">IF(G1110="","",ROUND((Config!$C$4-G1110)/365.25,2))</f>
        <v/>
      </c>
      <c r="I1110" s="25" t="str">
        <f aca="false">IF(H1110="","",IF(H1110&lt;=1,"Tramo 1",IF(H1110&lt;=3,"Tramo 2",IF(H1110&lt;=5,"Tramo 3","Tramo 4"))))</f>
        <v/>
      </c>
      <c r="J1110" s="22"/>
      <c r="K1110" s="22"/>
      <c r="L1110" s="22"/>
      <c r="M1110" s="26"/>
      <c r="N1110" s="22"/>
      <c r="O1110" s="22"/>
      <c r="P1110" s="25" t="str">
        <f aca="false">IF(OR(O1110="",O1110="Sin información"),"",IFERROR(INDEX(Listas!$B$2:$B$9,MATCH(O1110,Listas!$A$2:$A$9,0)),""))</f>
        <v/>
      </c>
      <c r="Q1110" s="25" t="str">
        <f aca="false">IF(OR(O1110="",O1110="Sin información"),"",IFERROR(INDEX(Listas!$C$2:$C$9,MATCH(O1110,Listas!$A$2:$A$9,0)),""))</f>
        <v/>
      </c>
      <c r="R1110" s="22"/>
      <c r="S1110" s="22"/>
      <c r="T1110" s="25" t="str">
        <f aca="false">IF(S1110="","",IFERROR(INDEX(Empleadores!$B$2:$B$601,MATCH(S1110,Empleadores!$A$2:$A$601,0)),"No encontrado"))</f>
        <v/>
      </c>
      <c r="U1110" s="25" t="str">
        <f aca="false">IF(C1110="","",IF(V1110="","No",IF(Config!$C$4-V1110&lt;=Config!$C$15,"Sí","No")))</f>
        <v/>
      </c>
      <c r="V1110" s="23"/>
      <c r="W1110" s="22"/>
      <c r="X1110" s="22"/>
      <c r="Y1110" s="22"/>
      <c r="Z1110" s="27"/>
      <c r="AA1110" s="22"/>
      <c r="AB1110" s="22"/>
    </row>
    <row r="1111" customFormat="false" ht="15" hidden="false" customHeight="false" outlineLevel="0" collapsed="false">
      <c r="A1111" s="22"/>
      <c r="B1111" s="22"/>
      <c r="C1111" s="22"/>
      <c r="D1111" s="22"/>
      <c r="E1111" s="22"/>
      <c r="F1111" s="22"/>
      <c r="G1111" s="23"/>
      <c r="H1111" s="24" t="str">
        <f aca="false">IF(G1111="","",ROUND((Config!$C$4-G1111)/365.25,2))</f>
        <v/>
      </c>
      <c r="I1111" s="25" t="str">
        <f aca="false">IF(H1111="","",IF(H1111&lt;=1,"Tramo 1",IF(H1111&lt;=3,"Tramo 2",IF(H1111&lt;=5,"Tramo 3","Tramo 4"))))</f>
        <v/>
      </c>
      <c r="J1111" s="22"/>
      <c r="K1111" s="22"/>
      <c r="L1111" s="22"/>
      <c r="M1111" s="26"/>
      <c r="N1111" s="22"/>
      <c r="O1111" s="22"/>
      <c r="P1111" s="25" t="str">
        <f aca="false">IF(OR(O1111="",O1111="Sin información"),"",IFERROR(INDEX(Listas!$B$2:$B$9,MATCH(O1111,Listas!$A$2:$A$9,0)),""))</f>
        <v/>
      </c>
      <c r="Q1111" s="25" t="str">
        <f aca="false">IF(OR(O1111="",O1111="Sin información"),"",IFERROR(INDEX(Listas!$C$2:$C$9,MATCH(O1111,Listas!$A$2:$A$9,0)),""))</f>
        <v/>
      </c>
      <c r="R1111" s="22"/>
      <c r="S1111" s="22"/>
      <c r="T1111" s="25" t="str">
        <f aca="false">IF(S1111="","",IFERROR(INDEX(Empleadores!$B$2:$B$601,MATCH(S1111,Empleadores!$A$2:$A$601,0)),"No encontrado"))</f>
        <v/>
      </c>
      <c r="U1111" s="25" t="str">
        <f aca="false">IF(C1111="","",IF(V1111="","No",IF(Config!$C$4-V1111&lt;=Config!$C$15,"Sí","No")))</f>
        <v/>
      </c>
      <c r="V1111" s="23"/>
      <c r="W1111" s="22"/>
      <c r="X1111" s="22"/>
      <c r="Y1111" s="22"/>
      <c r="Z1111" s="27"/>
      <c r="AA1111" s="22"/>
      <c r="AB1111" s="22"/>
    </row>
    <row r="1112" customFormat="false" ht="15" hidden="false" customHeight="false" outlineLevel="0" collapsed="false">
      <c r="A1112" s="22"/>
      <c r="B1112" s="22"/>
      <c r="C1112" s="22"/>
      <c r="D1112" s="22"/>
      <c r="E1112" s="22"/>
      <c r="F1112" s="22"/>
      <c r="G1112" s="23"/>
      <c r="H1112" s="24" t="str">
        <f aca="false">IF(G1112="","",ROUND((Config!$C$4-G1112)/365.25,2))</f>
        <v/>
      </c>
      <c r="I1112" s="25" t="str">
        <f aca="false">IF(H1112="","",IF(H1112&lt;=1,"Tramo 1",IF(H1112&lt;=3,"Tramo 2",IF(H1112&lt;=5,"Tramo 3","Tramo 4"))))</f>
        <v/>
      </c>
      <c r="J1112" s="22"/>
      <c r="K1112" s="22"/>
      <c r="L1112" s="22"/>
      <c r="M1112" s="26"/>
      <c r="N1112" s="22"/>
      <c r="O1112" s="22"/>
      <c r="P1112" s="25" t="str">
        <f aca="false">IF(OR(O1112="",O1112="Sin información"),"",IFERROR(INDEX(Listas!$B$2:$B$9,MATCH(O1112,Listas!$A$2:$A$9,0)),""))</f>
        <v/>
      </c>
      <c r="Q1112" s="25" t="str">
        <f aca="false">IF(OR(O1112="",O1112="Sin información"),"",IFERROR(INDEX(Listas!$C$2:$C$9,MATCH(O1112,Listas!$A$2:$A$9,0)),""))</f>
        <v/>
      </c>
      <c r="R1112" s="22"/>
      <c r="S1112" s="22"/>
      <c r="T1112" s="25" t="str">
        <f aca="false">IF(S1112="","",IFERROR(INDEX(Empleadores!$B$2:$B$601,MATCH(S1112,Empleadores!$A$2:$A$601,0)),"No encontrado"))</f>
        <v/>
      </c>
      <c r="U1112" s="25" t="str">
        <f aca="false">IF(C1112="","",IF(V1112="","No",IF(Config!$C$4-V1112&lt;=Config!$C$15,"Sí","No")))</f>
        <v/>
      </c>
      <c r="V1112" s="23"/>
      <c r="W1112" s="22"/>
      <c r="X1112" s="22"/>
      <c r="Y1112" s="22"/>
      <c r="Z1112" s="27"/>
      <c r="AA1112" s="22"/>
      <c r="AB1112" s="22"/>
    </row>
    <row r="1113" customFormat="false" ht="15" hidden="false" customHeight="false" outlineLevel="0" collapsed="false">
      <c r="A1113" s="22"/>
      <c r="B1113" s="22"/>
      <c r="C1113" s="22"/>
      <c r="D1113" s="22"/>
      <c r="E1113" s="22"/>
      <c r="F1113" s="22"/>
      <c r="G1113" s="23"/>
      <c r="H1113" s="24" t="str">
        <f aca="false">IF(G1113="","",ROUND((Config!$C$4-G1113)/365.25,2))</f>
        <v/>
      </c>
      <c r="I1113" s="25" t="str">
        <f aca="false">IF(H1113="","",IF(H1113&lt;=1,"Tramo 1",IF(H1113&lt;=3,"Tramo 2",IF(H1113&lt;=5,"Tramo 3","Tramo 4"))))</f>
        <v/>
      </c>
      <c r="J1113" s="22"/>
      <c r="K1113" s="22"/>
      <c r="L1113" s="22"/>
      <c r="M1113" s="26"/>
      <c r="N1113" s="22"/>
      <c r="O1113" s="22"/>
      <c r="P1113" s="25" t="str">
        <f aca="false">IF(OR(O1113="",O1113="Sin información"),"",IFERROR(INDEX(Listas!$B$2:$B$9,MATCH(O1113,Listas!$A$2:$A$9,0)),""))</f>
        <v/>
      </c>
      <c r="Q1113" s="25" t="str">
        <f aca="false">IF(OR(O1113="",O1113="Sin información"),"",IFERROR(INDEX(Listas!$C$2:$C$9,MATCH(O1113,Listas!$A$2:$A$9,0)),""))</f>
        <v/>
      </c>
      <c r="R1113" s="22"/>
      <c r="S1113" s="22"/>
      <c r="T1113" s="25" t="str">
        <f aca="false">IF(S1113="","",IFERROR(INDEX(Empleadores!$B$2:$B$601,MATCH(S1113,Empleadores!$A$2:$A$601,0)),"No encontrado"))</f>
        <v/>
      </c>
      <c r="U1113" s="25" t="str">
        <f aca="false">IF(C1113="","",IF(V1113="","No",IF(Config!$C$4-V1113&lt;=Config!$C$15,"Sí","No")))</f>
        <v/>
      </c>
      <c r="V1113" s="23"/>
      <c r="W1113" s="22"/>
      <c r="X1113" s="22"/>
      <c r="Y1113" s="22"/>
      <c r="Z1113" s="27"/>
      <c r="AA1113" s="22"/>
      <c r="AB1113" s="22"/>
    </row>
    <row r="1114" customFormat="false" ht="15" hidden="false" customHeight="false" outlineLevel="0" collapsed="false">
      <c r="A1114" s="22"/>
      <c r="B1114" s="22"/>
      <c r="C1114" s="22"/>
      <c r="D1114" s="22"/>
      <c r="E1114" s="22"/>
      <c r="F1114" s="22"/>
      <c r="G1114" s="23"/>
      <c r="H1114" s="24" t="str">
        <f aca="false">IF(G1114="","",ROUND((Config!$C$4-G1114)/365.25,2))</f>
        <v/>
      </c>
      <c r="I1114" s="25" t="str">
        <f aca="false">IF(H1114="","",IF(H1114&lt;=1,"Tramo 1",IF(H1114&lt;=3,"Tramo 2",IF(H1114&lt;=5,"Tramo 3","Tramo 4"))))</f>
        <v/>
      </c>
      <c r="J1114" s="22"/>
      <c r="K1114" s="22"/>
      <c r="L1114" s="22"/>
      <c r="M1114" s="26"/>
      <c r="N1114" s="22"/>
      <c r="O1114" s="22"/>
      <c r="P1114" s="25" t="str">
        <f aca="false">IF(OR(O1114="",O1114="Sin información"),"",IFERROR(INDEX(Listas!$B$2:$B$9,MATCH(O1114,Listas!$A$2:$A$9,0)),""))</f>
        <v/>
      </c>
      <c r="Q1114" s="25" t="str">
        <f aca="false">IF(OR(O1114="",O1114="Sin información"),"",IFERROR(INDEX(Listas!$C$2:$C$9,MATCH(O1114,Listas!$A$2:$A$9,0)),""))</f>
        <v/>
      </c>
      <c r="R1114" s="22"/>
      <c r="S1114" s="22"/>
      <c r="T1114" s="25" t="str">
        <f aca="false">IF(S1114="","",IFERROR(INDEX(Empleadores!$B$2:$B$601,MATCH(S1114,Empleadores!$A$2:$A$601,0)),"No encontrado"))</f>
        <v/>
      </c>
      <c r="U1114" s="25" t="str">
        <f aca="false">IF(C1114="","",IF(V1114="","No",IF(Config!$C$4-V1114&lt;=Config!$C$15,"Sí","No")))</f>
        <v/>
      </c>
      <c r="V1114" s="23"/>
      <c r="W1114" s="22"/>
      <c r="X1114" s="22"/>
      <c r="Y1114" s="22"/>
      <c r="Z1114" s="27"/>
      <c r="AA1114" s="22"/>
      <c r="AB1114" s="22"/>
    </row>
    <row r="1115" customFormat="false" ht="15" hidden="false" customHeight="false" outlineLevel="0" collapsed="false">
      <c r="A1115" s="22"/>
      <c r="B1115" s="22"/>
      <c r="C1115" s="22"/>
      <c r="D1115" s="22"/>
      <c r="E1115" s="22"/>
      <c r="F1115" s="22"/>
      <c r="G1115" s="23"/>
      <c r="H1115" s="24" t="str">
        <f aca="false">IF(G1115="","",ROUND((Config!$C$4-G1115)/365.25,2))</f>
        <v/>
      </c>
      <c r="I1115" s="25" t="str">
        <f aca="false">IF(H1115="","",IF(H1115&lt;=1,"Tramo 1",IF(H1115&lt;=3,"Tramo 2",IF(H1115&lt;=5,"Tramo 3","Tramo 4"))))</f>
        <v/>
      </c>
      <c r="J1115" s="22"/>
      <c r="K1115" s="22"/>
      <c r="L1115" s="22"/>
      <c r="M1115" s="26"/>
      <c r="N1115" s="22"/>
      <c r="O1115" s="22"/>
      <c r="P1115" s="25" t="str">
        <f aca="false">IF(OR(O1115="",O1115="Sin información"),"",IFERROR(INDEX(Listas!$B$2:$B$9,MATCH(O1115,Listas!$A$2:$A$9,0)),""))</f>
        <v/>
      </c>
      <c r="Q1115" s="25" t="str">
        <f aca="false">IF(OR(O1115="",O1115="Sin información"),"",IFERROR(INDEX(Listas!$C$2:$C$9,MATCH(O1115,Listas!$A$2:$A$9,0)),""))</f>
        <v/>
      </c>
      <c r="R1115" s="22"/>
      <c r="S1115" s="22"/>
      <c r="T1115" s="25" t="str">
        <f aca="false">IF(S1115="","",IFERROR(INDEX(Empleadores!$B$2:$B$601,MATCH(S1115,Empleadores!$A$2:$A$601,0)),"No encontrado"))</f>
        <v/>
      </c>
      <c r="U1115" s="25" t="str">
        <f aca="false">IF(C1115="","",IF(V1115="","No",IF(Config!$C$4-V1115&lt;=Config!$C$15,"Sí","No")))</f>
        <v/>
      </c>
      <c r="V1115" s="23"/>
      <c r="W1115" s="22"/>
      <c r="X1115" s="22"/>
      <c r="Y1115" s="22"/>
      <c r="Z1115" s="27"/>
      <c r="AA1115" s="22"/>
      <c r="AB1115" s="22"/>
    </row>
    <row r="1116" customFormat="false" ht="15" hidden="false" customHeight="false" outlineLevel="0" collapsed="false">
      <c r="A1116" s="22"/>
      <c r="B1116" s="22"/>
      <c r="C1116" s="22"/>
      <c r="D1116" s="22"/>
      <c r="E1116" s="22"/>
      <c r="F1116" s="22"/>
      <c r="G1116" s="23"/>
      <c r="H1116" s="24" t="str">
        <f aca="false">IF(G1116="","",ROUND((Config!$C$4-G1116)/365.25,2))</f>
        <v/>
      </c>
      <c r="I1116" s="25" t="str">
        <f aca="false">IF(H1116="","",IF(H1116&lt;=1,"Tramo 1",IF(H1116&lt;=3,"Tramo 2",IF(H1116&lt;=5,"Tramo 3","Tramo 4"))))</f>
        <v/>
      </c>
      <c r="J1116" s="22"/>
      <c r="K1116" s="22"/>
      <c r="L1116" s="22"/>
      <c r="M1116" s="26"/>
      <c r="N1116" s="22"/>
      <c r="O1116" s="22"/>
      <c r="P1116" s="25" t="str">
        <f aca="false">IF(OR(O1116="",O1116="Sin información"),"",IFERROR(INDEX(Listas!$B$2:$B$9,MATCH(O1116,Listas!$A$2:$A$9,0)),""))</f>
        <v/>
      </c>
      <c r="Q1116" s="25" t="str">
        <f aca="false">IF(OR(O1116="",O1116="Sin información"),"",IFERROR(INDEX(Listas!$C$2:$C$9,MATCH(O1116,Listas!$A$2:$A$9,0)),""))</f>
        <v/>
      </c>
      <c r="R1116" s="22"/>
      <c r="S1116" s="22"/>
      <c r="T1116" s="25" t="str">
        <f aca="false">IF(S1116="","",IFERROR(INDEX(Empleadores!$B$2:$B$601,MATCH(S1116,Empleadores!$A$2:$A$601,0)),"No encontrado"))</f>
        <v/>
      </c>
      <c r="U1116" s="25" t="str">
        <f aca="false">IF(C1116="","",IF(V1116="","No",IF(Config!$C$4-V1116&lt;=Config!$C$15,"Sí","No")))</f>
        <v/>
      </c>
      <c r="V1116" s="23"/>
      <c r="W1116" s="22"/>
      <c r="X1116" s="22"/>
      <c r="Y1116" s="22"/>
      <c r="Z1116" s="27"/>
      <c r="AA1116" s="22"/>
      <c r="AB1116" s="22"/>
    </row>
    <row r="1117" customFormat="false" ht="15" hidden="false" customHeight="false" outlineLevel="0" collapsed="false">
      <c r="A1117" s="22"/>
      <c r="B1117" s="22"/>
      <c r="C1117" s="22"/>
      <c r="D1117" s="22"/>
      <c r="E1117" s="22"/>
      <c r="F1117" s="22"/>
      <c r="G1117" s="23"/>
      <c r="H1117" s="24" t="str">
        <f aca="false">IF(G1117="","",ROUND((Config!$C$4-G1117)/365.25,2))</f>
        <v/>
      </c>
      <c r="I1117" s="25" t="str">
        <f aca="false">IF(H1117="","",IF(H1117&lt;=1,"Tramo 1",IF(H1117&lt;=3,"Tramo 2",IF(H1117&lt;=5,"Tramo 3","Tramo 4"))))</f>
        <v/>
      </c>
      <c r="J1117" s="22"/>
      <c r="K1117" s="22"/>
      <c r="L1117" s="22"/>
      <c r="M1117" s="26"/>
      <c r="N1117" s="22"/>
      <c r="O1117" s="22"/>
      <c r="P1117" s="25" t="str">
        <f aca="false">IF(OR(O1117="",O1117="Sin información"),"",IFERROR(INDEX(Listas!$B$2:$B$9,MATCH(O1117,Listas!$A$2:$A$9,0)),""))</f>
        <v/>
      </c>
      <c r="Q1117" s="25" t="str">
        <f aca="false">IF(OR(O1117="",O1117="Sin información"),"",IFERROR(INDEX(Listas!$C$2:$C$9,MATCH(O1117,Listas!$A$2:$A$9,0)),""))</f>
        <v/>
      </c>
      <c r="R1117" s="22"/>
      <c r="S1117" s="22"/>
      <c r="T1117" s="25" t="str">
        <f aca="false">IF(S1117="","",IFERROR(INDEX(Empleadores!$B$2:$B$601,MATCH(S1117,Empleadores!$A$2:$A$601,0)),"No encontrado"))</f>
        <v/>
      </c>
      <c r="U1117" s="25" t="str">
        <f aca="false">IF(C1117="","",IF(V1117="","No",IF(Config!$C$4-V1117&lt;=Config!$C$15,"Sí","No")))</f>
        <v/>
      </c>
      <c r="V1117" s="23"/>
      <c r="W1117" s="22"/>
      <c r="X1117" s="22"/>
      <c r="Y1117" s="22"/>
      <c r="Z1117" s="27"/>
      <c r="AA1117" s="22"/>
      <c r="AB1117" s="22"/>
    </row>
    <row r="1118" customFormat="false" ht="15" hidden="false" customHeight="false" outlineLevel="0" collapsed="false">
      <c r="A1118" s="22"/>
      <c r="B1118" s="22"/>
      <c r="C1118" s="22"/>
      <c r="D1118" s="22"/>
      <c r="E1118" s="22"/>
      <c r="F1118" s="22"/>
      <c r="G1118" s="23"/>
      <c r="H1118" s="24" t="str">
        <f aca="false">IF(G1118="","",ROUND((Config!$C$4-G1118)/365.25,2))</f>
        <v/>
      </c>
      <c r="I1118" s="25" t="str">
        <f aca="false">IF(H1118="","",IF(H1118&lt;=1,"Tramo 1",IF(H1118&lt;=3,"Tramo 2",IF(H1118&lt;=5,"Tramo 3","Tramo 4"))))</f>
        <v/>
      </c>
      <c r="J1118" s="22"/>
      <c r="K1118" s="22"/>
      <c r="L1118" s="22"/>
      <c r="M1118" s="26"/>
      <c r="N1118" s="22"/>
      <c r="O1118" s="22"/>
      <c r="P1118" s="25" t="str">
        <f aca="false">IF(OR(O1118="",O1118="Sin información"),"",IFERROR(INDEX(Listas!$B$2:$B$9,MATCH(O1118,Listas!$A$2:$A$9,0)),""))</f>
        <v/>
      </c>
      <c r="Q1118" s="25" t="str">
        <f aca="false">IF(OR(O1118="",O1118="Sin información"),"",IFERROR(INDEX(Listas!$C$2:$C$9,MATCH(O1118,Listas!$A$2:$A$9,0)),""))</f>
        <v/>
      </c>
      <c r="R1118" s="22"/>
      <c r="S1118" s="22"/>
      <c r="T1118" s="25" t="str">
        <f aca="false">IF(S1118="","",IFERROR(INDEX(Empleadores!$B$2:$B$601,MATCH(S1118,Empleadores!$A$2:$A$601,0)),"No encontrado"))</f>
        <v/>
      </c>
      <c r="U1118" s="25" t="str">
        <f aca="false">IF(C1118="","",IF(V1118="","No",IF(Config!$C$4-V1118&lt;=Config!$C$15,"Sí","No")))</f>
        <v/>
      </c>
      <c r="V1118" s="23"/>
      <c r="W1118" s="22"/>
      <c r="X1118" s="22"/>
      <c r="Y1118" s="22"/>
      <c r="Z1118" s="27"/>
      <c r="AA1118" s="22"/>
      <c r="AB1118" s="22"/>
    </row>
    <row r="1119" customFormat="false" ht="15" hidden="false" customHeight="false" outlineLevel="0" collapsed="false">
      <c r="A1119" s="22"/>
      <c r="B1119" s="22"/>
      <c r="C1119" s="22"/>
      <c r="D1119" s="22"/>
      <c r="E1119" s="22"/>
      <c r="F1119" s="22"/>
      <c r="G1119" s="23"/>
      <c r="H1119" s="24" t="str">
        <f aca="false">IF(G1119="","",ROUND((Config!$C$4-G1119)/365.25,2))</f>
        <v/>
      </c>
      <c r="I1119" s="25" t="str">
        <f aca="false">IF(H1119="","",IF(H1119&lt;=1,"Tramo 1",IF(H1119&lt;=3,"Tramo 2",IF(H1119&lt;=5,"Tramo 3","Tramo 4"))))</f>
        <v/>
      </c>
      <c r="J1119" s="22"/>
      <c r="K1119" s="22"/>
      <c r="L1119" s="22"/>
      <c r="M1119" s="26"/>
      <c r="N1119" s="22"/>
      <c r="O1119" s="22"/>
      <c r="P1119" s="25" t="str">
        <f aca="false">IF(OR(O1119="",O1119="Sin información"),"",IFERROR(INDEX(Listas!$B$2:$B$9,MATCH(O1119,Listas!$A$2:$A$9,0)),""))</f>
        <v/>
      </c>
      <c r="Q1119" s="25" t="str">
        <f aca="false">IF(OR(O1119="",O1119="Sin información"),"",IFERROR(INDEX(Listas!$C$2:$C$9,MATCH(O1119,Listas!$A$2:$A$9,0)),""))</f>
        <v/>
      </c>
      <c r="R1119" s="22"/>
      <c r="S1119" s="22"/>
      <c r="T1119" s="25" t="str">
        <f aca="false">IF(S1119="","",IFERROR(INDEX(Empleadores!$B$2:$B$601,MATCH(S1119,Empleadores!$A$2:$A$601,0)),"No encontrado"))</f>
        <v/>
      </c>
      <c r="U1119" s="25" t="str">
        <f aca="false">IF(C1119="","",IF(V1119="","No",IF(Config!$C$4-V1119&lt;=Config!$C$15,"Sí","No")))</f>
        <v/>
      </c>
      <c r="V1119" s="23"/>
      <c r="W1119" s="22"/>
      <c r="X1119" s="22"/>
      <c r="Y1119" s="22"/>
      <c r="Z1119" s="27"/>
      <c r="AA1119" s="22"/>
      <c r="AB1119" s="22"/>
    </row>
    <row r="1120" customFormat="false" ht="15" hidden="false" customHeight="false" outlineLevel="0" collapsed="false">
      <c r="A1120" s="22"/>
      <c r="B1120" s="22"/>
      <c r="C1120" s="22"/>
      <c r="D1120" s="22"/>
      <c r="E1120" s="22"/>
      <c r="F1120" s="22"/>
      <c r="G1120" s="23"/>
      <c r="H1120" s="24" t="str">
        <f aca="false">IF(G1120="","",ROUND((Config!$C$4-G1120)/365.25,2))</f>
        <v/>
      </c>
      <c r="I1120" s="25" t="str">
        <f aca="false">IF(H1120="","",IF(H1120&lt;=1,"Tramo 1",IF(H1120&lt;=3,"Tramo 2",IF(H1120&lt;=5,"Tramo 3","Tramo 4"))))</f>
        <v/>
      </c>
      <c r="J1120" s="22"/>
      <c r="K1120" s="22"/>
      <c r="L1120" s="22"/>
      <c r="M1120" s="26"/>
      <c r="N1120" s="22"/>
      <c r="O1120" s="22"/>
      <c r="P1120" s="25" t="str">
        <f aca="false">IF(OR(O1120="",O1120="Sin información"),"",IFERROR(INDEX(Listas!$B$2:$B$9,MATCH(O1120,Listas!$A$2:$A$9,0)),""))</f>
        <v/>
      </c>
      <c r="Q1120" s="25" t="str">
        <f aca="false">IF(OR(O1120="",O1120="Sin información"),"",IFERROR(INDEX(Listas!$C$2:$C$9,MATCH(O1120,Listas!$A$2:$A$9,0)),""))</f>
        <v/>
      </c>
      <c r="R1120" s="22"/>
      <c r="S1120" s="22"/>
      <c r="T1120" s="25" t="str">
        <f aca="false">IF(S1120="","",IFERROR(INDEX(Empleadores!$B$2:$B$601,MATCH(S1120,Empleadores!$A$2:$A$601,0)),"No encontrado"))</f>
        <v/>
      </c>
      <c r="U1120" s="25" t="str">
        <f aca="false">IF(C1120="","",IF(V1120="","No",IF(Config!$C$4-V1120&lt;=Config!$C$15,"Sí","No")))</f>
        <v/>
      </c>
      <c r="V1120" s="23"/>
      <c r="W1120" s="22"/>
      <c r="X1120" s="22"/>
      <c r="Y1120" s="22"/>
      <c r="Z1120" s="27"/>
      <c r="AA1120" s="22"/>
      <c r="AB1120" s="22"/>
    </row>
    <row r="1121" customFormat="false" ht="15" hidden="false" customHeight="false" outlineLevel="0" collapsed="false">
      <c r="A1121" s="22"/>
      <c r="B1121" s="22"/>
      <c r="C1121" s="22"/>
      <c r="D1121" s="22"/>
      <c r="E1121" s="22"/>
      <c r="F1121" s="22"/>
      <c r="G1121" s="23"/>
      <c r="H1121" s="24" t="str">
        <f aca="false">IF(G1121="","",ROUND((Config!$C$4-G1121)/365.25,2))</f>
        <v/>
      </c>
      <c r="I1121" s="25" t="str">
        <f aca="false">IF(H1121="","",IF(H1121&lt;=1,"Tramo 1",IF(H1121&lt;=3,"Tramo 2",IF(H1121&lt;=5,"Tramo 3","Tramo 4"))))</f>
        <v/>
      </c>
      <c r="J1121" s="22"/>
      <c r="K1121" s="22"/>
      <c r="L1121" s="22"/>
      <c r="M1121" s="26"/>
      <c r="N1121" s="22"/>
      <c r="O1121" s="22"/>
      <c r="P1121" s="25" t="str">
        <f aca="false">IF(OR(O1121="",O1121="Sin información"),"",IFERROR(INDEX(Listas!$B$2:$B$9,MATCH(O1121,Listas!$A$2:$A$9,0)),""))</f>
        <v/>
      </c>
      <c r="Q1121" s="25" t="str">
        <f aca="false">IF(OR(O1121="",O1121="Sin información"),"",IFERROR(INDEX(Listas!$C$2:$C$9,MATCH(O1121,Listas!$A$2:$A$9,0)),""))</f>
        <v/>
      </c>
      <c r="R1121" s="22"/>
      <c r="S1121" s="22"/>
      <c r="T1121" s="25" t="str">
        <f aca="false">IF(S1121="","",IFERROR(INDEX(Empleadores!$B$2:$B$601,MATCH(S1121,Empleadores!$A$2:$A$601,0)),"No encontrado"))</f>
        <v/>
      </c>
      <c r="U1121" s="25" t="str">
        <f aca="false">IF(C1121="","",IF(V1121="","No",IF(Config!$C$4-V1121&lt;=Config!$C$15,"Sí","No")))</f>
        <v/>
      </c>
      <c r="V1121" s="23"/>
      <c r="W1121" s="22"/>
      <c r="X1121" s="22"/>
      <c r="Y1121" s="22"/>
      <c r="Z1121" s="27"/>
      <c r="AA1121" s="22"/>
      <c r="AB1121" s="22"/>
    </row>
    <row r="1122" customFormat="false" ht="15" hidden="false" customHeight="false" outlineLevel="0" collapsed="false">
      <c r="A1122" s="22"/>
      <c r="B1122" s="22"/>
      <c r="C1122" s="22"/>
      <c r="D1122" s="22"/>
      <c r="E1122" s="22"/>
      <c r="F1122" s="22"/>
      <c r="G1122" s="23"/>
      <c r="H1122" s="24" t="str">
        <f aca="false">IF(G1122="","",ROUND((Config!$C$4-G1122)/365.25,2))</f>
        <v/>
      </c>
      <c r="I1122" s="25" t="str">
        <f aca="false">IF(H1122="","",IF(H1122&lt;=1,"Tramo 1",IF(H1122&lt;=3,"Tramo 2",IF(H1122&lt;=5,"Tramo 3","Tramo 4"))))</f>
        <v/>
      </c>
      <c r="J1122" s="22"/>
      <c r="K1122" s="22"/>
      <c r="L1122" s="22"/>
      <c r="M1122" s="26"/>
      <c r="N1122" s="22"/>
      <c r="O1122" s="22"/>
      <c r="P1122" s="25" t="str">
        <f aca="false">IF(OR(O1122="",O1122="Sin información"),"",IFERROR(INDEX(Listas!$B$2:$B$9,MATCH(O1122,Listas!$A$2:$A$9,0)),""))</f>
        <v/>
      </c>
      <c r="Q1122" s="25" t="str">
        <f aca="false">IF(OR(O1122="",O1122="Sin información"),"",IFERROR(INDEX(Listas!$C$2:$C$9,MATCH(O1122,Listas!$A$2:$A$9,0)),""))</f>
        <v/>
      </c>
      <c r="R1122" s="22"/>
      <c r="S1122" s="22"/>
      <c r="T1122" s="25" t="str">
        <f aca="false">IF(S1122="","",IFERROR(INDEX(Empleadores!$B$2:$B$601,MATCH(S1122,Empleadores!$A$2:$A$601,0)),"No encontrado"))</f>
        <v/>
      </c>
      <c r="U1122" s="25" t="str">
        <f aca="false">IF(C1122="","",IF(V1122="","No",IF(Config!$C$4-V1122&lt;=Config!$C$15,"Sí","No")))</f>
        <v/>
      </c>
      <c r="V1122" s="23"/>
      <c r="W1122" s="22"/>
      <c r="X1122" s="22"/>
      <c r="Y1122" s="22"/>
      <c r="Z1122" s="27"/>
      <c r="AA1122" s="22"/>
      <c r="AB1122" s="22"/>
    </row>
    <row r="1123" customFormat="false" ht="15" hidden="false" customHeight="false" outlineLevel="0" collapsed="false">
      <c r="A1123" s="22"/>
      <c r="B1123" s="22"/>
      <c r="C1123" s="22"/>
      <c r="D1123" s="22"/>
      <c r="E1123" s="22"/>
      <c r="F1123" s="22"/>
      <c r="G1123" s="23"/>
      <c r="H1123" s="24" t="str">
        <f aca="false">IF(G1123="","",ROUND((Config!$C$4-G1123)/365.25,2))</f>
        <v/>
      </c>
      <c r="I1123" s="25" t="str">
        <f aca="false">IF(H1123="","",IF(H1123&lt;=1,"Tramo 1",IF(H1123&lt;=3,"Tramo 2",IF(H1123&lt;=5,"Tramo 3","Tramo 4"))))</f>
        <v/>
      </c>
      <c r="J1123" s="22"/>
      <c r="K1123" s="22"/>
      <c r="L1123" s="22"/>
      <c r="M1123" s="26"/>
      <c r="N1123" s="22"/>
      <c r="O1123" s="22"/>
      <c r="P1123" s="25" t="str">
        <f aca="false">IF(OR(O1123="",O1123="Sin información"),"",IFERROR(INDEX(Listas!$B$2:$B$9,MATCH(O1123,Listas!$A$2:$A$9,0)),""))</f>
        <v/>
      </c>
      <c r="Q1123" s="25" t="str">
        <f aca="false">IF(OR(O1123="",O1123="Sin información"),"",IFERROR(INDEX(Listas!$C$2:$C$9,MATCH(O1123,Listas!$A$2:$A$9,0)),""))</f>
        <v/>
      </c>
      <c r="R1123" s="22"/>
      <c r="S1123" s="22"/>
      <c r="T1123" s="25" t="str">
        <f aca="false">IF(S1123="","",IFERROR(INDEX(Empleadores!$B$2:$B$601,MATCH(S1123,Empleadores!$A$2:$A$601,0)),"No encontrado"))</f>
        <v/>
      </c>
      <c r="U1123" s="25" t="str">
        <f aca="false">IF(C1123="","",IF(V1123="","No",IF(Config!$C$4-V1123&lt;=Config!$C$15,"Sí","No")))</f>
        <v/>
      </c>
      <c r="V1123" s="23"/>
      <c r="W1123" s="22"/>
      <c r="X1123" s="22"/>
      <c r="Y1123" s="22"/>
      <c r="Z1123" s="27"/>
      <c r="AA1123" s="22"/>
      <c r="AB1123" s="22"/>
    </row>
    <row r="1124" customFormat="false" ht="15" hidden="false" customHeight="false" outlineLevel="0" collapsed="false">
      <c r="A1124" s="22"/>
      <c r="B1124" s="22"/>
      <c r="C1124" s="22"/>
      <c r="D1124" s="22"/>
      <c r="E1124" s="22"/>
      <c r="F1124" s="22"/>
      <c r="G1124" s="23"/>
      <c r="H1124" s="24" t="str">
        <f aca="false">IF(G1124="","",ROUND((Config!$C$4-G1124)/365.25,2))</f>
        <v/>
      </c>
      <c r="I1124" s="25" t="str">
        <f aca="false">IF(H1124="","",IF(H1124&lt;=1,"Tramo 1",IF(H1124&lt;=3,"Tramo 2",IF(H1124&lt;=5,"Tramo 3","Tramo 4"))))</f>
        <v/>
      </c>
      <c r="J1124" s="22"/>
      <c r="K1124" s="22"/>
      <c r="L1124" s="22"/>
      <c r="M1124" s="26"/>
      <c r="N1124" s="22"/>
      <c r="O1124" s="22"/>
      <c r="P1124" s="25" t="str">
        <f aca="false">IF(OR(O1124="",O1124="Sin información"),"",IFERROR(INDEX(Listas!$B$2:$B$9,MATCH(O1124,Listas!$A$2:$A$9,0)),""))</f>
        <v/>
      </c>
      <c r="Q1124" s="25" t="str">
        <f aca="false">IF(OR(O1124="",O1124="Sin información"),"",IFERROR(INDEX(Listas!$C$2:$C$9,MATCH(O1124,Listas!$A$2:$A$9,0)),""))</f>
        <v/>
      </c>
      <c r="R1124" s="22"/>
      <c r="S1124" s="22"/>
      <c r="T1124" s="25" t="str">
        <f aca="false">IF(S1124="","",IFERROR(INDEX(Empleadores!$B$2:$B$601,MATCH(S1124,Empleadores!$A$2:$A$601,0)),"No encontrado"))</f>
        <v/>
      </c>
      <c r="U1124" s="25" t="str">
        <f aca="false">IF(C1124="","",IF(V1124="","No",IF(Config!$C$4-V1124&lt;=Config!$C$15,"Sí","No")))</f>
        <v/>
      </c>
      <c r="V1124" s="23"/>
      <c r="W1124" s="22"/>
      <c r="X1124" s="22"/>
      <c r="Y1124" s="22"/>
      <c r="Z1124" s="27"/>
      <c r="AA1124" s="22"/>
      <c r="AB1124" s="22"/>
    </row>
    <row r="1125" customFormat="false" ht="15" hidden="false" customHeight="false" outlineLevel="0" collapsed="false">
      <c r="A1125" s="22"/>
      <c r="B1125" s="22"/>
      <c r="C1125" s="22"/>
      <c r="D1125" s="22"/>
      <c r="E1125" s="22"/>
      <c r="F1125" s="22"/>
      <c r="G1125" s="23"/>
      <c r="H1125" s="24" t="str">
        <f aca="false">IF(G1125="","",ROUND((Config!$C$4-G1125)/365.25,2))</f>
        <v/>
      </c>
      <c r="I1125" s="25" t="str">
        <f aca="false">IF(H1125="","",IF(H1125&lt;=1,"Tramo 1",IF(H1125&lt;=3,"Tramo 2",IF(H1125&lt;=5,"Tramo 3","Tramo 4"))))</f>
        <v/>
      </c>
      <c r="J1125" s="22"/>
      <c r="K1125" s="22"/>
      <c r="L1125" s="22"/>
      <c r="M1125" s="26"/>
      <c r="N1125" s="22"/>
      <c r="O1125" s="22"/>
      <c r="P1125" s="25" t="str">
        <f aca="false">IF(OR(O1125="",O1125="Sin información"),"",IFERROR(INDEX(Listas!$B$2:$B$9,MATCH(O1125,Listas!$A$2:$A$9,0)),""))</f>
        <v/>
      </c>
      <c r="Q1125" s="25" t="str">
        <f aca="false">IF(OR(O1125="",O1125="Sin información"),"",IFERROR(INDEX(Listas!$C$2:$C$9,MATCH(O1125,Listas!$A$2:$A$9,0)),""))</f>
        <v/>
      </c>
      <c r="R1125" s="22"/>
      <c r="S1125" s="22"/>
      <c r="T1125" s="25" t="str">
        <f aca="false">IF(S1125="","",IFERROR(INDEX(Empleadores!$B$2:$B$601,MATCH(S1125,Empleadores!$A$2:$A$601,0)),"No encontrado"))</f>
        <v/>
      </c>
      <c r="U1125" s="25" t="str">
        <f aca="false">IF(C1125="","",IF(V1125="","No",IF(Config!$C$4-V1125&lt;=Config!$C$15,"Sí","No")))</f>
        <v/>
      </c>
      <c r="V1125" s="23"/>
      <c r="W1125" s="22"/>
      <c r="X1125" s="22"/>
      <c r="Y1125" s="22"/>
      <c r="Z1125" s="27"/>
      <c r="AA1125" s="22"/>
      <c r="AB1125" s="22"/>
    </row>
    <row r="1126" customFormat="false" ht="15" hidden="false" customHeight="false" outlineLevel="0" collapsed="false">
      <c r="A1126" s="22"/>
      <c r="B1126" s="22"/>
      <c r="C1126" s="22"/>
      <c r="D1126" s="22"/>
      <c r="E1126" s="22"/>
      <c r="F1126" s="22"/>
      <c r="G1126" s="23"/>
      <c r="H1126" s="24" t="str">
        <f aca="false">IF(G1126="","",ROUND((Config!$C$4-G1126)/365.25,2))</f>
        <v/>
      </c>
      <c r="I1126" s="25" t="str">
        <f aca="false">IF(H1126="","",IF(H1126&lt;=1,"Tramo 1",IF(H1126&lt;=3,"Tramo 2",IF(H1126&lt;=5,"Tramo 3","Tramo 4"))))</f>
        <v/>
      </c>
      <c r="J1126" s="22"/>
      <c r="K1126" s="22"/>
      <c r="L1126" s="22"/>
      <c r="M1126" s="26"/>
      <c r="N1126" s="22"/>
      <c r="O1126" s="22"/>
      <c r="P1126" s="25" t="str">
        <f aca="false">IF(OR(O1126="",O1126="Sin información"),"",IFERROR(INDEX(Listas!$B$2:$B$9,MATCH(O1126,Listas!$A$2:$A$9,0)),""))</f>
        <v/>
      </c>
      <c r="Q1126" s="25" t="str">
        <f aca="false">IF(OR(O1126="",O1126="Sin información"),"",IFERROR(INDEX(Listas!$C$2:$C$9,MATCH(O1126,Listas!$A$2:$A$9,0)),""))</f>
        <v/>
      </c>
      <c r="R1126" s="22"/>
      <c r="S1126" s="22"/>
      <c r="T1126" s="25" t="str">
        <f aca="false">IF(S1126="","",IFERROR(INDEX(Empleadores!$B$2:$B$601,MATCH(S1126,Empleadores!$A$2:$A$601,0)),"No encontrado"))</f>
        <v/>
      </c>
      <c r="U1126" s="25" t="str">
        <f aca="false">IF(C1126="","",IF(V1126="","No",IF(Config!$C$4-V1126&lt;=Config!$C$15,"Sí","No")))</f>
        <v/>
      </c>
      <c r="V1126" s="23"/>
      <c r="W1126" s="22"/>
      <c r="X1126" s="22"/>
      <c r="Y1126" s="22"/>
      <c r="Z1126" s="27"/>
      <c r="AA1126" s="22"/>
      <c r="AB1126" s="22"/>
    </row>
    <row r="1127" customFormat="false" ht="15" hidden="false" customHeight="false" outlineLevel="0" collapsed="false">
      <c r="A1127" s="22"/>
      <c r="B1127" s="22"/>
      <c r="C1127" s="22"/>
      <c r="D1127" s="22"/>
      <c r="E1127" s="22"/>
      <c r="F1127" s="22"/>
      <c r="G1127" s="23"/>
      <c r="H1127" s="24" t="str">
        <f aca="false">IF(G1127="","",ROUND((Config!$C$4-G1127)/365.25,2))</f>
        <v/>
      </c>
      <c r="I1127" s="25" t="str">
        <f aca="false">IF(H1127="","",IF(H1127&lt;=1,"Tramo 1",IF(H1127&lt;=3,"Tramo 2",IF(H1127&lt;=5,"Tramo 3","Tramo 4"))))</f>
        <v/>
      </c>
      <c r="J1127" s="22"/>
      <c r="K1127" s="22"/>
      <c r="L1127" s="22"/>
      <c r="M1127" s="26"/>
      <c r="N1127" s="22"/>
      <c r="O1127" s="22"/>
      <c r="P1127" s="25" t="str">
        <f aca="false">IF(OR(O1127="",O1127="Sin información"),"",IFERROR(INDEX(Listas!$B$2:$B$9,MATCH(O1127,Listas!$A$2:$A$9,0)),""))</f>
        <v/>
      </c>
      <c r="Q1127" s="25" t="str">
        <f aca="false">IF(OR(O1127="",O1127="Sin información"),"",IFERROR(INDEX(Listas!$C$2:$C$9,MATCH(O1127,Listas!$A$2:$A$9,0)),""))</f>
        <v/>
      </c>
      <c r="R1127" s="22"/>
      <c r="S1127" s="22"/>
      <c r="T1127" s="25" t="str">
        <f aca="false">IF(S1127="","",IFERROR(INDEX(Empleadores!$B$2:$B$601,MATCH(S1127,Empleadores!$A$2:$A$601,0)),"No encontrado"))</f>
        <v/>
      </c>
      <c r="U1127" s="25" t="str">
        <f aca="false">IF(C1127="","",IF(V1127="","No",IF(Config!$C$4-V1127&lt;=Config!$C$15,"Sí","No")))</f>
        <v/>
      </c>
      <c r="V1127" s="23"/>
      <c r="W1127" s="22"/>
      <c r="X1127" s="22"/>
      <c r="Y1127" s="22"/>
      <c r="Z1127" s="27"/>
      <c r="AA1127" s="22"/>
      <c r="AB1127" s="22"/>
    </row>
    <row r="1128" customFormat="false" ht="15" hidden="false" customHeight="false" outlineLevel="0" collapsed="false">
      <c r="A1128" s="22"/>
      <c r="B1128" s="22"/>
      <c r="C1128" s="22"/>
      <c r="D1128" s="22"/>
      <c r="E1128" s="22"/>
      <c r="F1128" s="22"/>
      <c r="G1128" s="23"/>
      <c r="H1128" s="24" t="str">
        <f aca="false">IF(G1128="","",ROUND((Config!$C$4-G1128)/365.25,2))</f>
        <v/>
      </c>
      <c r="I1128" s="25" t="str">
        <f aca="false">IF(H1128="","",IF(H1128&lt;=1,"Tramo 1",IF(H1128&lt;=3,"Tramo 2",IF(H1128&lt;=5,"Tramo 3","Tramo 4"))))</f>
        <v/>
      </c>
      <c r="J1128" s="22"/>
      <c r="K1128" s="22"/>
      <c r="L1128" s="22"/>
      <c r="M1128" s="26"/>
      <c r="N1128" s="22"/>
      <c r="O1128" s="22"/>
      <c r="P1128" s="25" t="str">
        <f aca="false">IF(OR(O1128="",O1128="Sin información"),"",IFERROR(INDEX(Listas!$B$2:$B$9,MATCH(O1128,Listas!$A$2:$A$9,0)),""))</f>
        <v/>
      </c>
      <c r="Q1128" s="25" t="str">
        <f aca="false">IF(OR(O1128="",O1128="Sin información"),"",IFERROR(INDEX(Listas!$C$2:$C$9,MATCH(O1128,Listas!$A$2:$A$9,0)),""))</f>
        <v/>
      </c>
      <c r="R1128" s="22"/>
      <c r="S1128" s="22"/>
      <c r="T1128" s="25" t="str">
        <f aca="false">IF(S1128="","",IFERROR(INDEX(Empleadores!$B$2:$B$601,MATCH(S1128,Empleadores!$A$2:$A$601,0)),"No encontrado"))</f>
        <v/>
      </c>
      <c r="U1128" s="25" t="str">
        <f aca="false">IF(C1128="","",IF(V1128="","No",IF(Config!$C$4-V1128&lt;=Config!$C$15,"Sí","No")))</f>
        <v/>
      </c>
      <c r="V1128" s="23"/>
      <c r="W1128" s="22"/>
      <c r="X1128" s="22"/>
      <c r="Y1128" s="22"/>
      <c r="Z1128" s="27"/>
      <c r="AA1128" s="22"/>
      <c r="AB1128" s="22"/>
    </row>
    <row r="1129" customFormat="false" ht="15" hidden="false" customHeight="false" outlineLevel="0" collapsed="false">
      <c r="A1129" s="22"/>
      <c r="B1129" s="22"/>
      <c r="C1129" s="22"/>
      <c r="D1129" s="22"/>
      <c r="E1129" s="22"/>
      <c r="F1129" s="22"/>
      <c r="G1129" s="23"/>
      <c r="H1129" s="24" t="str">
        <f aca="false">IF(G1129="","",ROUND((Config!$C$4-G1129)/365.25,2))</f>
        <v/>
      </c>
      <c r="I1129" s="25" t="str">
        <f aca="false">IF(H1129="","",IF(H1129&lt;=1,"Tramo 1",IF(H1129&lt;=3,"Tramo 2",IF(H1129&lt;=5,"Tramo 3","Tramo 4"))))</f>
        <v/>
      </c>
      <c r="J1129" s="22"/>
      <c r="K1129" s="22"/>
      <c r="L1129" s="22"/>
      <c r="M1129" s="26"/>
      <c r="N1129" s="22"/>
      <c r="O1129" s="22"/>
      <c r="P1129" s="25" t="str">
        <f aca="false">IF(OR(O1129="",O1129="Sin información"),"",IFERROR(INDEX(Listas!$B$2:$B$9,MATCH(O1129,Listas!$A$2:$A$9,0)),""))</f>
        <v/>
      </c>
      <c r="Q1129" s="25" t="str">
        <f aca="false">IF(OR(O1129="",O1129="Sin información"),"",IFERROR(INDEX(Listas!$C$2:$C$9,MATCH(O1129,Listas!$A$2:$A$9,0)),""))</f>
        <v/>
      </c>
      <c r="R1129" s="22"/>
      <c r="S1129" s="22"/>
      <c r="T1129" s="25" t="str">
        <f aca="false">IF(S1129="","",IFERROR(INDEX(Empleadores!$B$2:$B$601,MATCH(S1129,Empleadores!$A$2:$A$601,0)),"No encontrado"))</f>
        <v/>
      </c>
      <c r="U1129" s="25" t="str">
        <f aca="false">IF(C1129="","",IF(V1129="","No",IF(Config!$C$4-V1129&lt;=Config!$C$15,"Sí","No")))</f>
        <v/>
      </c>
      <c r="V1129" s="23"/>
      <c r="W1129" s="22"/>
      <c r="X1129" s="22"/>
      <c r="Y1129" s="22"/>
      <c r="Z1129" s="27"/>
      <c r="AA1129" s="22"/>
      <c r="AB1129" s="22"/>
    </row>
    <row r="1130" customFormat="false" ht="15" hidden="false" customHeight="false" outlineLevel="0" collapsed="false">
      <c r="A1130" s="22"/>
      <c r="B1130" s="22"/>
      <c r="C1130" s="22"/>
      <c r="D1130" s="22"/>
      <c r="E1130" s="22"/>
      <c r="F1130" s="22"/>
      <c r="G1130" s="23"/>
      <c r="H1130" s="24" t="str">
        <f aca="false">IF(G1130="","",ROUND((Config!$C$4-G1130)/365.25,2))</f>
        <v/>
      </c>
      <c r="I1130" s="25" t="str">
        <f aca="false">IF(H1130="","",IF(H1130&lt;=1,"Tramo 1",IF(H1130&lt;=3,"Tramo 2",IF(H1130&lt;=5,"Tramo 3","Tramo 4"))))</f>
        <v/>
      </c>
      <c r="J1130" s="22"/>
      <c r="K1130" s="22"/>
      <c r="L1130" s="22"/>
      <c r="M1130" s="26"/>
      <c r="N1130" s="22"/>
      <c r="O1130" s="22"/>
      <c r="P1130" s="25" t="str">
        <f aca="false">IF(OR(O1130="",O1130="Sin información"),"",IFERROR(INDEX(Listas!$B$2:$B$9,MATCH(O1130,Listas!$A$2:$A$9,0)),""))</f>
        <v/>
      </c>
      <c r="Q1130" s="25" t="str">
        <f aca="false">IF(OR(O1130="",O1130="Sin información"),"",IFERROR(INDEX(Listas!$C$2:$C$9,MATCH(O1130,Listas!$A$2:$A$9,0)),""))</f>
        <v/>
      </c>
      <c r="R1130" s="22"/>
      <c r="S1130" s="22"/>
      <c r="T1130" s="25" t="str">
        <f aca="false">IF(S1130="","",IFERROR(INDEX(Empleadores!$B$2:$B$601,MATCH(S1130,Empleadores!$A$2:$A$601,0)),"No encontrado"))</f>
        <v/>
      </c>
      <c r="U1130" s="25" t="str">
        <f aca="false">IF(C1130="","",IF(V1130="","No",IF(Config!$C$4-V1130&lt;=Config!$C$15,"Sí","No")))</f>
        <v/>
      </c>
      <c r="V1130" s="23"/>
      <c r="W1130" s="22"/>
      <c r="X1130" s="22"/>
      <c r="Y1130" s="22"/>
      <c r="Z1130" s="27"/>
      <c r="AA1130" s="22"/>
      <c r="AB1130" s="22"/>
    </row>
    <row r="1131" customFormat="false" ht="15" hidden="false" customHeight="false" outlineLevel="0" collapsed="false">
      <c r="A1131" s="22"/>
      <c r="B1131" s="22"/>
      <c r="C1131" s="22"/>
      <c r="D1131" s="22"/>
      <c r="E1131" s="22"/>
      <c r="F1131" s="22"/>
      <c r="G1131" s="23"/>
      <c r="H1131" s="24" t="str">
        <f aca="false">IF(G1131="","",ROUND((Config!$C$4-G1131)/365.25,2))</f>
        <v/>
      </c>
      <c r="I1131" s="25" t="str">
        <f aca="false">IF(H1131="","",IF(H1131&lt;=1,"Tramo 1",IF(H1131&lt;=3,"Tramo 2",IF(H1131&lt;=5,"Tramo 3","Tramo 4"))))</f>
        <v/>
      </c>
      <c r="J1131" s="22"/>
      <c r="K1131" s="22"/>
      <c r="L1131" s="22"/>
      <c r="M1131" s="26"/>
      <c r="N1131" s="22"/>
      <c r="O1131" s="22"/>
      <c r="P1131" s="25" t="str">
        <f aca="false">IF(OR(O1131="",O1131="Sin información"),"",IFERROR(INDEX(Listas!$B$2:$B$9,MATCH(O1131,Listas!$A$2:$A$9,0)),""))</f>
        <v/>
      </c>
      <c r="Q1131" s="25" t="str">
        <f aca="false">IF(OR(O1131="",O1131="Sin información"),"",IFERROR(INDEX(Listas!$C$2:$C$9,MATCH(O1131,Listas!$A$2:$A$9,0)),""))</f>
        <v/>
      </c>
      <c r="R1131" s="22"/>
      <c r="S1131" s="22"/>
      <c r="T1131" s="25" t="str">
        <f aca="false">IF(S1131="","",IFERROR(INDEX(Empleadores!$B$2:$B$601,MATCH(S1131,Empleadores!$A$2:$A$601,0)),"No encontrado"))</f>
        <v/>
      </c>
      <c r="U1131" s="25" t="str">
        <f aca="false">IF(C1131="","",IF(V1131="","No",IF(Config!$C$4-V1131&lt;=Config!$C$15,"Sí","No")))</f>
        <v/>
      </c>
      <c r="V1131" s="23"/>
      <c r="W1131" s="22"/>
      <c r="X1131" s="22"/>
      <c r="Y1131" s="22"/>
      <c r="Z1131" s="27"/>
      <c r="AA1131" s="22"/>
      <c r="AB1131" s="22"/>
    </row>
    <row r="1132" customFormat="false" ht="15" hidden="false" customHeight="false" outlineLevel="0" collapsed="false">
      <c r="A1132" s="22"/>
      <c r="B1132" s="22"/>
      <c r="C1132" s="22"/>
      <c r="D1132" s="22"/>
      <c r="E1132" s="22"/>
      <c r="F1132" s="22"/>
      <c r="G1132" s="23"/>
      <c r="H1132" s="24" t="str">
        <f aca="false">IF(G1132="","",ROUND((Config!$C$4-G1132)/365.25,2))</f>
        <v/>
      </c>
      <c r="I1132" s="25" t="str">
        <f aca="false">IF(H1132="","",IF(H1132&lt;=1,"Tramo 1",IF(H1132&lt;=3,"Tramo 2",IF(H1132&lt;=5,"Tramo 3","Tramo 4"))))</f>
        <v/>
      </c>
      <c r="J1132" s="22"/>
      <c r="K1132" s="22"/>
      <c r="L1132" s="22"/>
      <c r="M1132" s="26"/>
      <c r="N1132" s="22"/>
      <c r="O1132" s="22"/>
      <c r="P1132" s="25" t="str">
        <f aca="false">IF(OR(O1132="",O1132="Sin información"),"",IFERROR(INDEX(Listas!$B$2:$B$9,MATCH(O1132,Listas!$A$2:$A$9,0)),""))</f>
        <v/>
      </c>
      <c r="Q1132" s="25" t="str">
        <f aca="false">IF(OR(O1132="",O1132="Sin información"),"",IFERROR(INDEX(Listas!$C$2:$C$9,MATCH(O1132,Listas!$A$2:$A$9,0)),""))</f>
        <v/>
      </c>
      <c r="R1132" s="22"/>
      <c r="S1132" s="22"/>
      <c r="T1132" s="25" t="str">
        <f aca="false">IF(S1132="","",IFERROR(INDEX(Empleadores!$B$2:$B$601,MATCH(S1132,Empleadores!$A$2:$A$601,0)),"No encontrado"))</f>
        <v/>
      </c>
      <c r="U1132" s="25" t="str">
        <f aca="false">IF(C1132="","",IF(V1132="","No",IF(Config!$C$4-V1132&lt;=Config!$C$15,"Sí","No")))</f>
        <v/>
      </c>
      <c r="V1132" s="23"/>
      <c r="W1132" s="22"/>
      <c r="X1132" s="22"/>
      <c r="Y1132" s="22"/>
      <c r="Z1132" s="27"/>
      <c r="AA1132" s="22"/>
      <c r="AB1132" s="22"/>
    </row>
    <row r="1133" customFormat="false" ht="15" hidden="false" customHeight="false" outlineLevel="0" collapsed="false">
      <c r="A1133" s="22"/>
      <c r="B1133" s="22"/>
      <c r="C1133" s="22"/>
      <c r="D1133" s="22"/>
      <c r="E1133" s="22"/>
      <c r="F1133" s="22"/>
      <c r="G1133" s="23"/>
      <c r="H1133" s="24" t="str">
        <f aca="false">IF(G1133="","",ROUND((Config!$C$4-G1133)/365.25,2))</f>
        <v/>
      </c>
      <c r="I1133" s="25" t="str">
        <f aca="false">IF(H1133="","",IF(H1133&lt;=1,"Tramo 1",IF(H1133&lt;=3,"Tramo 2",IF(H1133&lt;=5,"Tramo 3","Tramo 4"))))</f>
        <v/>
      </c>
      <c r="J1133" s="22"/>
      <c r="K1133" s="22"/>
      <c r="L1133" s="22"/>
      <c r="M1133" s="26"/>
      <c r="N1133" s="22"/>
      <c r="O1133" s="22"/>
      <c r="P1133" s="25" t="str">
        <f aca="false">IF(OR(O1133="",O1133="Sin información"),"",IFERROR(INDEX(Listas!$B$2:$B$9,MATCH(O1133,Listas!$A$2:$A$9,0)),""))</f>
        <v/>
      </c>
      <c r="Q1133" s="25" t="str">
        <f aca="false">IF(OR(O1133="",O1133="Sin información"),"",IFERROR(INDEX(Listas!$C$2:$C$9,MATCH(O1133,Listas!$A$2:$A$9,0)),""))</f>
        <v/>
      </c>
      <c r="R1133" s="22"/>
      <c r="S1133" s="22"/>
      <c r="T1133" s="25" t="str">
        <f aca="false">IF(S1133="","",IFERROR(INDEX(Empleadores!$B$2:$B$601,MATCH(S1133,Empleadores!$A$2:$A$601,0)),"No encontrado"))</f>
        <v/>
      </c>
      <c r="U1133" s="25" t="str">
        <f aca="false">IF(C1133="","",IF(V1133="","No",IF(Config!$C$4-V1133&lt;=Config!$C$15,"Sí","No")))</f>
        <v/>
      </c>
      <c r="V1133" s="23"/>
      <c r="W1133" s="22"/>
      <c r="X1133" s="22"/>
      <c r="Y1133" s="22"/>
      <c r="Z1133" s="27"/>
      <c r="AA1133" s="22"/>
      <c r="AB1133" s="22"/>
    </row>
    <row r="1134" customFormat="false" ht="15" hidden="false" customHeight="false" outlineLevel="0" collapsed="false">
      <c r="A1134" s="22"/>
      <c r="B1134" s="22"/>
      <c r="C1134" s="22"/>
      <c r="D1134" s="22"/>
      <c r="E1134" s="22"/>
      <c r="F1134" s="22"/>
      <c r="G1134" s="23"/>
      <c r="H1134" s="24" t="str">
        <f aca="false">IF(G1134="","",ROUND((Config!$C$4-G1134)/365.25,2))</f>
        <v/>
      </c>
      <c r="I1134" s="25" t="str">
        <f aca="false">IF(H1134="","",IF(H1134&lt;=1,"Tramo 1",IF(H1134&lt;=3,"Tramo 2",IF(H1134&lt;=5,"Tramo 3","Tramo 4"))))</f>
        <v/>
      </c>
      <c r="J1134" s="22"/>
      <c r="K1134" s="22"/>
      <c r="L1134" s="22"/>
      <c r="M1134" s="26"/>
      <c r="N1134" s="22"/>
      <c r="O1134" s="22"/>
      <c r="P1134" s="25" t="str">
        <f aca="false">IF(OR(O1134="",O1134="Sin información"),"",IFERROR(INDEX(Listas!$B$2:$B$9,MATCH(O1134,Listas!$A$2:$A$9,0)),""))</f>
        <v/>
      </c>
      <c r="Q1134" s="25" t="str">
        <f aca="false">IF(OR(O1134="",O1134="Sin información"),"",IFERROR(INDEX(Listas!$C$2:$C$9,MATCH(O1134,Listas!$A$2:$A$9,0)),""))</f>
        <v/>
      </c>
      <c r="R1134" s="22"/>
      <c r="S1134" s="22"/>
      <c r="T1134" s="25" t="str">
        <f aca="false">IF(S1134="","",IFERROR(INDEX(Empleadores!$B$2:$B$601,MATCH(S1134,Empleadores!$A$2:$A$601,0)),"No encontrado"))</f>
        <v/>
      </c>
      <c r="U1134" s="25" t="str">
        <f aca="false">IF(C1134="","",IF(V1134="","No",IF(Config!$C$4-V1134&lt;=Config!$C$15,"Sí","No")))</f>
        <v/>
      </c>
      <c r="V1134" s="23"/>
      <c r="W1134" s="22"/>
      <c r="X1134" s="22"/>
      <c r="Y1134" s="22"/>
      <c r="Z1134" s="27"/>
      <c r="AA1134" s="22"/>
      <c r="AB1134" s="22"/>
    </row>
    <row r="1135" customFormat="false" ht="15" hidden="false" customHeight="false" outlineLevel="0" collapsed="false">
      <c r="A1135" s="22"/>
      <c r="B1135" s="22"/>
      <c r="C1135" s="22"/>
      <c r="D1135" s="22"/>
      <c r="E1135" s="22"/>
      <c r="F1135" s="22"/>
      <c r="G1135" s="23"/>
      <c r="H1135" s="24" t="str">
        <f aca="false">IF(G1135="","",ROUND((Config!$C$4-G1135)/365.25,2))</f>
        <v/>
      </c>
      <c r="I1135" s="25" t="str">
        <f aca="false">IF(H1135="","",IF(H1135&lt;=1,"Tramo 1",IF(H1135&lt;=3,"Tramo 2",IF(H1135&lt;=5,"Tramo 3","Tramo 4"))))</f>
        <v/>
      </c>
      <c r="J1135" s="22"/>
      <c r="K1135" s="22"/>
      <c r="L1135" s="22"/>
      <c r="M1135" s="26"/>
      <c r="N1135" s="22"/>
      <c r="O1135" s="22"/>
      <c r="P1135" s="25" t="str">
        <f aca="false">IF(OR(O1135="",O1135="Sin información"),"",IFERROR(INDEX(Listas!$B$2:$B$9,MATCH(O1135,Listas!$A$2:$A$9,0)),""))</f>
        <v/>
      </c>
      <c r="Q1135" s="25" t="str">
        <f aca="false">IF(OR(O1135="",O1135="Sin información"),"",IFERROR(INDEX(Listas!$C$2:$C$9,MATCH(O1135,Listas!$A$2:$A$9,0)),""))</f>
        <v/>
      </c>
      <c r="R1135" s="22"/>
      <c r="S1135" s="22"/>
      <c r="T1135" s="25" t="str">
        <f aca="false">IF(S1135="","",IFERROR(INDEX(Empleadores!$B$2:$B$601,MATCH(S1135,Empleadores!$A$2:$A$601,0)),"No encontrado"))</f>
        <v/>
      </c>
      <c r="U1135" s="25" t="str">
        <f aca="false">IF(C1135="","",IF(V1135="","No",IF(Config!$C$4-V1135&lt;=Config!$C$15,"Sí","No")))</f>
        <v/>
      </c>
      <c r="V1135" s="23"/>
      <c r="W1135" s="22"/>
      <c r="X1135" s="22"/>
      <c r="Y1135" s="22"/>
      <c r="Z1135" s="27"/>
      <c r="AA1135" s="22"/>
      <c r="AB1135" s="22"/>
    </row>
    <row r="1136" customFormat="false" ht="15" hidden="false" customHeight="false" outlineLevel="0" collapsed="false">
      <c r="A1136" s="22"/>
      <c r="B1136" s="22"/>
      <c r="C1136" s="22"/>
      <c r="D1136" s="22"/>
      <c r="E1136" s="22"/>
      <c r="F1136" s="22"/>
      <c r="G1136" s="23"/>
      <c r="H1136" s="24" t="str">
        <f aca="false">IF(G1136="","",ROUND((Config!$C$4-G1136)/365.25,2))</f>
        <v/>
      </c>
      <c r="I1136" s="25" t="str">
        <f aca="false">IF(H1136="","",IF(H1136&lt;=1,"Tramo 1",IF(H1136&lt;=3,"Tramo 2",IF(H1136&lt;=5,"Tramo 3","Tramo 4"))))</f>
        <v/>
      </c>
      <c r="J1136" s="22"/>
      <c r="K1136" s="22"/>
      <c r="L1136" s="22"/>
      <c r="M1136" s="26"/>
      <c r="N1136" s="22"/>
      <c r="O1136" s="22"/>
      <c r="P1136" s="25" t="str">
        <f aca="false">IF(OR(O1136="",O1136="Sin información"),"",IFERROR(INDEX(Listas!$B$2:$B$9,MATCH(O1136,Listas!$A$2:$A$9,0)),""))</f>
        <v/>
      </c>
      <c r="Q1136" s="25" t="str">
        <f aca="false">IF(OR(O1136="",O1136="Sin información"),"",IFERROR(INDEX(Listas!$C$2:$C$9,MATCH(O1136,Listas!$A$2:$A$9,0)),""))</f>
        <v/>
      </c>
      <c r="R1136" s="22"/>
      <c r="S1136" s="22"/>
      <c r="T1136" s="25" t="str">
        <f aca="false">IF(S1136="","",IFERROR(INDEX(Empleadores!$B$2:$B$601,MATCH(S1136,Empleadores!$A$2:$A$601,0)),"No encontrado"))</f>
        <v/>
      </c>
      <c r="U1136" s="25" t="str">
        <f aca="false">IF(C1136="","",IF(V1136="","No",IF(Config!$C$4-V1136&lt;=Config!$C$15,"Sí","No")))</f>
        <v/>
      </c>
      <c r="V1136" s="23"/>
      <c r="W1136" s="22"/>
      <c r="X1136" s="22"/>
      <c r="Y1136" s="22"/>
      <c r="Z1136" s="27"/>
      <c r="AA1136" s="22"/>
      <c r="AB1136" s="22"/>
    </row>
    <row r="1137" customFormat="false" ht="15" hidden="false" customHeight="false" outlineLevel="0" collapsed="false">
      <c r="A1137" s="22"/>
      <c r="B1137" s="22"/>
      <c r="C1137" s="22"/>
      <c r="D1137" s="22"/>
      <c r="E1137" s="22"/>
      <c r="F1137" s="22"/>
      <c r="G1137" s="23"/>
      <c r="H1137" s="24" t="str">
        <f aca="false">IF(G1137="","",ROUND((Config!$C$4-G1137)/365.25,2))</f>
        <v/>
      </c>
      <c r="I1137" s="25" t="str">
        <f aca="false">IF(H1137="","",IF(H1137&lt;=1,"Tramo 1",IF(H1137&lt;=3,"Tramo 2",IF(H1137&lt;=5,"Tramo 3","Tramo 4"))))</f>
        <v/>
      </c>
      <c r="J1137" s="22"/>
      <c r="K1137" s="22"/>
      <c r="L1137" s="22"/>
      <c r="M1137" s="26"/>
      <c r="N1137" s="22"/>
      <c r="O1137" s="22"/>
      <c r="P1137" s="25" t="str">
        <f aca="false">IF(OR(O1137="",O1137="Sin información"),"",IFERROR(INDEX(Listas!$B$2:$B$9,MATCH(O1137,Listas!$A$2:$A$9,0)),""))</f>
        <v/>
      </c>
      <c r="Q1137" s="25" t="str">
        <f aca="false">IF(OR(O1137="",O1137="Sin información"),"",IFERROR(INDEX(Listas!$C$2:$C$9,MATCH(O1137,Listas!$A$2:$A$9,0)),""))</f>
        <v/>
      </c>
      <c r="R1137" s="22"/>
      <c r="S1137" s="22"/>
      <c r="T1137" s="25" t="str">
        <f aca="false">IF(S1137="","",IFERROR(INDEX(Empleadores!$B$2:$B$601,MATCH(S1137,Empleadores!$A$2:$A$601,0)),"No encontrado"))</f>
        <v/>
      </c>
      <c r="U1137" s="25" t="str">
        <f aca="false">IF(C1137="","",IF(V1137="","No",IF(Config!$C$4-V1137&lt;=Config!$C$15,"Sí","No")))</f>
        <v/>
      </c>
      <c r="V1137" s="23"/>
      <c r="W1137" s="22"/>
      <c r="X1137" s="22"/>
      <c r="Y1137" s="22"/>
      <c r="Z1137" s="27"/>
      <c r="AA1137" s="22"/>
      <c r="AB1137" s="22"/>
    </row>
    <row r="1138" customFormat="false" ht="15" hidden="false" customHeight="false" outlineLevel="0" collapsed="false">
      <c r="A1138" s="22"/>
      <c r="B1138" s="22"/>
      <c r="C1138" s="22"/>
      <c r="D1138" s="22"/>
      <c r="E1138" s="22"/>
      <c r="F1138" s="22"/>
      <c r="G1138" s="23"/>
      <c r="H1138" s="24" t="str">
        <f aca="false">IF(G1138="","",ROUND((Config!$C$4-G1138)/365.25,2))</f>
        <v/>
      </c>
      <c r="I1138" s="25" t="str">
        <f aca="false">IF(H1138="","",IF(H1138&lt;=1,"Tramo 1",IF(H1138&lt;=3,"Tramo 2",IF(H1138&lt;=5,"Tramo 3","Tramo 4"))))</f>
        <v/>
      </c>
      <c r="J1138" s="22"/>
      <c r="K1138" s="22"/>
      <c r="L1138" s="22"/>
      <c r="M1138" s="26"/>
      <c r="N1138" s="22"/>
      <c r="O1138" s="22"/>
      <c r="P1138" s="25" t="str">
        <f aca="false">IF(OR(O1138="",O1138="Sin información"),"",IFERROR(INDEX(Listas!$B$2:$B$9,MATCH(O1138,Listas!$A$2:$A$9,0)),""))</f>
        <v/>
      </c>
      <c r="Q1138" s="25" t="str">
        <f aca="false">IF(OR(O1138="",O1138="Sin información"),"",IFERROR(INDEX(Listas!$C$2:$C$9,MATCH(O1138,Listas!$A$2:$A$9,0)),""))</f>
        <v/>
      </c>
      <c r="R1138" s="22"/>
      <c r="S1138" s="22"/>
      <c r="T1138" s="25" t="str">
        <f aca="false">IF(S1138="","",IFERROR(INDEX(Empleadores!$B$2:$B$601,MATCH(S1138,Empleadores!$A$2:$A$601,0)),"No encontrado"))</f>
        <v/>
      </c>
      <c r="U1138" s="25" t="str">
        <f aca="false">IF(C1138="","",IF(V1138="","No",IF(Config!$C$4-V1138&lt;=Config!$C$15,"Sí","No")))</f>
        <v/>
      </c>
      <c r="V1138" s="23"/>
      <c r="W1138" s="22"/>
      <c r="X1138" s="22"/>
      <c r="Y1138" s="22"/>
      <c r="Z1138" s="27"/>
      <c r="AA1138" s="22"/>
      <c r="AB1138" s="22"/>
    </row>
    <row r="1139" customFormat="false" ht="15" hidden="false" customHeight="false" outlineLevel="0" collapsed="false">
      <c r="A1139" s="22"/>
      <c r="B1139" s="22"/>
      <c r="C1139" s="22"/>
      <c r="D1139" s="22"/>
      <c r="E1139" s="22"/>
      <c r="F1139" s="22"/>
      <c r="G1139" s="23"/>
      <c r="H1139" s="24" t="str">
        <f aca="false">IF(G1139="","",ROUND((Config!$C$4-G1139)/365.25,2))</f>
        <v/>
      </c>
      <c r="I1139" s="25" t="str">
        <f aca="false">IF(H1139="","",IF(H1139&lt;=1,"Tramo 1",IF(H1139&lt;=3,"Tramo 2",IF(H1139&lt;=5,"Tramo 3","Tramo 4"))))</f>
        <v/>
      </c>
      <c r="J1139" s="22"/>
      <c r="K1139" s="22"/>
      <c r="L1139" s="22"/>
      <c r="M1139" s="26"/>
      <c r="N1139" s="22"/>
      <c r="O1139" s="22"/>
      <c r="P1139" s="25" t="str">
        <f aca="false">IF(OR(O1139="",O1139="Sin información"),"",IFERROR(INDEX(Listas!$B$2:$B$9,MATCH(O1139,Listas!$A$2:$A$9,0)),""))</f>
        <v/>
      </c>
      <c r="Q1139" s="25" t="str">
        <f aca="false">IF(OR(O1139="",O1139="Sin información"),"",IFERROR(INDEX(Listas!$C$2:$C$9,MATCH(O1139,Listas!$A$2:$A$9,0)),""))</f>
        <v/>
      </c>
      <c r="R1139" s="22"/>
      <c r="S1139" s="22"/>
      <c r="T1139" s="25" t="str">
        <f aca="false">IF(S1139="","",IFERROR(INDEX(Empleadores!$B$2:$B$601,MATCH(S1139,Empleadores!$A$2:$A$601,0)),"No encontrado"))</f>
        <v/>
      </c>
      <c r="U1139" s="25" t="str">
        <f aca="false">IF(C1139="","",IF(V1139="","No",IF(Config!$C$4-V1139&lt;=Config!$C$15,"Sí","No")))</f>
        <v/>
      </c>
      <c r="V1139" s="23"/>
      <c r="W1139" s="22"/>
      <c r="X1139" s="22"/>
      <c r="Y1139" s="22"/>
      <c r="Z1139" s="27"/>
      <c r="AA1139" s="22"/>
      <c r="AB1139" s="22"/>
    </row>
    <row r="1140" customFormat="false" ht="15" hidden="false" customHeight="false" outlineLevel="0" collapsed="false">
      <c r="A1140" s="22"/>
      <c r="B1140" s="22"/>
      <c r="C1140" s="22"/>
      <c r="D1140" s="22"/>
      <c r="E1140" s="22"/>
      <c r="F1140" s="22"/>
      <c r="G1140" s="23"/>
      <c r="H1140" s="24" t="str">
        <f aca="false">IF(G1140="","",ROUND((Config!$C$4-G1140)/365.25,2))</f>
        <v/>
      </c>
      <c r="I1140" s="25" t="str">
        <f aca="false">IF(H1140="","",IF(H1140&lt;=1,"Tramo 1",IF(H1140&lt;=3,"Tramo 2",IF(H1140&lt;=5,"Tramo 3","Tramo 4"))))</f>
        <v/>
      </c>
      <c r="J1140" s="22"/>
      <c r="K1140" s="22"/>
      <c r="L1140" s="22"/>
      <c r="M1140" s="26"/>
      <c r="N1140" s="22"/>
      <c r="O1140" s="22"/>
      <c r="P1140" s="25" t="str">
        <f aca="false">IF(OR(O1140="",O1140="Sin información"),"",IFERROR(INDEX(Listas!$B$2:$B$9,MATCH(O1140,Listas!$A$2:$A$9,0)),""))</f>
        <v/>
      </c>
      <c r="Q1140" s="25" t="str">
        <f aca="false">IF(OR(O1140="",O1140="Sin información"),"",IFERROR(INDEX(Listas!$C$2:$C$9,MATCH(O1140,Listas!$A$2:$A$9,0)),""))</f>
        <v/>
      </c>
      <c r="R1140" s="22"/>
      <c r="S1140" s="22"/>
      <c r="T1140" s="25" t="str">
        <f aca="false">IF(S1140="","",IFERROR(INDEX(Empleadores!$B$2:$B$601,MATCH(S1140,Empleadores!$A$2:$A$601,0)),"No encontrado"))</f>
        <v/>
      </c>
      <c r="U1140" s="25" t="str">
        <f aca="false">IF(C1140="","",IF(V1140="","No",IF(Config!$C$4-V1140&lt;=Config!$C$15,"Sí","No")))</f>
        <v/>
      </c>
      <c r="V1140" s="23"/>
      <c r="W1140" s="22"/>
      <c r="X1140" s="22"/>
      <c r="Y1140" s="22"/>
      <c r="Z1140" s="27"/>
      <c r="AA1140" s="22"/>
      <c r="AB1140" s="22"/>
    </row>
    <row r="1141" customFormat="false" ht="15" hidden="false" customHeight="false" outlineLevel="0" collapsed="false">
      <c r="A1141" s="22"/>
      <c r="B1141" s="22"/>
      <c r="C1141" s="22"/>
      <c r="D1141" s="22"/>
      <c r="E1141" s="22"/>
      <c r="F1141" s="22"/>
      <c r="G1141" s="23"/>
      <c r="H1141" s="24" t="str">
        <f aca="false">IF(G1141="","",ROUND((Config!$C$4-G1141)/365.25,2))</f>
        <v/>
      </c>
      <c r="I1141" s="25" t="str">
        <f aca="false">IF(H1141="","",IF(H1141&lt;=1,"Tramo 1",IF(H1141&lt;=3,"Tramo 2",IF(H1141&lt;=5,"Tramo 3","Tramo 4"))))</f>
        <v/>
      </c>
      <c r="J1141" s="22"/>
      <c r="K1141" s="22"/>
      <c r="L1141" s="22"/>
      <c r="M1141" s="26"/>
      <c r="N1141" s="22"/>
      <c r="O1141" s="22"/>
      <c r="P1141" s="25" t="str">
        <f aca="false">IF(OR(O1141="",O1141="Sin información"),"",IFERROR(INDEX(Listas!$B$2:$B$9,MATCH(O1141,Listas!$A$2:$A$9,0)),""))</f>
        <v/>
      </c>
      <c r="Q1141" s="25" t="str">
        <f aca="false">IF(OR(O1141="",O1141="Sin información"),"",IFERROR(INDEX(Listas!$C$2:$C$9,MATCH(O1141,Listas!$A$2:$A$9,0)),""))</f>
        <v/>
      </c>
      <c r="R1141" s="22"/>
      <c r="S1141" s="22"/>
      <c r="T1141" s="25" t="str">
        <f aca="false">IF(S1141="","",IFERROR(INDEX(Empleadores!$B$2:$B$601,MATCH(S1141,Empleadores!$A$2:$A$601,0)),"No encontrado"))</f>
        <v/>
      </c>
      <c r="U1141" s="25" t="str">
        <f aca="false">IF(C1141="","",IF(V1141="","No",IF(Config!$C$4-V1141&lt;=Config!$C$15,"Sí","No")))</f>
        <v/>
      </c>
      <c r="V1141" s="23"/>
      <c r="W1141" s="22"/>
      <c r="X1141" s="22"/>
      <c r="Y1141" s="22"/>
      <c r="Z1141" s="27"/>
      <c r="AA1141" s="22"/>
      <c r="AB1141" s="22"/>
    </row>
    <row r="1142" customFormat="false" ht="15" hidden="false" customHeight="false" outlineLevel="0" collapsed="false">
      <c r="A1142" s="22"/>
      <c r="B1142" s="22"/>
      <c r="C1142" s="22"/>
      <c r="D1142" s="22"/>
      <c r="E1142" s="22"/>
      <c r="F1142" s="22"/>
      <c r="G1142" s="23"/>
      <c r="H1142" s="24" t="str">
        <f aca="false">IF(G1142="","",ROUND((Config!$C$4-G1142)/365.25,2))</f>
        <v/>
      </c>
      <c r="I1142" s="25" t="str">
        <f aca="false">IF(H1142="","",IF(H1142&lt;=1,"Tramo 1",IF(H1142&lt;=3,"Tramo 2",IF(H1142&lt;=5,"Tramo 3","Tramo 4"))))</f>
        <v/>
      </c>
      <c r="J1142" s="22"/>
      <c r="K1142" s="22"/>
      <c r="L1142" s="22"/>
      <c r="M1142" s="26"/>
      <c r="N1142" s="22"/>
      <c r="O1142" s="22"/>
      <c r="P1142" s="25" t="str">
        <f aca="false">IF(OR(O1142="",O1142="Sin información"),"",IFERROR(INDEX(Listas!$B$2:$B$9,MATCH(O1142,Listas!$A$2:$A$9,0)),""))</f>
        <v/>
      </c>
      <c r="Q1142" s="25" t="str">
        <f aca="false">IF(OR(O1142="",O1142="Sin información"),"",IFERROR(INDEX(Listas!$C$2:$C$9,MATCH(O1142,Listas!$A$2:$A$9,0)),""))</f>
        <v/>
      </c>
      <c r="R1142" s="22"/>
      <c r="S1142" s="22"/>
      <c r="T1142" s="25" t="str">
        <f aca="false">IF(S1142="","",IFERROR(INDEX(Empleadores!$B$2:$B$601,MATCH(S1142,Empleadores!$A$2:$A$601,0)),"No encontrado"))</f>
        <v/>
      </c>
      <c r="U1142" s="25" t="str">
        <f aca="false">IF(C1142="","",IF(V1142="","No",IF(Config!$C$4-V1142&lt;=Config!$C$15,"Sí","No")))</f>
        <v/>
      </c>
      <c r="V1142" s="23"/>
      <c r="W1142" s="22"/>
      <c r="X1142" s="22"/>
      <c r="Y1142" s="22"/>
      <c r="Z1142" s="27"/>
      <c r="AA1142" s="22"/>
      <c r="AB1142" s="22"/>
    </row>
    <row r="1143" customFormat="false" ht="15" hidden="false" customHeight="false" outlineLevel="0" collapsed="false">
      <c r="A1143" s="22"/>
      <c r="B1143" s="22"/>
      <c r="C1143" s="22"/>
      <c r="D1143" s="22"/>
      <c r="E1143" s="22"/>
      <c r="F1143" s="22"/>
      <c r="G1143" s="23"/>
      <c r="H1143" s="24" t="str">
        <f aca="false">IF(G1143="","",ROUND((Config!$C$4-G1143)/365.25,2))</f>
        <v/>
      </c>
      <c r="I1143" s="25" t="str">
        <f aca="false">IF(H1143="","",IF(H1143&lt;=1,"Tramo 1",IF(H1143&lt;=3,"Tramo 2",IF(H1143&lt;=5,"Tramo 3","Tramo 4"))))</f>
        <v/>
      </c>
      <c r="J1143" s="22"/>
      <c r="K1143" s="22"/>
      <c r="L1143" s="22"/>
      <c r="M1143" s="26"/>
      <c r="N1143" s="22"/>
      <c r="O1143" s="22"/>
      <c r="P1143" s="25" t="str">
        <f aca="false">IF(OR(O1143="",O1143="Sin información"),"",IFERROR(INDEX(Listas!$B$2:$B$9,MATCH(O1143,Listas!$A$2:$A$9,0)),""))</f>
        <v/>
      </c>
      <c r="Q1143" s="25" t="str">
        <f aca="false">IF(OR(O1143="",O1143="Sin información"),"",IFERROR(INDEX(Listas!$C$2:$C$9,MATCH(O1143,Listas!$A$2:$A$9,0)),""))</f>
        <v/>
      </c>
      <c r="R1143" s="22"/>
      <c r="S1143" s="22"/>
      <c r="T1143" s="25" t="str">
        <f aca="false">IF(S1143="","",IFERROR(INDEX(Empleadores!$B$2:$B$601,MATCH(S1143,Empleadores!$A$2:$A$601,0)),"No encontrado"))</f>
        <v/>
      </c>
      <c r="U1143" s="25" t="str">
        <f aca="false">IF(C1143="","",IF(V1143="","No",IF(Config!$C$4-V1143&lt;=Config!$C$15,"Sí","No")))</f>
        <v/>
      </c>
      <c r="V1143" s="23"/>
      <c r="W1143" s="22"/>
      <c r="X1143" s="22"/>
      <c r="Y1143" s="22"/>
      <c r="Z1143" s="27"/>
      <c r="AA1143" s="22"/>
      <c r="AB1143" s="22"/>
    </row>
    <row r="1144" customFormat="false" ht="15" hidden="false" customHeight="false" outlineLevel="0" collapsed="false">
      <c r="A1144" s="22"/>
      <c r="B1144" s="22"/>
      <c r="C1144" s="22"/>
      <c r="D1144" s="22"/>
      <c r="E1144" s="22"/>
      <c r="F1144" s="22"/>
      <c r="G1144" s="23"/>
      <c r="H1144" s="24" t="str">
        <f aca="false">IF(G1144="","",ROUND((Config!$C$4-G1144)/365.25,2))</f>
        <v/>
      </c>
      <c r="I1144" s="25" t="str">
        <f aca="false">IF(H1144="","",IF(H1144&lt;=1,"Tramo 1",IF(H1144&lt;=3,"Tramo 2",IF(H1144&lt;=5,"Tramo 3","Tramo 4"))))</f>
        <v/>
      </c>
      <c r="J1144" s="22"/>
      <c r="K1144" s="22"/>
      <c r="L1144" s="22"/>
      <c r="M1144" s="26"/>
      <c r="N1144" s="22"/>
      <c r="O1144" s="22"/>
      <c r="P1144" s="25" t="str">
        <f aca="false">IF(OR(O1144="",O1144="Sin información"),"",IFERROR(INDEX(Listas!$B$2:$B$9,MATCH(O1144,Listas!$A$2:$A$9,0)),""))</f>
        <v/>
      </c>
      <c r="Q1144" s="25" t="str">
        <f aca="false">IF(OR(O1144="",O1144="Sin información"),"",IFERROR(INDEX(Listas!$C$2:$C$9,MATCH(O1144,Listas!$A$2:$A$9,0)),""))</f>
        <v/>
      </c>
      <c r="R1144" s="22"/>
      <c r="S1144" s="22"/>
      <c r="T1144" s="25" t="str">
        <f aca="false">IF(S1144="","",IFERROR(INDEX(Empleadores!$B$2:$B$601,MATCH(S1144,Empleadores!$A$2:$A$601,0)),"No encontrado"))</f>
        <v/>
      </c>
      <c r="U1144" s="25" t="str">
        <f aca="false">IF(C1144="","",IF(V1144="","No",IF(Config!$C$4-V1144&lt;=Config!$C$15,"Sí","No")))</f>
        <v/>
      </c>
      <c r="V1144" s="23"/>
      <c r="W1144" s="22"/>
      <c r="X1144" s="22"/>
      <c r="Y1144" s="22"/>
      <c r="Z1144" s="27"/>
      <c r="AA1144" s="22"/>
      <c r="AB1144" s="22"/>
    </row>
    <row r="1145" customFormat="false" ht="15" hidden="false" customHeight="false" outlineLevel="0" collapsed="false">
      <c r="A1145" s="22"/>
      <c r="B1145" s="22"/>
      <c r="C1145" s="22"/>
      <c r="D1145" s="22"/>
      <c r="E1145" s="22"/>
      <c r="F1145" s="22"/>
      <c r="G1145" s="23"/>
      <c r="H1145" s="24" t="str">
        <f aca="false">IF(G1145="","",ROUND((Config!$C$4-G1145)/365.25,2))</f>
        <v/>
      </c>
      <c r="I1145" s="25" t="str">
        <f aca="false">IF(H1145="","",IF(H1145&lt;=1,"Tramo 1",IF(H1145&lt;=3,"Tramo 2",IF(H1145&lt;=5,"Tramo 3","Tramo 4"))))</f>
        <v/>
      </c>
      <c r="J1145" s="22"/>
      <c r="K1145" s="22"/>
      <c r="L1145" s="22"/>
      <c r="M1145" s="26"/>
      <c r="N1145" s="22"/>
      <c r="O1145" s="22"/>
      <c r="P1145" s="25" t="str">
        <f aca="false">IF(OR(O1145="",O1145="Sin información"),"",IFERROR(INDEX(Listas!$B$2:$B$9,MATCH(O1145,Listas!$A$2:$A$9,0)),""))</f>
        <v/>
      </c>
      <c r="Q1145" s="25" t="str">
        <f aca="false">IF(OR(O1145="",O1145="Sin información"),"",IFERROR(INDEX(Listas!$C$2:$C$9,MATCH(O1145,Listas!$A$2:$A$9,0)),""))</f>
        <v/>
      </c>
      <c r="R1145" s="22"/>
      <c r="S1145" s="22"/>
      <c r="T1145" s="25" t="str">
        <f aca="false">IF(S1145="","",IFERROR(INDEX(Empleadores!$B$2:$B$601,MATCH(S1145,Empleadores!$A$2:$A$601,0)),"No encontrado"))</f>
        <v/>
      </c>
      <c r="U1145" s="25" t="str">
        <f aca="false">IF(C1145="","",IF(V1145="","No",IF(Config!$C$4-V1145&lt;=Config!$C$15,"Sí","No")))</f>
        <v/>
      </c>
      <c r="V1145" s="23"/>
      <c r="W1145" s="22"/>
      <c r="X1145" s="22"/>
      <c r="Y1145" s="22"/>
      <c r="Z1145" s="27"/>
      <c r="AA1145" s="22"/>
      <c r="AB1145" s="22"/>
    </row>
    <row r="1146" customFormat="false" ht="15" hidden="false" customHeight="false" outlineLevel="0" collapsed="false">
      <c r="A1146" s="22"/>
      <c r="B1146" s="22"/>
      <c r="C1146" s="22"/>
      <c r="D1146" s="22"/>
      <c r="E1146" s="22"/>
      <c r="F1146" s="22"/>
      <c r="G1146" s="23"/>
      <c r="H1146" s="24" t="str">
        <f aca="false">IF(G1146="","",ROUND((Config!$C$4-G1146)/365.25,2))</f>
        <v/>
      </c>
      <c r="I1146" s="25" t="str">
        <f aca="false">IF(H1146="","",IF(H1146&lt;=1,"Tramo 1",IF(H1146&lt;=3,"Tramo 2",IF(H1146&lt;=5,"Tramo 3","Tramo 4"))))</f>
        <v/>
      </c>
      <c r="J1146" s="22"/>
      <c r="K1146" s="22"/>
      <c r="L1146" s="22"/>
      <c r="M1146" s="26"/>
      <c r="N1146" s="22"/>
      <c r="O1146" s="22"/>
      <c r="P1146" s="25" t="str">
        <f aca="false">IF(OR(O1146="",O1146="Sin información"),"",IFERROR(INDEX(Listas!$B$2:$B$9,MATCH(O1146,Listas!$A$2:$A$9,0)),""))</f>
        <v/>
      </c>
      <c r="Q1146" s="25" t="str">
        <f aca="false">IF(OR(O1146="",O1146="Sin información"),"",IFERROR(INDEX(Listas!$C$2:$C$9,MATCH(O1146,Listas!$A$2:$A$9,0)),""))</f>
        <v/>
      </c>
      <c r="R1146" s="22"/>
      <c r="S1146" s="22"/>
      <c r="T1146" s="25" t="str">
        <f aca="false">IF(S1146="","",IFERROR(INDEX(Empleadores!$B$2:$B$601,MATCH(S1146,Empleadores!$A$2:$A$601,0)),"No encontrado"))</f>
        <v/>
      </c>
      <c r="U1146" s="25" t="str">
        <f aca="false">IF(C1146="","",IF(V1146="","No",IF(Config!$C$4-V1146&lt;=Config!$C$15,"Sí","No")))</f>
        <v/>
      </c>
      <c r="V1146" s="23"/>
      <c r="W1146" s="22"/>
      <c r="X1146" s="22"/>
      <c r="Y1146" s="22"/>
      <c r="Z1146" s="27"/>
      <c r="AA1146" s="22"/>
      <c r="AB1146" s="22"/>
    </row>
    <row r="1147" customFormat="false" ht="15" hidden="false" customHeight="false" outlineLevel="0" collapsed="false">
      <c r="A1147" s="22"/>
      <c r="B1147" s="22"/>
      <c r="C1147" s="22"/>
      <c r="D1147" s="22"/>
      <c r="E1147" s="22"/>
      <c r="F1147" s="22"/>
      <c r="G1147" s="23"/>
      <c r="H1147" s="24" t="str">
        <f aca="false">IF(G1147="","",ROUND((Config!$C$4-G1147)/365.25,2))</f>
        <v/>
      </c>
      <c r="I1147" s="25" t="str">
        <f aca="false">IF(H1147="","",IF(H1147&lt;=1,"Tramo 1",IF(H1147&lt;=3,"Tramo 2",IF(H1147&lt;=5,"Tramo 3","Tramo 4"))))</f>
        <v/>
      </c>
      <c r="J1147" s="22"/>
      <c r="K1147" s="22"/>
      <c r="L1147" s="22"/>
      <c r="M1147" s="26"/>
      <c r="N1147" s="22"/>
      <c r="O1147" s="22"/>
      <c r="P1147" s="25" t="str">
        <f aca="false">IF(OR(O1147="",O1147="Sin información"),"",IFERROR(INDEX(Listas!$B$2:$B$9,MATCH(O1147,Listas!$A$2:$A$9,0)),""))</f>
        <v/>
      </c>
      <c r="Q1147" s="25" t="str">
        <f aca="false">IF(OR(O1147="",O1147="Sin información"),"",IFERROR(INDEX(Listas!$C$2:$C$9,MATCH(O1147,Listas!$A$2:$A$9,0)),""))</f>
        <v/>
      </c>
      <c r="R1147" s="22"/>
      <c r="S1147" s="22"/>
      <c r="T1147" s="25" t="str">
        <f aca="false">IF(S1147="","",IFERROR(INDEX(Empleadores!$B$2:$B$601,MATCH(S1147,Empleadores!$A$2:$A$601,0)),"No encontrado"))</f>
        <v/>
      </c>
      <c r="U1147" s="25" t="str">
        <f aca="false">IF(C1147="","",IF(V1147="","No",IF(Config!$C$4-V1147&lt;=Config!$C$15,"Sí","No")))</f>
        <v/>
      </c>
      <c r="V1147" s="23"/>
      <c r="W1147" s="22"/>
      <c r="X1147" s="22"/>
      <c r="Y1147" s="22"/>
      <c r="Z1147" s="27"/>
      <c r="AA1147" s="22"/>
      <c r="AB1147" s="22"/>
    </row>
    <row r="1148" customFormat="false" ht="15" hidden="false" customHeight="false" outlineLevel="0" collapsed="false">
      <c r="A1148" s="22"/>
      <c r="B1148" s="22"/>
      <c r="C1148" s="22"/>
      <c r="D1148" s="22"/>
      <c r="E1148" s="22"/>
      <c r="F1148" s="22"/>
      <c r="G1148" s="23"/>
      <c r="H1148" s="24" t="str">
        <f aca="false">IF(G1148="","",ROUND((Config!$C$4-G1148)/365.25,2))</f>
        <v/>
      </c>
      <c r="I1148" s="25" t="str">
        <f aca="false">IF(H1148="","",IF(H1148&lt;=1,"Tramo 1",IF(H1148&lt;=3,"Tramo 2",IF(H1148&lt;=5,"Tramo 3","Tramo 4"))))</f>
        <v/>
      </c>
      <c r="J1148" s="22"/>
      <c r="K1148" s="22"/>
      <c r="L1148" s="22"/>
      <c r="M1148" s="26"/>
      <c r="N1148" s="22"/>
      <c r="O1148" s="22"/>
      <c r="P1148" s="25" t="str">
        <f aca="false">IF(OR(O1148="",O1148="Sin información"),"",IFERROR(INDEX(Listas!$B$2:$B$9,MATCH(O1148,Listas!$A$2:$A$9,0)),""))</f>
        <v/>
      </c>
      <c r="Q1148" s="25" t="str">
        <f aca="false">IF(OR(O1148="",O1148="Sin información"),"",IFERROR(INDEX(Listas!$C$2:$C$9,MATCH(O1148,Listas!$A$2:$A$9,0)),""))</f>
        <v/>
      </c>
      <c r="R1148" s="22"/>
      <c r="S1148" s="22"/>
      <c r="T1148" s="25" t="str">
        <f aca="false">IF(S1148="","",IFERROR(INDEX(Empleadores!$B$2:$B$601,MATCH(S1148,Empleadores!$A$2:$A$601,0)),"No encontrado"))</f>
        <v/>
      </c>
      <c r="U1148" s="25" t="str">
        <f aca="false">IF(C1148="","",IF(V1148="","No",IF(Config!$C$4-V1148&lt;=Config!$C$15,"Sí","No")))</f>
        <v/>
      </c>
      <c r="V1148" s="23"/>
      <c r="W1148" s="22"/>
      <c r="X1148" s="22"/>
      <c r="Y1148" s="22"/>
      <c r="Z1148" s="27"/>
      <c r="AA1148" s="22"/>
      <c r="AB1148" s="22"/>
    </row>
    <row r="1149" customFormat="false" ht="15" hidden="false" customHeight="false" outlineLevel="0" collapsed="false">
      <c r="A1149" s="22"/>
      <c r="B1149" s="22"/>
      <c r="C1149" s="22"/>
      <c r="D1149" s="22"/>
      <c r="E1149" s="22"/>
      <c r="F1149" s="22"/>
      <c r="G1149" s="23"/>
      <c r="H1149" s="24" t="str">
        <f aca="false">IF(G1149="","",ROUND((Config!$C$4-G1149)/365.25,2))</f>
        <v/>
      </c>
      <c r="I1149" s="25" t="str">
        <f aca="false">IF(H1149="","",IF(H1149&lt;=1,"Tramo 1",IF(H1149&lt;=3,"Tramo 2",IF(H1149&lt;=5,"Tramo 3","Tramo 4"))))</f>
        <v/>
      </c>
      <c r="J1149" s="22"/>
      <c r="K1149" s="22"/>
      <c r="L1149" s="22"/>
      <c r="M1149" s="26"/>
      <c r="N1149" s="22"/>
      <c r="O1149" s="22"/>
      <c r="P1149" s="25" t="str">
        <f aca="false">IF(OR(O1149="",O1149="Sin información"),"",IFERROR(INDEX(Listas!$B$2:$B$9,MATCH(O1149,Listas!$A$2:$A$9,0)),""))</f>
        <v/>
      </c>
      <c r="Q1149" s="25" t="str">
        <f aca="false">IF(OR(O1149="",O1149="Sin información"),"",IFERROR(INDEX(Listas!$C$2:$C$9,MATCH(O1149,Listas!$A$2:$A$9,0)),""))</f>
        <v/>
      </c>
      <c r="R1149" s="22"/>
      <c r="S1149" s="22"/>
      <c r="T1149" s="25" t="str">
        <f aca="false">IF(S1149="","",IFERROR(INDEX(Empleadores!$B$2:$B$601,MATCH(S1149,Empleadores!$A$2:$A$601,0)),"No encontrado"))</f>
        <v/>
      </c>
      <c r="U1149" s="25" t="str">
        <f aca="false">IF(C1149="","",IF(V1149="","No",IF(Config!$C$4-V1149&lt;=Config!$C$15,"Sí","No")))</f>
        <v/>
      </c>
      <c r="V1149" s="23"/>
      <c r="W1149" s="22"/>
      <c r="X1149" s="22"/>
      <c r="Y1149" s="22"/>
      <c r="Z1149" s="27"/>
      <c r="AA1149" s="22"/>
      <c r="AB1149" s="22"/>
    </row>
    <row r="1150" customFormat="false" ht="15" hidden="false" customHeight="false" outlineLevel="0" collapsed="false">
      <c r="A1150" s="22"/>
      <c r="B1150" s="22"/>
      <c r="C1150" s="22"/>
      <c r="D1150" s="22"/>
      <c r="E1150" s="22"/>
      <c r="F1150" s="22"/>
      <c r="G1150" s="23"/>
      <c r="H1150" s="24" t="str">
        <f aca="false">IF(G1150="","",ROUND((Config!$C$4-G1150)/365.25,2))</f>
        <v/>
      </c>
      <c r="I1150" s="25" t="str">
        <f aca="false">IF(H1150="","",IF(H1150&lt;=1,"Tramo 1",IF(H1150&lt;=3,"Tramo 2",IF(H1150&lt;=5,"Tramo 3","Tramo 4"))))</f>
        <v/>
      </c>
      <c r="J1150" s="22"/>
      <c r="K1150" s="22"/>
      <c r="L1150" s="22"/>
      <c r="M1150" s="26"/>
      <c r="N1150" s="22"/>
      <c r="O1150" s="22"/>
      <c r="P1150" s="25" t="str">
        <f aca="false">IF(OR(O1150="",O1150="Sin información"),"",IFERROR(INDEX(Listas!$B$2:$B$9,MATCH(O1150,Listas!$A$2:$A$9,0)),""))</f>
        <v/>
      </c>
      <c r="Q1150" s="25" t="str">
        <f aca="false">IF(OR(O1150="",O1150="Sin información"),"",IFERROR(INDEX(Listas!$C$2:$C$9,MATCH(O1150,Listas!$A$2:$A$9,0)),""))</f>
        <v/>
      </c>
      <c r="R1150" s="22"/>
      <c r="S1150" s="22"/>
      <c r="T1150" s="25" t="str">
        <f aca="false">IF(S1150="","",IFERROR(INDEX(Empleadores!$B$2:$B$601,MATCH(S1150,Empleadores!$A$2:$A$601,0)),"No encontrado"))</f>
        <v/>
      </c>
      <c r="U1150" s="25" t="str">
        <f aca="false">IF(C1150="","",IF(V1150="","No",IF(Config!$C$4-V1150&lt;=Config!$C$15,"Sí","No")))</f>
        <v/>
      </c>
      <c r="V1150" s="23"/>
      <c r="W1150" s="22"/>
      <c r="X1150" s="22"/>
      <c r="Y1150" s="22"/>
      <c r="Z1150" s="27"/>
      <c r="AA1150" s="22"/>
      <c r="AB1150" s="22"/>
    </row>
    <row r="1151" customFormat="false" ht="15" hidden="false" customHeight="false" outlineLevel="0" collapsed="false">
      <c r="A1151" s="22"/>
      <c r="B1151" s="22"/>
      <c r="C1151" s="22"/>
      <c r="D1151" s="22"/>
      <c r="E1151" s="22"/>
      <c r="F1151" s="22"/>
      <c r="G1151" s="23"/>
      <c r="H1151" s="24" t="str">
        <f aca="false">IF(G1151="","",ROUND((Config!$C$4-G1151)/365.25,2))</f>
        <v/>
      </c>
      <c r="I1151" s="25" t="str">
        <f aca="false">IF(H1151="","",IF(H1151&lt;=1,"Tramo 1",IF(H1151&lt;=3,"Tramo 2",IF(H1151&lt;=5,"Tramo 3","Tramo 4"))))</f>
        <v/>
      </c>
      <c r="J1151" s="22"/>
      <c r="K1151" s="22"/>
      <c r="L1151" s="22"/>
      <c r="M1151" s="26"/>
      <c r="N1151" s="22"/>
      <c r="O1151" s="22"/>
      <c r="P1151" s="25" t="str">
        <f aca="false">IF(OR(O1151="",O1151="Sin información"),"",IFERROR(INDEX(Listas!$B$2:$B$9,MATCH(O1151,Listas!$A$2:$A$9,0)),""))</f>
        <v/>
      </c>
      <c r="Q1151" s="25" t="str">
        <f aca="false">IF(OR(O1151="",O1151="Sin información"),"",IFERROR(INDEX(Listas!$C$2:$C$9,MATCH(O1151,Listas!$A$2:$A$9,0)),""))</f>
        <v/>
      </c>
      <c r="R1151" s="22"/>
      <c r="S1151" s="22"/>
      <c r="T1151" s="25" t="str">
        <f aca="false">IF(S1151="","",IFERROR(INDEX(Empleadores!$B$2:$B$601,MATCH(S1151,Empleadores!$A$2:$A$601,0)),"No encontrado"))</f>
        <v/>
      </c>
      <c r="U1151" s="25" t="str">
        <f aca="false">IF(C1151="","",IF(V1151="","No",IF(Config!$C$4-V1151&lt;=Config!$C$15,"Sí","No")))</f>
        <v/>
      </c>
      <c r="V1151" s="23"/>
      <c r="W1151" s="22"/>
      <c r="X1151" s="22"/>
      <c r="Y1151" s="22"/>
      <c r="Z1151" s="27"/>
      <c r="AA1151" s="22"/>
      <c r="AB1151" s="22"/>
    </row>
    <row r="1152" customFormat="false" ht="15" hidden="false" customHeight="false" outlineLevel="0" collapsed="false">
      <c r="A1152" s="22"/>
      <c r="B1152" s="22"/>
      <c r="C1152" s="22"/>
      <c r="D1152" s="22"/>
      <c r="E1152" s="22"/>
      <c r="F1152" s="22"/>
      <c r="G1152" s="23"/>
      <c r="H1152" s="24" t="str">
        <f aca="false">IF(G1152="","",ROUND((Config!$C$4-G1152)/365.25,2))</f>
        <v/>
      </c>
      <c r="I1152" s="25" t="str">
        <f aca="false">IF(H1152="","",IF(H1152&lt;=1,"Tramo 1",IF(H1152&lt;=3,"Tramo 2",IF(H1152&lt;=5,"Tramo 3","Tramo 4"))))</f>
        <v/>
      </c>
      <c r="J1152" s="22"/>
      <c r="K1152" s="22"/>
      <c r="L1152" s="22"/>
      <c r="M1152" s="26"/>
      <c r="N1152" s="22"/>
      <c r="O1152" s="22"/>
      <c r="P1152" s="25" t="str">
        <f aca="false">IF(OR(O1152="",O1152="Sin información"),"",IFERROR(INDEX(Listas!$B$2:$B$9,MATCH(O1152,Listas!$A$2:$A$9,0)),""))</f>
        <v/>
      </c>
      <c r="Q1152" s="25" t="str">
        <f aca="false">IF(OR(O1152="",O1152="Sin información"),"",IFERROR(INDEX(Listas!$C$2:$C$9,MATCH(O1152,Listas!$A$2:$A$9,0)),""))</f>
        <v/>
      </c>
      <c r="R1152" s="22"/>
      <c r="S1152" s="22"/>
      <c r="T1152" s="25" t="str">
        <f aca="false">IF(S1152="","",IFERROR(INDEX(Empleadores!$B$2:$B$601,MATCH(S1152,Empleadores!$A$2:$A$601,0)),"No encontrado"))</f>
        <v/>
      </c>
      <c r="U1152" s="25" t="str">
        <f aca="false">IF(C1152="","",IF(V1152="","No",IF(Config!$C$4-V1152&lt;=Config!$C$15,"Sí","No")))</f>
        <v/>
      </c>
      <c r="V1152" s="23"/>
      <c r="W1152" s="22"/>
      <c r="X1152" s="22"/>
      <c r="Y1152" s="22"/>
      <c r="Z1152" s="27"/>
      <c r="AA1152" s="22"/>
      <c r="AB1152" s="22"/>
    </row>
    <row r="1153" customFormat="false" ht="15" hidden="false" customHeight="false" outlineLevel="0" collapsed="false">
      <c r="A1153" s="22"/>
      <c r="B1153" s="22"/>
      <c r="C1153" s="22"/>
      <c r="D1153" s="22"/>
      <c r="E1153" s="22"/>
      <c r="F1153" s="22"/>
      <c r="G1153" s="23"/>
      <c r="H1153" s="24" t="str">
        <f aca="false">IF(G1153="","",ROUND((Config!$C$4-G1153)/365.25,2))</f>
        <v/>
      </c>
      <c r="I1153" s="25" t="str">
        <f aca="false">IF(H1153="","",IF(H1153&lt;=1,"Tramo 1",IF(H1153&lt;=3,"Tramo 2",IF(H1153&lt;=5,"Tramo 3","Tramo 4"))))</f>
        <v/>
      </c>
      <c r="J1153" s="22"/>
      <c r="K1153" s="22"/>
      <c r="L1153" s="22"/>
      <c r="M1153" s="26"/>
      <c r="N1153" s="22"/>
      <c r="O1153" s="22"/>
      <c r="P1153" s="25" t="str">
        <f aca="false">IF(OR(O1153="",O1153="Sin información"),"",IFERROR(INDEX(Listas!$B$2:$B$9,MATCH(O1153,Listas!$A$2:$A$9,0)),""))</f>
        <v/>
      </c>
      <c r="Q1153" s="25" t="str">
        <f aca="false">IF(OR(O1153="",O1153="Sin información"),"",IFERROR(INDEX(Listas!$C$2:$C$9,MATCH(O1153,Listas!$A$2:$A$9,0)),""))</f>
        <v/>
      </c>
      <c r="R1153" s="22"/>
      <c r="S1153" s="22"/>
      <c r="T1153" s="25" t="str">
        <f aca="false">IF(S1153="","",IFERROR(INDEX(Empleadores!$B$2:$B$601,MATCH(S1153,Empleadores!$A$2:$A$601,0)),"No encontrado"))</f>
        <v/>
      </c>
      <c r="U1153" s="25" t="str">
        <f aca="false">IF(C1153="","",IF(V1153="","No",IF(Config!$C$4-V1153&lt;=Config!$C$15,"Sí","No")))</f>
        <v/>
      </c>
      <c r="V1153" s="23"/>
      <c r="W1153" s="22"/>
      <c r="X1153" s="22"/>
      <c r="Y1153" s="22"/>
      <c r="Z1153" s="27"/>
      <c r="AA1153" s="22"/>
      <c r="AB1153" s="22"/>
    </row>
    <row r="1154" customFormat="false" ht="15" hidden="false" customHeight="false" outlineLevel="0" collapsed="false">
      <c r="A1154" s="22"/>
      <c r="B1154" s="22"/>
      <c r="C1154" s="22"/>
      <c r="D1154" s="22"/>
      <c r="E1154" s="22"/>
      <c r="F1154" s="22"/>
      <c r="G1154" s="23"/>
      <c r="H1154" s="24" t="str">
        <f aca="false">IF(G1154="","",ROUND((Config!$C$4-G1154)/365.25,2))</f>
        <v/>
      </c>
      <c r="I1154" s="25" t="str">
        <f aca="false">IF(H1154="","",IF(H1154&lt;=1,"Tramo 1",IF(H1154&lt;=3,"Tramo 2",IF(H1154&lt;=5,"Tramo 3","Tramo 4"))))</f>
        <v/>
      </c>
      <c r="J1154" s="22"/>
      <c r="K1154" s="22"/>
      <c r="L1154" s="22"/>
      <c r="M1154" s="26"/>
      <c r="N1154" s="22"/>
      <c r="O1154" s="22"/>
      <c r="P1154" s="25" t="str">
        <f aca="false">IF(OR(O1154="",O1154="Sin información"),"",IFERROR(INDEX(Listas!$B$2:$B$9,MATCH(O1154,Listas!$A$2:$A$9,0)),""))</f>
        <v/>
      </c>
      <c r="Q1154" s="25" t="str">
        <f aca="false">IF(OR(O1154="",O1154="Sin información"),"",IFERROR(INDEX(Listas!$C$2:$C$9,MATCH(O1154,Listas!$A$2:$A$9,0)),""))</f>
        <v/>
      </c>
      <c r="R1154" s="22"/>
      <c r="S1154" s="22"/>
      <c r="T1154" s="25" t="str">
        <f aca="false">IF(S1154="","",IFERROR(INDEX(Empleadores!$B$2:$B$601,MATCH(S1154,Empleadores!$A$2:$A$601,0)),"No encontrado"))</f>
        <v/>
      </c>
      <c r="U1154" s="25" t="str">
        <f aca="false">IF(C1154="","",IF(V1154="","No",IF(Config!$C$4-V1154&lt;=Config!$C$15,"Sí","No")))</f>
        <v/>
      </c>
      <c r="V1154" s="23"/>
      <c r="W1154" s="22"/>
      <c r="X1154" s="22"/>
      <c r="Y1154" s="22"/>
      <c r="Z1154" s="27"/>
      <c r="AA1154" s="22"/>
      <c r="AB1154" s="22"/>
    </row>
    <row r="1155" customFormat="false" ht="15" hidden="false" customHeight="false" outlineLevel="0" collapsed="false">
      <c r="A1155" s="22"/>
      <c r="B1155" s="22"/>
      <c r="C1155" s="22"/>
      <c r="D1155" s="22"/>
      <c r="E1155" s="22"/>
      <c r="F1155" s="22"/>
      <c r="G1155" s="23"/>
      <c r="H1155" s="24" t="str">
        <f aca="false">IF(G1155="","",ROUND((Config!$C$4-G1155)/365.25,2))</f>
        <v/>
      </c>
      <c r="I1155" s="25" t="str">
        <f aca="false">IF(H1155="","",IF(H1155&lt;=1,"Tramo 1",IF(H1155&lt;=3,"Tramo 2",IF(H1155&lt;=5,"Tramo 3","Tramo 4"))))</f>
        <v/>
      </c>
      <c r="J1155" s="22"/>
      <c r="K1155" s="22"/>
      <c r="L1155" s="22"/>
      <c r="M1155" s="26"/>
      <c r="N1155" s="22"/>
      <c r="O1155" s="22"/>
      <c r="P1155" s="25" t="str">
        <f aca="false">IF(OR(O1155="",O1155="Sin información"),"",IFERROR(INDEX(Listas!$B$2:$B$9,MATCH(O1155,Listas!$A$2:$A$9,0)),""))</f>
        <v/>
      </c>
      <c r="Q1155" s="25" t="str">
        <f aca="false">IF(OR(O1155="",O1155="Sin información"),"",IFERROR(INDEX(Listas!$C$2:$C$9,MATCH(O1155,Listas!$A$2:$A$9,0)),""))</f>
        <v/>
      </c>
      <c r="R1155" s="22"/>
      <c r="S1155" s="22"/>
      <c r="T1155" s="25" t="str">
        <f aca="false">IF(S1155="","",IFERROR(INDEX(Empleadores!$B$2:$B$601,MATCH(S1155,Empleadores!$A$2:$A$601,0)),"No encontrado"))</f>
        <v/>
      </c>
      <c r="U1155" s="25" t="str">
        <f aca="false">IF(C1155="","",IF(V1155="","No",IF(Config!$C$4-V1155&lt;=Config!$C$15,"Sí","No")))</f>
        <v/>
      </c>
      <c r="V1155" s="23"/>
      <c r="W1155" s="22"/>
      <c r="X1155" s="22"/>
      <c r="Y1155" s="22"/>
      <c r="Z1155" s="27"/>
      <c r="AA1155" s="22"/>
      <c r="AB1155" s="22"/>
    </row>
    <row r="1156" customFormat="false" ht="15" hidden="false" customHeight="false" outlineLevel="0" collapsed="false">
      <c r="A1156" s="22"/>
      <c r="B1156" s="22"/>
      <c r="C1156" s="22"/>
      <c r="D1156" s="22"/>
      <c r="E1156" s="22"/>
      <c r="F1156" s="22"/>
      <c r="G1156" s="23"/>
      <c r="H1156" s="24" t="str">
        <f aca="false">IF(G1156="","",ROUND((Config!$C$4-G1156)/365.25,2))</f>
        <v/>
      </c>
      <c r="I1156" s="25" t="str">
        <f aca="false">IF(H1156="","",IF(H1156&lt;=1,"Tramo 1",IF(H1156&lt;=3,"Tramo 2",IF(H1156&lt;=5,"Tramo 3","Tramo 4"))))</f>
        <v/>
      </c>
      <c r="J1156" s="22"/>
      <c r="K1156" s="22"/>
      <c r="L1156" s="22"/>
      <c r="M1156" s="26"/>
      <c r="N1156" s="22"/>
      <c r="O1156" s="22"/>
      <c r="P1156" s="25" t="str">
        <f aca="false">IF(OR(O1156="",O1156="Sin información"),"",IFERROR(INDEX(Listas!$B$2:$B$9,MATCH(O1156,Listas!$A$2:$A$9,0)),""))</f>
        <v/>
      </c>
      <c r="Q1156" s="25" t="str">
        <f aca="false">IF(OR(O1156="",O1156="Sin información"),"",IFERROR(INDEX(Listas!$C$2:$C$9,MATCH(O1156,Listas!$A$2:$A$9,0)),""))</f>
        <v/>
      </c>
      <c r="R1156" s="22"/>
      <c r="S1156" s="22"/>
      <c r="T1156" s="25" t="str">
        <f aca="false">IF(S1156="","",IFERROR(INDEX(Empleadores!$B$2:$B$601,MATCH(S1156,Empleadores!$A$2:$A$601,0)),"No encontrado"))</f>
        <v/>
      </c>
      <c r="U1156" s="25" t="str">
        <f aca="false">IF(C1156="","",IF(V1156="","No",IF(Config!$C$4-V1156&lt;=Config!$C$15,"Sí","No")))</f>
        <v/>
      </c>
      <c r="V1156" s="23"/>
      <c r="W1156" s="22"/>
      <c r="X1156" s="22"/>
      <c r="Y1156" s="22"/>
      <c r="Z1156" s="27"/>
      <c r="AA1156" s="22"/>
      <c r="AB1156" s="22"/>
    </row>
    <row r="1157" customFormat="false" ht="15" hidden="false" customHeight="false" outlineLevel="0" collapsed="false">
      <c r="A1157" s="22"/>
      <c r="B1157" s="22"/>
      <c r="C1157" s="22"/>
      <c r="D1157" s="22"/>
      <c r="E1157" s="22"/>
      <c r="F1157" s="22"/>
      <c r="G1157" s="23"/>
      <c r="H1157" s="24" t="str">
        <f aca="false">IF(G1157="","",ROUND((Config!$C$4-G1157)/365.25,2))</f>
        <v/>
      </c>
      <c r="I1157" s="25" t="str">
        <f aca="false">IF(H1157="","",IF(H1157&lt;=1,"Tramo 1",IF(H1157&lt;=3,"Tramo 2",IF(H1157&lt;=5,"Tramo 3","Tramo 4"))))</f>
        <v/>
      </c>
      <c r="J1157" s="22"/>
      <c r="K1157" s="22"/>
      <c r="L1157" s="22"/>
      <c r="M1157" s="26"/>
      <c r="N1157" s="22"/>
      <c r="O1157" s="22"/>
      <c r="P1157" s="25" t="str">
        <f aca="false">IF(OR(O1157="",O1157="Sin información"),"",IFERROR(INDEX(Listas!$B$2:$B$9,MATCH(O1157,Listas!$A$2:$A$9,0)),""))</f>
        <v/>
      </c>
      <c r="Q1157" s="25" t="str">
        <f aca="false">IF(OR(O1157="",O1157="Sin información"),"",IFERROR(INDEX(Listas!$C$2:$C$9,MATCH(O1157,Listas!$A$2:$A$9,0)),""))</f>
        <v/>
      </c>
      <c r="R1157" s="22"/>
      <c r="S1157" s="22"/>
      <c r="T1157" s="25" t="str">
        <f aca="false">IF(S1157="","",IFERROR(INDEX(Empleadores!$B$2:$B$601,MATCH(S1157,Empleadores!$A$2:$A$601,0)),"No encontrado"))</f>
        <v/>
      </c>
      <c r="U1157" s="25" t="str">
        <f aca="false">IF(C1157="","",IF(V1157="","No",IF(Config!$C$4-V1157&lt;=Config!$C$15,"Sí","No")))</f>
        <v/>
      </c>
      <c r="V1157" s="23"/>
      <c r="W1157" s="22"/>
      <c r="X1157" s="22"/>
      <c r="Y1157" s="22"/>
      <c r="Z1157" s="27"/>
      <c r="AA1157" s="22"/>
      <c r="AB1157" s="22"/>
    </row>
    <row r="1158" customFormat="false" ht="15" hidden="false" customHeight="false" outlineLevel="0" collapsed="false">
      <c r="A1158" s="22"/>
      <c r="B1158" s="22"/>
      <c r="C1158" s="22"/>
      <c r="D1158" s="22"/>
      <c r="E1158" s="22"/>
      <c r="F1158" s="22"/>
      <c r="G1158" s="23"/>
      <c r="H1158" s="24" t="str">
        <f aca="false">IF(G1158="","",ROUND((Config!$C$4-G1158)/365.25,2))</f>
        <v/>
      </c>
      <c r="I1158" s="25" t="str">
        <f aca="false">IF(H1158="","",IF(H1158&lt;=1,"Tramo 1",IF(H1158&lt;=3,"Tramo 2",IF(H1158&lt;=5,"Tramo 3","Tramo 4"))))</f>
        <v/>
      </c>
      <c r="J1158" s="22"/>
      <c r="K1158" s="22"/>
      <c r="L1158" s="22"/>
      <c r="M1158" s="26"/>
      <c r="N1158" s="22"/>
      <c r="O1158" s="22"/>
      <c r="P1158" s="25" t="str">
        <f aca="false">IF(OR(O1158="",O1158="Sin información"),"",IFERROR(INDEX(Listas!$B$2:$B$9,MATCH(O1158,Listas!$A$2:$A$9,0)),""))</f>
        <v/>
      </c>
      <c r="Q1158" s="25" t="str">
        <f aca="false">IF(OR(O1158="",O1158="Sin información"),"",IFERROR(INDEX(Listas!$C$2:$C$9,MATCH(O1158,Listas!$A$2:$A$9,0)),""))</f>
        <v/>
      </c>
      <c r="R1158" s="22"/>
      <c r="S1158" s="22"/>
      <c r="T1158" s="25" t="str">
        <f aca="false">IF(S1158="","",IFERROR(INDEX(Empleadores!$B$2:$B$601,MATCH(S1158,Empleadores!$A$2:$A$601,0)),"No encontrado"))</f>
        <v/>
      </c>
      <c r="U1158" s="25" t="str">
        <f aca="false">IF(C1158="","",IF(V1158="","No",IF(Config!$C$4-V1158&lt;=Config!$C$15,"Sí","No")))</f>
        <v/>
      </c>
      <c r="V1158" s="23"/>
      <c r="W1158" s="22"/>
      <c r="X1158" s="22"/>
      <c r="Y1158" s="22"/>
      <c r="Z1158" s="27"/>
      <c r="AA1158" s="22"/>
      <c r="AB1158" s="22"/>
    </row>
    <row r="1159" customFormat="false" ht="15" hidden="false" customHeight="false" outlineLevel="0" collapsed="false">
      <c r="A1159" s="22"/>
      <c r="B1159" s="22"/>
      <c r="C1159" s="22"/>
      <c r="D1159" s="22"/>
      <c r="E1159" s="22"/>
      <c r="F1159" s="22"/>
      <c r="G1159" s="23"/>
      <c r="H1159" s="24" t="str">
        <f aca="false">IF(G1159="","",ROUND((Config!$C$4-G1159)/365.25,2))</f>
        <v/>
      </c>
      <c r="I1159" s="25" t="str">
        <f aca="false">IF(H1159="","",IF(H1159&lt;=1,"Tramo 1",IF(H1159&lt;=3,"Tramo 2",IF(H1159&lt;=5,"Tramo 3","Tramo 4"))))</f>
        <v/>
      </c>
      <c r="J1159" s="22"/>
      <c r="K1159" s="22"/>
      <c r="L1159" s="22"/>
      <c r="M1159" s="26"/>
      <c r="N1159" s="22"/>
      <c r="O1159" s="22"/>
      <c r="P1159" s="25" t="str">
        <f aca="false">IF(OR(O1159="",O1159="Sin información"),"",IFERROR(INDEX(Listas!$B$2:$B$9,MATCH(O1159,Listas!$A$2:$A$9,0)),""))</f>
        <v/>
      </c>
      <c r="Q1159" s="25" t="str">
        <f aca="false">IF(OR(O1159="",O1159="Sin información"),"",IFERROR(INDEX(Listas!$C$2:$C$9,MATCH(O1159,Listas!$A$2:$A$9,0)),""))</f>
        <v/>
      </c>
      <c r="R1159" s="22"/>
      <c r="S1159" s="22"/>
      <c r="T1159" s="25" t="str">
        <f aca="false">IF(S1159="","",IFERROR(INDEX(Empleadores!$B$2:$B$601,MATCH(S1159,Empleadores!$A$2:$A$601,0)),"No encontrado"))</f>
        <v/>
      </c>
      <c r="U1159" s="25" t="str">
        <f aca="false">IF(C1159="","",IF(V1159="","No",IF(Config!$C$4-V1159&lt;=Config!$C$15,"Sí","No")))</f>
        <v/>
      </c>
      <c r="V1159" s="23"/>
      <c r="W1159" s="22"/>
      <c r="X1159" s="22"/>
      <c r="Y1159" s="22"/>
      <c r="Z1159" s="27"/>
      <c r="AA1159" s="22"/>
      <c r="AB1159" s="22"/>
    </row>
    <row r="1160" customFormat="false" ht="15" hidden="false" customHeight="false" outlineLevel="0" collapsed="false">
      <c r="A1160" s="22"/>
      <c r="B1160" s="22"/>
      <c r="C1160" s="22"/>
      <c r="D1160" s="22"/>
      <c r="E1160" s="22"/>
      <c r="F1160" s="22"/>
      <c r="G1160" s="23"/>
      <c r="H1160" s="24" t="str">
        <f aca="false">IF(G1160="","",ROUND((Config!$C$4-G1160)/365.25,2))</f>
        <v/>
      </c>
      <c r="I1160" s="25" t="str">
        <f aca="false">IF(H1160="","",IF(H1160&lt;=1,"Tramo 1",IF(H1160&lt;=3,"Tramo 2",IF(H1160&lt;=5,"Tramo 3","Tramo 4"))))</f>
        <v/>
      </c>
      <c r="J1160" s="22"/>
      <c r="K1160" s="22"/>
      <c r="L1160" s="22"/>
      <c r="M1160" s="26"/>
      <c r="N1160" s="22"/>
      <c r="O1160" s="22"/>
      <c r="P1160" s="25" t="str">
        <f aca="false">IF(OR(O1160="",O1160="Sin información"),"",IFERROR(INDEX(Listas!$B$2:$B$9,MATCH(O1160,Listas!$A$2:$A$9,0)),""))</f>
        <v/>
      </c>
      <c r="Q1160" s="25" t="str">
        <f aca="false">IF(OR(O1160="",O1160="Sin información"),"",IFERROR(INDEX(Listas!$C$2:$C$9,MATCH(O1160,Listas!$A$2:$A$9,0)),""))</f>
        <v/>
      </c>
      <c r="R1160" s="22"/>
      <c r="S1160" s="22"/>
      <c r="T1160" s="25" t="str">
        <f aca="false">IF(S1160="","",IFERROR(INDEX(Empleadores!$B$2:$B$601,MATCH(S1160,Empleadores!$A$2:$A$601,0)),"No encontrado"))</f>
        <v/>
      </c>
      <c r="U1160" s="25" t="str">
        <f aca="false">IF(C1160="","",IF(V1160="","No",IF(Config!$C$4-V1160&lt;=Config!$C$15,"Sí","No")))</f>
        <v/>
      </c>
      <c r="V1160" s="23"/>
      <c r="W1160" s="22"/>
      <c r="X1160" s="22"/>
      <c r="Y1160" s="22"/>
      <c r="Z1160" s="27"/>
      <c r="AA1160" s="22"/>
      <c r="AB1160" s="22"/>
    </row>
    <row r="1161" customFormat="false" ht="15" hidden="false" customHeight="false" outlineLevel="0" collapsed="false">
      <c r="A1161" s="22"/>
      <c r="B1161" s="22"/>
      <c r="C1161" s="22"/>
      <c r="D1161" s="22"/>
      <c r="E1161" s="22"/>
      <c r="F1161" s="22"/>
      <c r="G1161" s="23"/>
      <c r="H1161" s="24" t="str">
        <f aca="false">IF(G1161="","",ROUND((Config!$C$4-G1161)/365.25,2))</f>
        <v/>
      </c>
      <c r="I1161" s="25" t="str">
        <f aca="false">IF(H1161="","",IF(H1161&lt;=1,"Tramo 1",IF(H1161&lt;=3,"Tramo 2",IF(H1161&lt;=5,"Tramo 3","Tramo 4"))))</f>
        <v/>
      </c>
      <c r="J1161" s="22"/>
      <c r="K1161" s="22"/>
      <c r="L1161" s="22"/>
      <c r="M1161" s="26"/>
      <c r="N1161" s="22"/>
      <c r="O1161" s="22"/>
      <c r="P1161" s="25" t="str">
        <f aca="false">IF(OR(O1161="",O1161="Sin información"),"",IFERROR(INDEX(Listas!$B$2:$B$9,MATCH(O1161,Listas!$A$2:$A$9,0)),""))</f>
        <v/>
      </c>
      <c r="Q1161" s="25" t="str">
        <f aca="false">IF(OR(O1161="",O1161="Sin información"),"",IFERROR(INDEX(Listas!$C$2:$C$9,MATCH(O1161,Listas!$A$2:$A$9,0)),""))</f>
        <v/>
      </c>
      <c r="R1161" s="22"/>
      <c r="S1161" s="22"/>
      <c r="T1161" s="25" t="str">
        <f aca="false">IF(S1161="","",IFERROR(INDEX(Empleadores!$B$2:$B$601,MATCH(S1161,Empleadores!$A$2:$A$601,0)),"No encontrado"))</f>
        <v/>
      </c>
      <c r="U1161" s="25" t="str">
        <f aca="false">IF(C1161="","",IF(V1161="","No",IF(Config!$C$4-V1161&lt;=Config!$C$15,"Sí","No")))</f>
        <v/>
      </c>
      <c r="V1161" s="23"/>
      <c r="W1161" s="22"/>
      <c r="X1161" s="22"/>
      <c r="Y1161" s="22"/>
      <c r="Z1161" s="27"/>
      <c r="AA1161" s="22"/>
      <c r="AB1161" s="22"/>
    </row>
    <row r="1162" customFormat="false" ht="15" hidden="false" customHeight="false" outlineLevel="0" collapsed="false">
      <c r="A1162" s="22"/>
      <c r="B1162" s="22"/>
      <c r="C1162" s="22"/>
      <c r="D1162" s="22"/>
      <c r="E1162" s="22"/>
      <c r="F1162" s="22"/>
      <c r="G1162" s="23"/>
      <c r="H1162" s="24" t="str">
        <f aca="false">IF(G1162="","",ROUND((Config!$C$4-G1162)/365.25,2))</f>
        <v/>
      </c>
      <c r="I1162" s="25" t="str">
        <f aca="false">IF(H1162="","",IF(H1162&lt;=1,"Tramo 1",IF(H1162&lt;=3,"Tramo 2",IF(H1162&lt;=5,"Tramo 3","Tramo 4"))))</f>
        <v/>
      </c>
      <c r="J1162" s="22"/>
      <c r="K1162" s="22"/>
      <c r="L1162" s="22"/>
      <c r="M1162" s="26"/>
      <c r="N1162" s="22"/>
      <c r="O1162" s="22"/>
      <c r="P1162" s="25" t="str">
        <f aca="false">IF(OR(O1162="",O1162="Sin información"),"",IFERROR(INDEX(Listas!$B$2:$B$9,MATCH(O1162,Listas!$A$2:$A$9,0)),""))</f>
        <v/>
      </c>
      <c r="Q1162" s="25" t="str">
        <f aca="false">IF(OR(O1162="",O1162="Sin información"),"",IFERROR(INDEX(Listas!$C$2:$C$9,MATCH(O1162,Listas!$A$2:$A$9,0)),""))</f>
        <v/>
      </c>
      <c r="R1162" s="22"/>
      <c r="S1162" s="22"/>
      <c r="T1162" s="25" t="str">
        <f aca="false">IF(S1162="","",IFERROR(INDEX(Empleadores!$B$2:$B$601,MATCH(S1162,Empleadores!$A$2:$A$601,0)),"No encontrado"))</f>
        <v/>
      </c>
      <c r="U1162" s="25" t="str">
        <f aca="false">IF(C1162="","",IF(V1162="","No",IF(Config!$C$4-V1162&lt;=Config!$C$15,"Sí","No")))</f>
        <v/>
      </c>
      <c r="V1162" s="23"/>
      <c r="W1162" s="22"/>
      <c r="X1162" s="22"/>
      <c r="Y1162" s="22"/>
      <c r="Z1162" s="27"/>
      <c r="AA1162" s="22"/>
      <c r="AB1162" s="22"/>
    </row>
    <row r="1163" customFormat="false" ht="15" hidden="false" customHeight="false" outlineLevel="0" collapsed="false">
      <c r="A1163" s="22"/>
      <c r="B1163" s="22"/>
      <c r="C1163" s="22"/>
      <c r="D1163" s="22"/>
      <c r="E1163" s="22"/>
      <c r="F1163" s="22"/>
      <c r="G1163" s="23"/>
      <c r="H1163" s="24" t="str">
        <f aca="false">IF(G1163="","",ROUND((Config!$C$4-G1163)/365.25,2))</f>
        <v/>
      </c>
      <c r="I1163" s="25" t="str">
        <f aca="false">IF(H1163="","",IF(H1163&lt;=1,"Tramo 1",IF(H1163&lt;=3,"Tramo 2",IF(H1163&lt;=5,"Tramo 3","Tramo 4"))))</f>
        <v/>
      </c>
      <c r="J1163" s="22"/>
      <c r="K1163" s="22"/>
      <c r="L1163" s="22"/>
      <c r="M1163" s="26"/>
      <c r="N1163" s="22"/>
      <c r="O1163" s="22"/>
      <c r="P1163" s="25" t="str">
        <f aca="false">IF(OR(O1163="",O1163="Sin información"),"",IFERROR(INDEX(Listas!$B$2:$B$9,MATCH(O1163,Listas!$A$2:$A$9,0)),""))</f>
        <v/>
      </c>
      <c r="Q1163" s="25" t="str">
        <f aca="false">IF(OR(O1163="",O1163="Sin información"),"",IFERROR(INDEX(Listas!$C$2:$C$9,MATCH(O1163,Listas!$A$2:$A$9,0)),""))</f>
        <v/>
      </c>
      <c r="R1163" s="22"/>
      <c r="S1163" s="22"/>
      <c r="T1163" s="25" t="str">
        <f aca="false">IF(S1163="","",IFERROR(INDEX(Empleadores!$B$2:$B$601,MATCH(S1163,Empleadores!$A$2:$A$601,0)),"No encontrado"))</f>
        <v/>
      </c>
      <c r="U1163" s="25" t="str">
        <f aca="false">IF(C1163="","",IF(V1163="","No",IF(Config!$C$4-V1163&lt;=Config!$C$15,"Sí","No")))</f>
        <v/>
      </c>
      <c r="V1163" s="23"/>
      <c r="W1163" s="22"/>
      <c r="X1163" s="22"/>
      <c r="Y1163" s="22"/>
      <c r="Z1163" s="27"/>
      <c r="AA1163" s="22"/>
      <c r="AB1163" s="22"/>
    </row>
    <row r="1164" customFormat="false" ht="15" hidden="false" customHeight="false" outlineLevel="0" collapsed="false">
      <c r="A1164" s="22"/>
      <c r="B1164" s="22"/>
      <c r="C1164" s="22"/>
      <c r="D1164" s="22"/>
      <c r="E1164" s="22"/>
      <c r="F1164" s="22"/>
      <c r="G1164" s="23"/>
      <c r="H1164" s="24" t="str">
        <f aca="false">IF(G1164="","",ROUND((Config!$C$4-G1164)/365.25,2))</f>
        <v/>
      </c>
      <c r="I1164" s="25" t="str">
        <f aca="false">IF(H1164="","",IF(H1164&lt;=1,"Tramo 1",IF(H1164&lt;=3,"Tramo 2",IF(H1164&lt;=5,"Tramo 3","Tramo 4"))))</f>
        <v/>
      </c>
      <c r="J1164" s="22"/>
      <c r="K1164" s="22"/>
      <c r="L1164" s="22"/>
      <c r="M1164" s="26"/>
      <c r="N1164" s="22"/>
      <c r="O1164" s="22"/>
      <c r="P1164" s="25" t="str">
        <f aca="false">IF(OR(O1164="",O1164="Sin información"),"",IFERROR(INDEX(Listas!$B$2:$B$9,MATCH(O1164,Listas!$A$2:$A$9,0)),""))</f>
        <v/>
      </c>
      <c r="Q1164" s="25" t="str">
        <f aca="false">IF(OR(O1164="",O1164="Sin información"),"",IFERROR(INDEX(Listas!$C$2:$C$9,MATCH(O1164,Listas!$A$2:$A$9,0)),""))</f>
        <v/>
      </c>
      <c r="R1164" s="22"/>
      <c r="S1164" s="22"/>
      <c r="T1164" s="25" t="str">
        <f aca="false">IF(S1164="","",IFERROR(INDEX(Empleadores!$B$2:$B$601,MATCH(S1164,Empleadores!$A$2:$A$601,0)),"No encontrado"))</f>
        <v/>
      </c>
      <c r="U1164" s="25" t="str">
        <f aca="false">IF(C1164="","",IF(V1164="","No",IF(Config!$C$4-V1164&lt;=Config!$C$15,"Sí","No")))</f>
        <v/>
      </c>
      <c r="V1164" s="23"/>
      <c r="W1164" s="22"/>
      <c r="X1164" s="22"/>
      <c r="Y1164" s="22"/>
      <c r="Z1164" s="27"/>
      <c r="AA1164" s="22"/>
      <c r="AB1164" s="22"/>
    </row>
    <row r="1165" customFormat="false" ht="15" hidden="false" customHeight="false" outlineLevel="0" collapsed="false">
      <c r="A1165" s="22"/>
      <c r="B1165" s="22"/>
      <c r="C1165" s="22"/>
      <c r="D1165" s="22"/>
      <c r="E1165" s="22"/>
      <c r="F1165" s="22"/>
      <c r="G1165" s="23"/>
      <c r="H1165" s="24" t="str">
        <f aca="false">IF(G1165="","",ROUND((Config!$C$4-G1165)/365.25,2))</f>
        <v/>
      </c>
      <c r="I1165" s="25" t="str">
        <f aca="false">IF(H1165="","",IF(H1165&lt;=1,"Tramo 1",IF(H1165&lt;=3,"Tramo 2",IF(H1165&lt;=5,"Tramo 3","Tramo 4"))))</f>
        <v/>
      </c>
      <c r="J1165" s="22"/>
      <c r="K1165" s="22"/>
      <c r="L1165" s="22"/>
      <c r="M1165" s="26"/>
      <c r="N1165" s="22"/>
      <c r="O1165" s="22"/>
      <c r="P1165" s="25" t="str">
        <f aca="false">IF(OR(O1165="",O1165="Sin información"),"",IFERROR(INDEX(Listas!$B$2:$B$9,MATCH(O1165,Listas!$A$2:$A$9,0)),""))</f>
        <v/>
      </c>
      <c r="Q1165" s="25" t="str">
        <f aca="false">IF(OR(O1165="",O1165="Sin información"),"",IFERROR(INDEX(Listas!$C$2:$C$9,MATCH(O1165,Listas!$A$2:$A$9,0)),""))</f>
        <v/>
      </c>
      <c r="R1165" s="22"/>
      <c r="S1165" s="22"/>
      <c r="T1165" s="25" t="str">
        <f aca="false">IF(S1165="","",IFERROR(INDEX(Empleadores!$B$2:$B$601,MATCH(S1165,Empleadores!$A$2:$A$601,0)),"No encontrado"))</f>
        <v/>
      </c>
      <c r="U1165" s="25" t="str">
        <f aca="false">IF(C1165="","",IF(V1165="","No",IF(Config!$C$4-V1165&lt;=Config!$C$15,"Sí","No")))</f>
        <v/>
      </c>
      <c r="V1165" s="23"/>
      <c r="W1165" s="22"/>
      <c r="X1165" s="22"/>
      <c r="Y1165" s="22"/>
      <c r="Z1165" s="27"/>
      <c r="AA1165" s="22"/>
      <c r="AB1165" s="22"/>
    </row>
    <row r="1166" customFormat="false" ht="15" hidden="false" customHeight="false" outlineLevel="0" collapsed="false">
      <c r="A1166" s="22"/>
      <c r="B1166" s="22"/>
      <c r="C1166" s="22"/>
      <c r="D1166" s="22"/>
      <c r="E1166" s="22"/>
      <c r="F1166" s="22"/>
      <c r="G1166" s="23"/>
      <c r="H1166" s="24" t="str">
        <f aca="false">IF(G1166="","",ROUND((Config!$C$4-G1166)/365.25,2))</f>
        <v/>
      </c>
      <c r="I1166" s="25" t="str">
        <f aca="false">IF(H1166="","",IF(H1166&lt;=1,"Tramo 1",IF(H1166&lt;=3,"Tramo 2",IF(H1166&lt;=5,"Tramo 3","Tramo 4"))))</f>
        <v/>
      </c>
      <c r="J1166" s="22"/>
      <c r="K1166" s="22"/>
      <c r="L1166" s="22"/>
      <c r="M1166" s="26"/>
      <c r="N1166" s="22"/>
      <c r="O1166" s="22"/>
      <c r="P1166" s="25" t="str">
        <f aca="false">IF(OR(O1166="",O1166="Sin información"),"",IFERROR(INDEX(Listas!$B$2:$B$9,MATCH(O1166,Listas!$A$2:$A$9,0)),""))</f>
        <v/>
      </c>
      <c r="Q1166" s="25" t="str">
        <f aca="false">IF(OR(O1166="",O1166="Sin información"),"",IFERROR(INDEX(Listas!$C$2:$C$9,MATCH(O1166,Listas!$A$2:$A$9,0)),""))</f>
        <v/>
      </c>
      <c r="R1166" s="22"/>
      <c r="S1166" s="22"/>
      <c r="T1166" s="25" t="str">
        <f aca="false">IF(S1166="","",IFERROR(INDEX(Empleadores!$B$2:$B$601,MATCH(S1166,Empleadores!$A$2:$A$601,0)),"No encontrado"))</f>
        <v/>
      </c>
      <c r="U1166" s="25" t="str">
        <f aca="false">IF(C1166="","",IF(V1166="","No",IF(Config!$C$4-V1166&lt;=Config!$C$15,"Sí","No")))</f>
        <v/>
      </c>
      <c r="V1166" s="23"/>
      <c r="W1166" s="22"/>
      <c r="X1166" s="22"/>
      <c r="Y1166" s="22"/>
      <c r="Z1166" s="27"/>
      <c r="AA1166" s="22"/>
      <c r="AB1166" s="22"/>
    </row>
    <row r="1167" customFormat="false" ht="15" hidden="false" customHeight="false" outlineLevel="0" collapsed="false">
      <c r="A1167" s="22"/>
      <c r="B1167" s="22"/>
      <c r="C1167" s="22"/>
      <c r="D1167" s="22"/>
      <c r="E1167" s="22"/>
      <c r="F1167" s="22"/>
      <c r="G1167" s="23"/>
      <c r="H1167" s="24" t="str">
        <f aca="false">IF(G1167="","",ROUND((Config!$C$4-G1167)/365.25,2))</f>
        <v/>
      </c>
      <c r="I1167" s="25" t="str">
        <f aca="false">IF(H1167="","",IF(H1167&lt;=1,"Tramo 1",IF(H1167&lt;=3,"Tramo 2",IF(H1167&lt;=5,"Tramo 3","Tramo 4"))))</f>
        <v/>
      </c>
      <c r="J1167" s="22"/>
      <c r="K1167" s="22"/>
      <c r="L1167" s="22"/>
      <c r="M1167" s="26"/>
      <c r="N1167" s="22"/>
      <c r="O1167" s="22"/>
      <c r="P1167" s="25" t="str">
        <f aca="false">IF(OR(O1167="",O1167="Sin información"),"",IFERROR(INDEX(Listas!$B$2:$B$9,MATCH(O1167,Listas!$A$2:$A$9,0)),""))</f>
        <v/>
      </c>
      <c r="Q1167" s="25" t="str">
        <f aca="false">IF(OR(O1167="",O1167="Sin información"),"",IFERROR(INDEX(Listas!$C$2:$C$9,MATCH(O1167,Listas!$A$2:$A$9,0)),""))</f>
        <v/>
      </c>
      <c r="R1167" s="22"/>
      <c r="S1167" s="22"/>
      <c r="T1167" s="25" t="str">
        <f aca="false">IF(S1167="","",IFERROR(INDEX(Empleadores!$B$2:$B$601,MATCH(S1167,Empleadores!$A$2:$A$601,0)),"No encontrado"))</f>
        <v/>
      </c>
      <c r="U1167" s="25" t="str">
        <f aca="false">IF(C1167="","",IF(V1167="","No",IF(Config!$C$4-V1167&lt;=Config!$C$15,"Sí","No")))</f>
        <v/>
      </c>
      <c r="V1167" s="23"/>
      <c r="W1167" s="22"/>
      <c r="X1167" s="22"/>
      <c r="Y1167" s="22"/>
      <c r="Z1167" s="27"/>
      <c r="AA1167" s="22"/>
      <c r="AB1167" s="22"/>
    </row>
    <row r="1168" customFormat="false" ht="15" hidden="false" customHeight="false" outlineLevel="0" collapsed="false">
      <c r="A1168" s="22"/>
      <c r="B1168" s="22"/>
      <c r="C1168" s="22"/>
      <c r="D1168" s="22"/>
      <c r="E1168" s="22"/>
      <c r="F1168" s="22"/>
      <c r="G1168" s="23"/>
      <c r="H1168" s="24" t="str">
        <f aca="false">IF(G1168="","",ROUND((Config!$C$4-G1168)/365.25,2))</f>
        <v/>
      </c>
      <c r="I1168" s="25" t="str">
        <f aca="false">IF(H1168="","",IF(H1168&lt;=1,"Tramo 1",IF(H1168&lt;=3,"Tramo 2",IF(H1168&lt;=5,"Tramo 3","Tramo 4"))))</f>
        <v/>
      </c>
      <c r="J1168" s="22"/>
      <c r="K1168" s="22"/>
      <c r="L1168" s="22"/>
      <c r="M1168" s="26"/>
      <c r="N1168" s="22"/>
      <c r="O1168" s="22"/>
      <c r="P1168" s="25" t="str">
        <f aca="false">IF(OR(O1168="",O1168="Sin información"),"",IFERROR(INDEX(Listas!$B$2:$B$9,MATCH(O1168,Listas!$A$2:$A$9,0)),""))</f>
        <v/>
      </c>
      <c r="Q1168" s="25" t="str">
        <f aca="false">IF(OR(O1168="",O1168="Sin información"),"",IFERROR(INDEX(Listas!$C$2:$C$9,MATCH(O1168,Listas!$A$2:$A$9,0)),""))</f>
        <v/>
      </c>
      <c r="R1168" s="22"/>
      <c r="S1168" s="22"/>
      <c r="T1168" s="25" t="str">
        <f aca="false">IF(S1168="","",IFERROR(INDEX(Empleadores!$B$2:$B$601,MATCH(S1168,Empleadores!$A$2:$A$601,0)),"No encontrado"))</f>
        <v/>
      </c>
      <c r="U1168" s="25" t="str">
        <f aca="false">IF(C1168="","",IF(V1168="","No",IF(Config!$C$4-V1168&lt;=Config!$C$15,"Sí","No")))</f>
        <v/>
      </c>
      <c r="V1168" s="23"/>
      <c r="W1168" s="22"/>
      <c r="X1168" s="22"/>
      <c r="Y1168" s="22"/>
      <c r="Z1168" s="27"/>
      <c r="AA1168" s="22"/>
      <c r="AB1168" s="22"/>
    </row>
    <row r="1169" customFormat="false" ht="15" hidden="false" customHeight="false" outlineLevel="0" collapsed="false">
      <c r="A1169" s="22"/>
      <c r="B1169" s="22"/>
      <c r="C1169" s="22"/>
      <c r="D1169" s="22"/>
      <c r="E1169" s="22"/>
      <c r="F1169" s="22"/>
      <c r="G1169" s="23"/>
      <c r="H1169" s="24" t="str">
        <f aca="false">IF(G1169="","",ROUND((Config!$C$4-G1169)/365.25,2))</f>
        <v/>
      </c>
      <c r="I1169" s="25" t="str">
        <f aca="false">IF(H1169="","",IF(H1169&lt;=1,"Tramo 1",IF(H1169&lt;=3,"Tramo 2",IF(H1169&lt;=5,"Tramo 3","Tramo 4"))))</f>
        <v/>
      </c>
      <c r="J1169" s="22"/>
      <c r="K1169" s="22"/>
      <c r="L1169" s="22"/>
      <c r="M1169" s="26"/>
      <c r="N1169" s="22"/>
      <c r="O1169" s="22"/>
      <c r="P1169" s="25" t="str">
        <f aca="false">IF(OR(O1169="",O1169="Sin información"),"",IFERROR(INDEX(Listas!$B$2:$B$9,MATCH(O1169,Listas!$A$2:$A$9,0)),""))</f>
        <v/>
      </c>
      <c r="Q1169" s="25" t="str">
        <f aca="false">IF(OR(O1169="",O1169="Sin información"),"",IFERROR(INDEX(Listas!$C$2:$C$9,MATCH(O1169,Listas!$A$2:$A$9,0)),""))</f>
        <v/>
      </c>
      <c r="R1169" s="22"/>
      <c r="S1169" s="22"/>
      <c r="T1169" s="25" t="str">
        <f aca="false">IF(S1169="","",IFERROR(INDEX(Empleadores!$B$2:$B$601,MATCH(S1169,Empleadores!$A$2:$A$601,0)),"No encontrado"))</f>
        <v/>
      </c>
      <c r="U1169" s="25" t="str">
        <f aca="false">IF(C1169="","",IF(V1169="","No",IF(Config!$C$4-V1169&lt;=Config!$C$15,"Sí","No")))</f>
        <v/>
      </c>
      <c r="V1169" s="23"/>
      <c r="W1169" s="22"/>
      <c r="X1169" s="22"/>
      <c r="Y1169" s="22"/>
      <c r="Z1169" s="27"/>
      <c r="AA1169" s="22"/>
      <c r="AB1169" s="22"/>
    </row>
    <row r="1170" customFormat="false" ht="15" hidden="false" customHeight="false" outlineLevel="0" collapsed="false">
      <c r="A1170" s="22"/>
      <c r="B1170" s="22"/>
      <c r="C1170" s="22"/>
      <c r="D1170" s="22"/>
      <c r="E1170" s="22"/>
      <c r="F1170" s="22"/>
      <c r="G1170" s="23"/>
      <c r="H1170" s="24" t="str">
        <f aca="false">IF(G1170="","",ROUND((Config!$C$4-G1170)/365.25,2))</f>
        <v/>
      </c>
      <c r="I1170" s="25" t="str">
        <f aca="false">IF(H1170="","",IF(H1170&lt;=1,"Tramo 1",IF(H1170&lt;=3,"Tramo 2",IF(H1170&lt;=5,"Tramo 3","Tramo 4"))))</f>
        <v/>
      </c>
      <c r="J1170" s="22"/>
      <c r="K1170" s="22"/>
      <c r="L1170" s="22"/>
      <c r="M1170" s="26"/>
      <c r="N1170" s="22"/>
      <c r="O1170" s="22"/>
      <c r="P1170" s="25" t="str">
        <f aca="false">IF(OR(O1170="",O1170="Sin información"),"",IFERROR(INDEX(Listas!$B$2:$B$9,MATCH(O1170,Listas!$A$2:$A$9,0)),""))</f>
        <v/>
      </c>
      <c r="Q1170" s="25" t="str">
        <f aca="false">IF(OR(O1170="",O1170="Sin información"),"",IFERROR(INDEX(Listas!$C$2:$C$9,MATCH(O1170,Listas!$A$2:$A$9,0)),""))</f>
        <v/>
      </c>
      <c r="R1170" s="22"/>
      <c r="S1170" s="22"/>
      <c r="T1170" s="25" t="str">
        <f aca="false">IF(S1170="","",IFERROR(INDEX(Empleadores!$B$2:$B$601,MATCH(S1170,Empleadores!$A$2:$A$601,0)),"No encontrado"))</f>
        <v/>
      </c>
      <c r="U1170" s="25" t="str">
        <f aca="false">IF(C1170="","",IF(V1170="","No",IF(Config!$C$4-V1170&lt;=Config!$C$15,"Sí","No")))</f>
        <v/>
      </c>
      <c r="V1170" s="23"/>
      <c r="W1170" s="22"/>
      <c r="X1170" s="22"/>
      <c r="Y1170" s="22"/>
      <c r="Z1170" s="27"/>
      <c r="AA1170" s="22"/>
      <c r="AB1170" s="22"/>
    </row>
    <row r="1171" customFormat="false" ht="15" hidden="false" customHeight="false" outlineLevel="0" collapsed="false">
      <c r="A1171" s="22"/>
      <c r="B1171" s="22"/>
      <c r="C1171" s="22"/>
      <c r="D1171" s="22"/>
      <c r="E1171" s="22"/>
      <c r="F1171" s="22"/>
      <c r="G1171" s="23"/>
      <c r="H1171" s="24" t="str">
        <f aca="false">IF(G1171="","",ROUND((Config!$C$4-G1171)/365.25,2))</f>
        <v/>
      </c>
      <c r="I1171" s="25" t="str">
        <f aca="false">IF(H1171="","",IF(H1171&lt;=1,"Tramo 1",IF(H1171&lt;=3,"Tramo 2",IF(H1171&lt;=5,"Tramo 3","Tramo 4"))))</f>
        <v/>
      </c>
      <c r="J1171" s="22"/>
      <c r="K1171" s="22"/>
      <c r="L1171" s="22"/>
      <c r="M1171" s="26"/>
      <c r="N1171" s="22"/>
      <c r="O1171" s="22"/>
      <c r="P1171" s="25" t="str">
        <f aca="false">IF(OR(O1171="",O1171="Sin información"),"",IFERROR(INDEX(Listas!$B$2:$B$9,MATCH(O1171,Listas!$A$2:$A$9,0)),""))</f>
        <v/>
      </c>
      <c r="Q1171" s="25" t="str">
        <f aca="false">IF(OR(O1171="",O1171="Sin información"),"",IFERROR(INDEX(Listas!$C$2:$C$9,MATCH(O1171,Listas!$A$2:$A$9,0)),""))</f>
        <v/>
      </c>
      <c r="R1171" s="22"/>
      <c r="S1171" s="22"/>
      <c r="T1171" s="25" t="str">
        <f aca="false">IF(S1171="","",IFERROR(INDEX(Empleadores!$B$2:$B$601,MATCH(S1171,Empleadores!$A$2:$A$601,0)),"No encontrado"))</f>
        <v/>
      </c>
      <c r="U1171" s="25" t="str">
        <f aca="false">IF(C1171="","",IF(V1171="","No",IF(Config!$C$4-V1171&lt;=Config!$C$15,"Sí","No")))</f>
        <v/>
      </c>
      <c r="V1171" s="23"/>
      <c r="W1171" s="22"/>
      <c r="X1171" s="22"/>
      <c r="Y1171" s="22"/>
      <c r="Z1171" s="27"/>
      <c r="AA1171" s="22"/>
      <c r="AB1171" s="22"/>
    </row>
    <row r="1172" customFormat="false" ht="15" hidden="false" customHeight="false" outlineLevel="0" collapsed="false">
      <c r="A1172" s="22"/>
      <c r="B1172" s="22"/>
      <c r="C1172" s="22"/>
      <c r="D1172" s="22"/>
      <c r="E1172" s="22"/>
      <c r="F1172" s="22"/>
      <c r="G1172" s="23"/>
      <c r="H1172" s="24" t="str">
        <f aca="false">IF(G1172="","",ROUND((Config!$C$4-G1172)/365.25,2))</f>
        <v/>
      </c>
      <c r="I1172" s="25" t="str">
        <f aca="false">IF(H1172="","",IF(H1172&lt;=1,"Tramo 1",IF(H1172&lt;=3,"Tramo 2",IF(H1172&lt;=5,"Tramo 3","Tramo 4"))))</f>
        <v/>
      </c>
      <c r="J1172" s="22"/>
      <c r="K1172" s="22"/>
      <c r="L1172" s="22"/>
      <c r="M1172" s="26"/>
      <c r="N1172" s="22"/>
      <c r="O1172" s="22"/>
      <c r="P1172" s="25" t="str">
        <f aca="false">IF(OR(O1172="",O1172="Sin información"),"",IFERROR(INDEX(Listas!$B$2:$B$9,MATCH(O1172,Listas!$A$2:$A$9,0)),""))</f>
        <v/>
      </c>
      <c r="Q1172" s="25" t="str">
        <f aca="false">IF(OR(O1172="",O1172="Sin información"),"",IFERROR(INDEX(Listas!$C$2:$C$9,MATCH(O1172,Listas!$A$2:$A$9,0)),""))</f>
        <v/>
      </c>
      <c r="R1172" s="22"/>
      <c r="S1172" s="22"/>
      <c r="T1172" s="25" t="str">
        <f aca="false">IF(S1172="","",IFERROR(INDEX(Empleadores!$B$2:$B$601,MATCH(S1172,Empleadores!$A$2:$A$601,0)),"No encontrado"))</f>
        <v/>
      </c>
      <c r="U1172" s="25" t="str">
        <f aca="false">IF(C1172="","",IF(V1172="","No",IF(Config!$C$4-V1172&lt;=Config!$C$15,"Sí","No")))</f>
        <v/>
      </c>
      <c r="V1172" s="23"/>
      <c r="W1172" s="22"/>
      <c r="X1172" s="22"/>
      <c r="Y1172" s="22"/>
      <c r="Z1172" s="27"/>
      <c r="AA1172" s="22"/>
      <c r="AB1172" s="22"/>
    </row>
    <row r="1173" customFormat="false" ht="15" hidden="false" customHeight="false" outlineLevel="0" collapsed="false">
      <c r="A1173" s="22"/>
      <c r="B1173" s="22"/>
      <c r="C1173" s="22"/>
      <c r="D1173" s="22"/>
      <c r="E1173" s="22"/>
      <c r="F1173" s="22"/>
      <c r="G1173" s="23"/>
      <c r="H1173" s="24" t="str">
        <f aca="false">IF(G1173="","",ROUND((Config!$C$4-G1173)/365.25,2))</f>
        <v/>
      </c>
      <c r="I1173" s="25" t="str">
        <f aca="false">IF(H1173="","",IF(H1173&lt;=1,"Tramo 1",IF(H1173&lt;=3,"Tramo 2",IF(H1173&lt;=5,"Tramo 3","Tramo 4"))))</f>
        <v/>
      </c>
      <c r="J1173" s="22"/>
      <c r="K1173" s="22"/>
      <c r="L1173" s="22"/>
      <c r="M1173" s="26"/>
      <c r="N1173" s="22"/>
      <c r="O1173" s="22"/>
      <c r="P1173" s="25" t="str">
        <f aca="false">IF(OR(O1173="",O1173="Sin información"),"",IFERROR(INDEX(Listas!$B$2:$B$9,MATCH(O1173,Listas!$A$2:$A$9,0)),""))</f>
        <v/>
      </c>
      <c r="Q1173" s="25" t="str">
        <f aca="false">IF(OR(O1173="",O1173="Sin información"),"",IFERROR(INDEX(Listas!$C$2:$C$9,MATCH(O1173,Listas!$A$2:$A$9,0)),""))</f>
        <v/>
      </c>
      <c r="R1173" s="22"/>
      <c r="S1173" s="22"/>
      <c r="T1173" s="25" t="str">
        <f aca="false">IF(S1173="","",IFERROR(INDEX(Empleadores!$B$2:$B$601,MATCH(S1173,Empleadores!$A$2:$A$601,0)),"No encontrado"))</f>
        <v/>
      </c>
      <c r="U1173" s="25" t="str">
        <f aca="false">IF(C1173="","",IF(V1173="","No",IF(Config!$C$4-V1173&lt;=Config!$C$15,"Sí","No")))</f>
        <v/>
      </c>
      <c r="V1173" s="23"/>
      <c r="W1173" s="22"/>
      <c r="X1173" s="22"/>
      <c r="Y1173" s="22"/>
      <c r="Z1173" s="27"/>
      <c r="AA1173" s="22"/>
      <c r="AB1173" s="22"/>
    </row>
    <row r="1174" customFormat="false" ht="15" hidden="false" customHeight="false" outlineLevel="0" collapsed="false">
      <c r="A1174" s="22"/>
      <c r="B1174" s="22"/>
      <c r="C1174" s="22"/>
      <c r="D1174" s="22"/>
      <c r="E1174" s="22"/>
      <c r="F1174" s="22"/>
      <c r="G1174" s="23"/>
      <c r="H1174" s="24" t="str">
        <f aca="false">IF(G1174="","",ROUND((Config!$C$4-G1174)/365.25,2))</f>
        <v/>
      </c>
      <c r="I1174" s="25" t="str">
        <f aca="false">IF(H1174="","",IF(H1174&lt;=1,"Tramo 1",IF(H1174&lt;=3,"Tramo 2",IF(H1174&lt;=5,"Tramo 3","Tramo 4"))))</f>
        <v/>
      </c>
      <c r="J1174" s="22"/>
      <c r="K1174" s="22"/>
      <c r="L1174" s="22"/>
      <c r="M1174" s="26"/>
      <c r="N1174" s="22"/>
      <c r="O1174" s="22"/>
      <c r="P1174" s="25" t="str">
        <f aca="false">IF(OR(O1174="",O1174="Sin información"),"",IFERROR(INDEX(Listas!$B$2:$B$9,MATCH(O1174,Listas!$A$2:$A$9,0)),""))</f>
        <v/>
      </c>
      <c r="Q1174" s="25" t="str">
        <f aca="false">IF(OR(O1174="",O1174="Sin información"),"",IFERROR(INDEX(Listas!$C$2:$C$9,MATCH(O1174,Listas!$A$2:$A$9,0)),""))</f>
        <v/>
      </c>
      <c r="R1174" s="22"/>
      <c r="S1174" s="22"/>
      <c r="T1174" s="25" t="str">
        <f aca="false">IF(S1174="","",IFERROR(INDEX(Empleadores!$B$2:$B$601,MATCH(S1174,Empleadores!$A$2:$A$601,0)),"No encontrado"))</f>
        <v/>
      </c>
      <c r="U1174" s="25" t="str">
        <f aca="false">IF(C1174="","",IF(V1174="","No",IF(Config!$C$4-V1174&lt;=Config!$C$15,"Sí","No")))</f>
        <v/>
      </c>
      <c r="V1174" s="23"/>
      <c r="W1174" s="22"/>
      <c r="X1174" s="22"/>
      <c r="Y1174" s="22"/>
      <c r="Z1174" s="27"/>
      <c r="AA1174" s="22"/>
      <c r="AB1174" s="22"/>
    </row>
    <row r="1175" customFormat="false" ht="15" hidden="false" customHeight="false" outlineLevel="0" collapsed="false">
      <c r="A1175" s="22"/>
      <c r="B1175" s="22"/>
      <c r="C1175" s="22"/>
      <c r="D1175" s="22"/>
      <c r="E1175" s="22"/>
      <c r="F1175" s="22"/>
      <c r="G1175" s="23"/>
      <c r="H1175" s="24" t="str">
        <f aca="false">IF(G1175="","",ROUND((Config!$C$4-G1175)/365.25,2))</f>
        <v/>
      </c>
      <c r="I1175" s="25" t="str">
        <f aca="false">IF(H1175="","",IF(H1175&lt;=1,"Tramo 1",IF(H1175&lt;=3,"Tramo 2",IF(H1175&lt;=5,"Tramo 3","Tramo 4"))))</f>
        <v/>
      </c>
      <c r="J1175" s="22"/>
      <c r="K1175" s="22"/>
      <c r="L1175" s="22"/>
      <c r="M1175" s="26"/>
      <c r="N1175" s="22"/>
      <c r="O1175" s="22"/>
      <c r="P1175" s="25" t="str">
        <f aca="false">IF(OR(O1175="",O1175="Sin información"),"",IFERROR(INDEX(Listas!$B$2:$B$9,MATCH(O1175,Listas!$A$2:$A$9,0)),""))</f>
        <v/>
      </c>
      <c r="Q1175" s="25" t="str">
        <f aca="false">IF(OR(O1175="",O1175="Sin información"),"",IFERROR(INDEX(Listas!$C$2:$C$9,MATCH(O1175,Listas!$A$2:$A$9,0)),""))</f>
        <v/>
      </c>
      <c r="R1175" s="22"/>
      <c r="S1175" s="22"/>
      <c r="T1175" s="25" t="str">
        <f aca="false">IF(S1175="","",IFERROR(INDEX(Empleadores!$B$2:$B$601,MATCH(S1175,Empleadores!$A$2:$A$601,0)),"No encontrado"))</f>
        <v/>
      </c>
      <c r="U1175" s="25" t="str">
        <f aca="false">IF(C1175="","",IF(V1175="","No",IF(Config!$C$4-V1175&lt;=Config!$C$15,"Sí","No")))</f>
        <v/>
      </c>
      <c r="V1175" s="23"/>
      <c r="W1175" s="22"/>
      <c r="X1175" s="22"/>
      <c r="Y1175" s="22"/>
      <c r="Z1175" s="27"/>
      <c r="AA1175" s="22"/>
      <c r="AB1175" s="22"/>
    </row>
    <row r="1176" customFormat="false" ht="15" hidden="false" customHeight="false" outlineLevel="0" collapsed="false">
      <c r="A1176" s="22"/>
      <c r="B1176" s="22"/>
      <c r="C1176" s="22"/>
      <c r="D1176" s="22"/>
      <c r="E1176" s="22"/>
      <c r="F1176" s="22"/>
      <c r="G1176" s="23"/>
      <c r="H1176" s="24" t="str">
        <f aca="false">IF(G1176="","",ROUND((Config!$C$4-G1176)/365.25,2))</f>
        <v/>
      </c>
      <c r="I1176" s="25" t="str">
        <f aca="false">IF(H1176="","",IF(H1176&lt;=1,"Tramo 1",IF(H1176&lt;=3,"Tramo 2",IF(H1176&lt;=5,"Tramo 3","Tramo 4"))))</f>
        <v/>
      </c>
      <c r="J1176" s="22"/>
      <c r="K1176" s="22"/>
      <c r="L1176" s="22"/>
      <c r="M1176" s="26"/>
      <c r="N1176" s="22"/>
      <c r="O1176" s="22"/>
      <c r="P1176" s="25" t="str">
        <f aca="false">IF(OR(O1176="",O1176="Sin información"),"",IFERROR(INDEX(Listas!$B$2:$B$9,MATCH(O1176,Listas!$A$2:$A$9,0)),""))</f>
        <v/>
      </c>
      <c r="Q1176" s="25" t="str">
        <f aca="false">IF(OR(O1176="",O1176="Sin información"),"",IFERROR(INDEX(Listas!$C$2:$C$9,MATCH(O1176,Listas!$A$2:$A$9,0)),""))</f>
        <v/>
      </c>
      <c r="R1176" s="22"/>
      <c r="S1176" s="22"/>
      <c r="T1176" s="25" t="str">
        <f aca="false">IF(S1176="","",IFERROR(INDEX(Empleadores!$B$2:$B$601,MATCH(S1176,Empleadores!$A$2:$A$601,0)),"No encontrado"))</f>
        <v/>
      </c>
      <c r="U1176" s="25" t="str">
        <f aca="false">IF(C1176="","",IF(V1176="","No",IF(Config!$C$4-V1176&lt;=Config!$C$15,"Sí","No")))</f>
        <v/>
      </c>
      <c r="V1176" s="23"/>
      <c r="W1176" s="22"/>
      <c r="X1176" s="22"/>
      <c r="Y1176" s="22"/>
      <c r="Z1176" s="27"/>
      <c r="AA1176" s="22"/>
      <c r="AB1176" s="22"/>
    </row>
    <row r="1177" customFormat="false" ht="15" hidden="false" customHeight="false" outlineLevel="0" collapsed="false">
      <c r="A1177" s="22"/>
      <c r="B1177" s="22"/>
      <c r="C1177" s="22"/>
      <c r="D1177" s="22"/>
      <c r="E1177" s="22"/>
      <c r="F1177" s="22"/>
      <c r="G1177" s="23"/>
      <c r="H1177" s="24" t="str">
        <f aca="false">IF(G1177="","",ROUND((Config!$C$4-G1177)/365.25,2))</f>
        <v/>
      </c>
      <c r="I1177" s="25" t="str">
        <f aca="false">IF(H1177="","",IF(H1177&lt;=1,"Tramo 1",IF(H1177&lt;=3,"Tramo 2",IF(H1177&lt;=5,"Tramo 3","Tramo 4"))))</f>
        <v/>
      </c>
      <c r="J1177" s="22"/>
      <c r="K1177" s="22"/>
      <c r="L1177" s="22"/>
      <c r="M1177" s="26"/>
      <c r="N1177" s="22"/>
      <c r="O1177" s="22"/>
      <c r="P1177" s="25" t="str">
        <f aca="false">IF(OR(O1177="",O1177="Sin información"),"",IFERROR(INDEX(Listas!$B$2:$B$9,MATCH(O1177,Listas!$A$2:$A$9,0)),""))</f>
        <v/>
      </c>
      <c r="Q1177" s="25" t="str">
        <f aca="false">IF(OR(O1177="",O1177="Sin información"),"",IFERROR(INDEX(Listas!$C$2:$C$9,MATCH(O1177,Listas!$A$2:$A$9,0)),""))</f>
        <v/>
      </c>
      <c r="R1177" s="22"/>
      <c r="S1177" s="22"/>
      <c r="T1177" s="25" t="str">
        <f aca="false">IF(S1177="","",IFERROR(INDEX(Empleadores!$B$2:$B$601,MATCH(S1177,Empleadores!$A$2:$A$601,0)),"No encontrado"))</f>
        <v/>
      </c>
      <c r="U1177" s="25" t="str">
        <f aca="false">IF(C1177="","",IF(V1177="","No",IF(Config!$C$4-V1177&lt;=Config!$C$15,"Sí","No")))</f>
        <v/>
      </c>
      <c r="V1177" s="23"/>
      <c r="W1177" s="22"/>
      <c r="X1177" s="22"/>
      <c r="Y1177" s="22"/>
      <c r="Z1177" s="27"/>
      <c r="AA1177" s="22"/>
      <c r="AB1177" s="22"/>
    </row>
    <row r="1178" customFormat="false" ht="15" hidden="false" customHeight="false" outlineLevel="0" collapsed="false">
      <c r="A1178" s="22"/>
      <c r="B1178" s="22"/>
      <c r="C1178" s="22"/>
      <c r="D1178" s="22"/>
      <c r="E1178" s="22"/>
      <c r="F1178" s="22"/>
      <c r="G1178" s="23"/>
      <c r="H1178" s="24" t="str">
        <f aca="false">IF(G1178="","",ROUND((Config!$C$4-G1178)/365.25,2))</f>
        <v/>
      </c>
      <c r="I1178" s="25" t="str">
        <f aca="false">IF(H1178="","",IF(H1178&lt;=1,"Tramo 1",IF(H1178&lt;=3,"Tramo 2",IF(H1178&lt;=5,"Tramo 3","Tramo 4"))))</f>
        <v/>
      </c>
      <c r="J1178" s="22"/>
      <c r="K1178" s="22"/>
      <c r="L1178" s="22"/>
      <c r="M1178" s="26"/>
      <c r="N1178" s="22"/>
      <c r="O1178" s="22"/>
      <c r="P1178" s="25" t="str">
        <f aca="false">IF(OR(O1178="",O1178="Sin información"),"",IFERROR(INDEX(Listas!$B$2:$B$9,MATCH(O1178,Listas!$A$2:$A$9,0)),""))</f>
        <v/>
      </c>
      <c r="Q1178" s="25" t="str">
        <f aca="false">IF(OR(O1178="",O1178="Sin información"),"",IFERROR(INDEX(Listas!$C$2:$C$9,MATCH(O1178,Listas!$A$2:$A$9,0)),""))</f>
        <v/>
      </c>
      <c r="R1178" s="22"/>
      <c r="S1178" s="22"/>
      <c r="T1178" s="25" t="str">
        <f aca="false">IF(S1178="","",IFERROR(INDEX(Empleadores!$B$2:$B$601,MATCH(S1178,Empleadores!$A$2:$A$601,0)),"No encontrado"))</f>
        <v/>
      </c>
      <c r="U1178" s="25" t="str">
        <f aca="false">IF(C1178="","",IF(V1178="","No",IF(Config!$C$4-V1178&lt;=Config!$C$15,"Sí","No")))</f>
        <v/>
      </c>
      <c r="V1178" s="23"/>
      <c r="W1178" s="22"/>
      <c r="X1178" s="22"/>
      <c r="Y1178" s="22"/>
      <c r="Z1178" s="27"/>
      <c r="AA1178" s="22"/>
      <c r="AB1178" s="22"/>
    </row>
    <row r="1179" customFormat="false" ht="15" hidden="false" customHeight="false" outlineLevel="0" collapsed="false">
      <c r="A1179" s="22"/>
      <c r="B1179" s="22"/>
      <c r="C1179" s="22"/>
      <c r="D1179" s="22"/>
      <c r="E1179" s="22"/>
      <c r="F1179" s="22"/>
      <c r="G1179" s="23"/>
      <c r="H1179" s="24" t="str">
        <f aca="false">IF(G1179="","",ROUND((Config!$C$4-G1179)/365.25,2))</f>
        <v/>
      </c>
      <c r="I1179" s="25" t="str">
        <f aca="false">IF(H1179="","",IF(H1179&lt;=1,"Tramo 1",IF(H1179&lt;=3,"Tramo 2",IF(H1179&lt;=5,"Tramo 3","Tramo 4"))))</f>
        <v/>
      </c>
      <c r="J1179" s="22"/>
      <c r="K1179" s="22"/>
      <c r="L1179" s="22"/>
      <c r="M1179" s="26"/>
      <c r="N1179" s="22"/>
      <c r="O1179" s="22"/>
      <c r="P1179" s="25" t="str">
        <f aca="false">IF(OR(O1179="",O1179="Sin información"),"",IFERROR(INDEX(Listas!$B$2:$B$9,MATCH(O1179,Listas!$A$2:$A$9,0)),""))</f>
        <v/>
      </c>
      <c r="Q1179" s="25" t="str">
        <f aca="false">IF(OR(O1179="",O1179="Sin información"),"",IFERROR(INDEX(Listas!$C$2:$C$9,MATCH(O1179,Listas!$A$2:$A$9,0)),""))</f>
        <v/>
      </c>
      <c r="R1179" s="22"/>
      <c r="S1179" s="22"/>
      <c r="T1179" s="25" t="str">
        <f aca="false">IF(S1179="","",IFERROR(INDEX(Empleadores!$B$2:$B$601,MATCH(S1179,Empleadores!$A$2:$A$601,0)),"No encontrado"))</f>
        <v/>
      </c>
      <c r="U1179" s="25" t="str">
        <f aca="false">IF(C1179="","",IF(V1179="","No",IF(Config!$C$4-V1179&lt;=Config!$C$15,"Sí","No")))</f>
        <v/>
      </c>
      <c r="V1179" s="23"/>
      <c r="W1179" s="22"/>
      <c r="X1179" s="22"/>
      <c r="Y1179" s="22"/>
      <c r="Z1179" s="27"/>
      <c r="AA1179" s="22"/>
      <c r="AB1179" s="22"/>
    </row>
    <row r="1180" customFormat="false" ht="15" hidden="false" customHeight="false" outlineLevel="0" collapsed="false">
      <c r="A1180" s="22"/>
      <c r="B1180" s="22"/>
      <c r="C1180" s="22"/>
      <c r="D1180" s="22"/>
      <c r="E1180" s="22"/>
      <c r="F1180" s="22"/>
      <c r="G1180" s="23"/>
      <c r="H1180" s="24" t="str">
        <f aca="false">IF(G1180="","",ROUND((Config!$C$4-G1180)/365.25,2))</f>
        <v/>
      </c>
      <c r="I1180" s="25" t="str">
        <f aca="false">IF(H1180="","",IF(H1180&lt;=1,"Tramo 1",IF(H1180&lt;=3,"Tramo 2",IF(H1180&lt;=5,"Tramo 3","Tramo 4"))))</f>
        <v/>
      </c>
      <c r="J1180" s="22"/>
      <c r="K1180" s="22"/>
      <c r="L1180" s="22"/>
      <c r="M1180" s="26"/>
      <c r="N1180" s="22"/>
      <c r="O1180" s="22"/>
      <c r="P1180" s="25" t="str">
        <f aca="false">IF(OR(O1180="",O1180="Sin información"),"",IFERROR(INDEX(Listas!$B$2:$B$9,MATCH(O1180,Listas!$A$2:$A$9,0)),""))</f>
        <v/>
      </c>
      <c r="Q1180" s="25" t="str">
        <f aca="false">IF(OR(O1180="",O1180="Sin información"),"",IFERROR(INDEX(Listas!$C$2:$C$9,MATCH(O1180,Listas!$A$2:$A$9,0)),""))</f>
        <v/>
      </c>
      <c r="R1180" s="22"/>
      <c r="S1180" s="22"/>
      <c r="T1180" s="25" t="str">
        <f aca="false">IF(S1180="","",IFERROR(INDEX(Empleadores!$B$2:$B$601,MATCH(S1180,Empleadores!$A$2:$A$601,0)),"No encontrado"))</f>
        <v/>
      </c>
      <c r="U1180" s="25" t="str">
        <f aca="false">IF(C1180="","",IF(V1180="","No",IF(Config!$C$4-V1180&lt;=Config!$C$15,"Sí","No")))</f>
        <v/>
      </c>
      <c r="V1180" s="23"/>
      <c r="W1180" s="22"/>
      <c r="X1180" s="22"/>
      <c r="Y1180" s="22"/>
      <c r="Z1180" s="27"/>
      <c r="AA1180" s="22"/>
      <c r="AB1180" s="22"/>
    </row>
    <row r="1181" customFormat="false" ht="15" hidden="false" customHeight="false" outlineLevel="0" collapsed="false">
      <c r="A1181" s="22"/>
      <c r="B1181" s="22"/>
      <c r="C1181" s="22"/>
      <c r="D1181" s="22"/>
      <c r="E1181" s="22"/>
      <c r="F1181" s="22"/>
      <c r="G1181" s="23"/>
      <c r="H1181" s="24" t="str">
        <f aca="false">IF(G1181="","",ROUND((Config!$C$4-G1181)/365.25,2))</f>
        <v/>
      </c>
      <c r="I1181" s="25" t="str">
        <f aca="false">IF(H1181="","",IF(H1181&lt;=1,"Tramo 1",IF(H1181&lt;=3,"Tramo 2",IF(H1181&lt;=5,"Tramo 3","Tramo 4"))))</f>
        <v/>
      </c>
      <c r="J1181" s="22"/>
      <c r="K1181" s="22"/>
      <c r="L1181" s="22"/>
      <c r="M1181" s="26"/>
      <c r="N1181" s="22"/>
      <c r="O1181" s="22"/>
      <c r="P1181" s="25" t="str">
        <f aca="false">IF(OR(O1181="",O1181="Sin información"),"",IFERROR(INDEX(Listas!$B$2:$B$9,MATCH(O1181,Listas!$A$2:$A$9,0)),""))</f>
        <v/>
      </c>
      <c r="Q1181" s="25" t="str">
        <f aca="false">IF(OR(O1181="",O1181="Sin información"),"",IFERROR(INDEX(Listas!$C$2:$C$9,MATCH(O1181,Listas!$A$2:$A$9,0)),""))</f>
        <v/>
      </c>
      <c r="R1181" s="22"/>
      <c r="S1181" s="22"/>
      <c r="T1181" s="25" t="str">
        <f aca="false">IF(S1181="","",IFERROR(INDEX(Empleadores!$B$2:$B$601,MATCH(S1181,Empleadores!$A$2:$A$601,0)),"No encontrado"))</f>
        <v/>
      </c>
      <c r="U1181" s="25" t="str">
        <f aca="false">IF(C1181="","",IF(V1181="","No",IF(Config!$C$4-V1181&lt;=Config!$C$15,"Sí","No")))</f>
        <v/>
      </c>
      <c r="V1181" s="23"/>
      <c r="W1181" s="22"/>
      <c r="X1181" s="22"/>
      <c r="Y1181" s="22"/>
      <c r="Z1181" s="27"/>
      <c r="AA1181" s="22"/>
      <c r="AB1181" s="22"/>
    </row>
    <row r="1182" customFormat="false" ht="15" hidden="false" customHeight="false" outlineLevel="0" collapsed="false">
      <c r="A1182" s="22"/>
      <c r="B1182" s="22"/>
      <c r="C1182" s="22"/>
      <c r="D1182" s="22"/>
      <c r="E1182" s="22"/>
      <c r="F1182" s="22"/>
      <c r="G1182" s="23"/>
      <c r="H1182" s="24" t="str">
        <f aca="false">IF(G1182="","",ROUND((Config!$C$4-G1182)/365.25,2))</f>
        <v/>
      </c>
      <c r="I1182" s="25" t="str">
        <f aca="false">IF(H1182="","",IF(H1182&lt;=1,"Tramo 1",IF(H1182&lt;=3,"Tramo 2",IF(H1182&lt;=5,"Tramo 3","Tramo 4"))))</f>
        <v/>
      </c>
      <c r="J1182" s="22"/>
      <c r="K1182" s="22"/>
      <c r="L1182" s="22"/>
      <c r="M1182" s="26"/>
      <c r="N1182" s="22"/>
      <c r="O1182" s="22"/>
      <c r="P1182" s="25" t="str">
        <f aca="false">IF(OR(O1182="",O1182="Sin información"),"",IFERROR(INDEX(Listas!$B$2:$B$9,MATCH(O1182,Listas!$A$2:$A$9,0)),""))</f>
        <v/>
      </c>
      <c r="Q1182" s="25" t="str">
        <f aca="false">IF(OR(O1182="",O1182="Sin información"),"",IFERROR(INDEX(Listas!$C$2:$C$9,MATCH(O1182,Listas!$A$2:$A$9,0)),""))</f>
        <v/>
      </c>
      <c r="R1182" s="22"/>
      <c r="S1182" s="22"/>
      <c r="T1182" s="25" t="str">
        <f aca="false">IF(S1182="","",IFERROR(INDEX(Empleadores!$B$2:$B$601,MATCH(S1182,Empleadores!$A$2:$A$601,0)),"No encontrado"))</f>
        <v/>
      </c>
      <c r="U1182" s="25" t="str">
        <f aca="false">IF(C1182="","",IF(V1182="","No",IF(Config!$C$4-V1182&lt;=Config!$C$15,"Sí","No")))</f>
        <v/>
      </c>
      <c r="V1182" s="23"/>
      <c r="W1182" s="22"/>
      <c r="X1182" s="22"/>
      <c r="Y1182" s="22"/>
      <c r="Z1182" s="27"/>
      <c r="AA1182" s="22"/>
      <c r="AB1182" s="22"/>
    </row>
    <row r="1183" customFormat="false" ht="15" hidden="false" customHeight="false" outlineLevel="0" collapsed="false">
      <c r="A1183" s="22"/>
      <c r="B1183" s="22"/>
      <c r="C1183" s="22"/>
      <c r="D1183" s="22"/>
      <c r="E1183" s="22"/>
      <c r="F1183" s="22"/>
      <c r="G1183" s="23"/>
      <c r="H1183" s="24" t="str">
        <f aca="false">IF(G1183="","",ROUND((Config!$C$4-G1183)/365.25,2))</f>
        <v/>
      </c>
      <c r="I1183" s="25" t="str">
        <f aca="false">IF(H1183="","",IF(H1183&lt;=1,"Tramo 1",IF(H1183&lt;=3,"Tramo 2",IF(H1183&lt;=5,"Tramo 3","Tramo 4"))))</f>
        <v/>
      </c>
      <c r="J1183" s="22"/>
      <c r="K1183" s="22"/>
      <c r="L1183" s="22"/>
      <c r="M1183" s="26"/>
      <c r="N1183" s="22"/>
      <c r="O1183" s="22"/>
      <c r="P1183" s="25" t="str">
        <f aca="false">IF(OR(O1183="",O1183="Sin información"),"",IFERROR(INDEX(Listas!$B$2:$B$9,MATCH(O1183,Listas!$A$2:$A$9,0)),""))</f>
        <v/>
      </c>
      <c r="Q1183" s="25" t="str">
        <f aca="false">IF(OR(O1183="",O1183="Sin información"),"",IFERROR(INDEX(Listas!$C$2:$C$9,MATCH(O1183,Listas!$A$2:$A$9,0)),""))</f>
        <v/>
      </c>
      <c r="R1183" s="22"/>
      <c r="S1183" s="22"/>
      <c r="T1183" s="25" t="str">
        <f aca="false">IF(S1183="","",IFERROR(INDEX(Empleadores!$B$2:$B$601,MATCH(S1183,Empleadores!$A$2:$A$601,0)),"No encontrado"))</f>
        <v/>
      </c>
      <c r="U1183" s="25" t="str">
        <f aca="false">IF(C1183="","",IF(V1183="","No",IF(Config!$C$4-V1183&lt;=Config!$C$15,"Sí","No")))</f>
        <v/>
      </c>
      <c r="V1183" s="23"/>
      <c r="W1183" s="22"/>
      <c r="X1183" s="22"/>
      <c r="Y1183" s="22"/>
      <c r="Z1183" s="27"/>
      <c r="AA1183" s="22"/>
      <c r="AB1183" s="22"/>
    </row>
    <row r="1184" customFormat="false" ht="15" hidden="false" customHeight="false" outlineLevel="0" collapsed="false">
      <c r="A1184" s="22"/>
      <c r="B1184" s="22"/>
      <c r="C1184" s="22"/>
      <c r="D1184" s="22"/>
      <c r="E1184" s="22"/>
      <c r="F1184" s="22"/>
      <c r="G1184" s="23"/>
      <c r="H1184" s="24" t="str">
        <f aca="false">IF(G1184="","",ROUND((Config!$C$4-G1184)/365.25,2))</f>
        <v/>
      </c>
      <c r="I1184" s="25" t="str">
        <f aca="false">IF(H1184="","",IF(H1184&lt;=1,"Tramo 1",IF(H1184&lt;=3,"Tramo 2",IF(H1184&lt;=5,"Tramo 3","Tramo 4"))))</f>
        <v/>
      </c>
      <c r="J1184" s="22"/>
      <c r="K1184" s="22"/>
      <c r="L1184" s="22"/>
      <c r="M1184" s="26"/>
      <c r="N1184" s="22"/>
      <c r="O1184" s="22"/>
      <c r="P1184" s="25" t="str">
        <f aca="false">IF(OR(O1184="",O1184="Sin información"),"",IFERROR(INDEX(Listas!$B$2:$B$9,MATCH(O1184,Listas!$A$2:$A$9,0)),""))</f>
        <v/>
      </c>
      <c r="Q1184" s="25" t="str">
        <f aca="false">IF(OR(O1184="",O1184="Sin información"),"",IFERROR(INDEX(Listas!$C$2:$C$9,MATCH(O1184,Listas!$A$2:$A$9,0)),""))</f>
        <v/>
      </c>
      <c r="R1184" s="22"/>
      <c r="S1184" s="22"/>
      <c r="T1184" s="25" t="str">
        <f aca="false">IF(S1184="","",IFERROR(INDEX(Empleadores!$B$2:$B$601,MATCH(S1184,Empleadores!$A$2:$A$601,0)),"No encontrado"))</f>
        <v/>
      </c>
      <c r="U1184" s="25" t="str">
        <f aca="false">IF(C1184="","",IF(V1184="","No",IF(Config!$C$4-V1184&lt;=Config!$C$15,"Sí","No")))</f>
        <v/>
      </c>
      <c r="V1184" s="23"/>
      <c r="W1184" s="22"/>
      <c r="X1184" s="22"/>
      <c r="Y1184" s="22"/>
      <c r="Z1184" s="27"/>
      <c r="AA1184" s="22"/>
      <c r="AB1184" s="22"/>
    </row>
    <row r="1185" customFormat="false" ht="15" hidden="false" customHeight="false" outlineLevel="0" collapsed="false">
      <c r="A1185" s="22"/>
      <c r="B1185" s="22"/>
      <c r="C1185" s="22"/>
      <c r="D1185" s="22"/>
      <c r="E1185" s="22"/>
      <c r="F1185" s="22"/>
      <c r="G1185" s="23"/>
      <c r="H1185" s="24" t="str">
        <f aca="false">IF(G1185="","",ROUND((Config!$C$4-G1185)/365.25,2))</f>
        <v/>
      </c>
      <c r="I1185" s="25" t="str">
        <f aca="false">IF(H1185="","",IF(H1185&lt;=1,"Tramo 1",IF(H1185&lt;=3,"Tramo 2",IF(H1185&lt;=5,"Tramo 3","Tramo 4"))))</f>
        <v/>
      </c>
      <c r="J1185" s="22"/>
      <c r="K1185" s="22"/>
      <c r="L1185" s="22"/>
      <c r="M1185" s="26"/>
      <c r="N1185" s="22"/>
      <c r="O1185" s="22"/>
      <c r="P1185" s="25" t="str">
        <f aca="false">IF(OR(O1185="",O1185="Sin información"),"",IFERROR(INDEX(Listas!$B$2:$B$9,MATCH(O1185,Listas!$A$2:$A$9,0)),""))</f>
        <v/>
      </c>
      <c r="Q1185" s="25" t="str">
        <f aca="false">IF(OR(O1185="",O1185="Sin información"),"",IFERROR(INDEX(Listas!$C$2:$C$9,MATCH(O1185,Listas!$A$2:$A$9,0)),""))</f>
        <v/>
      </c>
      <c r="R1185" s="22"/>
      <c r="S1185" s="22"/>
      <c r="T1185" s="25" t="str">
        <f aca="false">IF(S1185="","",IFERROR(INDEX(Empleadores!$B$2:$B$601,MATCH(S1185,Empleadores!$A$2:$A$601,0)),"No encontrado"))</f>
        <v/>
      </c>
      <c r="U1185" s="25" t="str">
        <f aca="false">IF(C1185="","",IF(V1185="","No",IF(Config!$C$4-V1185&lt;=Config!$C$15,"Sí","No")))</f>
        <v/>
      </c>
      <c r="V1185" s="23"/>
      <c r="W1185" s="22"/>
      <c r="X1185" s="22"/>
      <c r="Y1185" s="22"/>
      <c r="Z1185" s="27"/>
      <c r="AA1185" s="22"/>
      <c r="AB1185" s="22"/>
    </row>
    <row r="1186" customFormat="false" ht="15" hidden="false" customHeight="false" outlineLevel="0" collapsed="false">
      <c r="A1186" s="22"/>
      <c r="B1186" s="22"/>
      <c r="C1186" s="22"/>
      <c r="D1186" s="22"/>
      <c r="E1186" s="22"/>
      <c r="F1186" s="22"/>
      <c r="G1186" s="23"/>
      <c r="H1186" s="24" t="str">
        <f aca="false">IF(G1186="","",ROUND((Config!$C$4-G1186)/365.25,2))</f>
        <v/>
      </c>
      <c r="I1186" s="25" t="str">
        <f aca="false">IF(H1186="","",IF(H1186&lt;=1,"Tramo 1",IF(H1186&lt;=3,"Tramo 2",IF(H1186&lt;=5,"Tramo 3","Tramo 4"))))</f>
        <v/>
      </c>
      <c r="J1186" s="22"/>
      <c r="K1186" s="22"/>
      <c r="L1186" s="22"/>
      <c r="M1186" s="26"/>
      <c r="N1186" s="22"/>
      <c r="O1186" s="22"/>
      <c r="P1186" s="25" t="str">
        <f aca="false">IF(OR(O1186="",O1186="Sin información"),"",IFERROR(INDEX(Listas!$B$2:$B$9,MATCH(O1186,Listas!$A$2:$A$9,0)),""))</f>
        <v/>
      </c>
      <c r="Q1186" s="25" t="str">
        <f aca="false">IF(OR(O1186="",O1186="Sin información"),"",IFERROR(INDEX(Listas!$C$2:$C$9,MATCH(O1186,Listas!$A$2:$A$9,0)),""))</f>
        <v/>
      </c>
      <c r="R1186" s="22"/>
      <c r="S1186" s="22"/>
      <c r="T1186" s="25" t="str">
        <f aca="false">IF(S1186="","",IFERROR(INDEX(Empleadores!$B$2:$B$601,MATCH(S1186,Empleadores!$A$2:$A$601,0)),"No encontrado"))</f>
        <v/>
      </c>
      <c r="U1186" s="25" t="str">
        <f aca="false">IF(C1186="","",IF(V1186="","No",IF(Config!$C$4-V1186&lt;=Config!$C$15,"Sí","No")))</f>
        <v/>
      </c>
      <c r="V1186" s="23"/>
      <c r="W1186" s="22"/>
      <c r="X1186" s="22"/>
      <c r="Y1186" s="22"/>
      <c r="Z1186" s="27"/>
      <c r="AA1186" s="22"/>
      <c r="AB1186" s="22"/>
    </row>
    <row r="1187" customFormat="false" ht="15" hidden="false" customHeight="false" outlineLevel="0" collapsed="false">
      <c r="A1187" s="22"/>
      <c r="B1187" s="22"/>
      <c r="C1187" s="22"/>
      <c r="D1187" s="22"/>
      <c r="E1187" s="22"/>
      <c r="F1187" s="22"/>
      <c r="G1187" s="23"/>
      <c r="H1187" s="24" t="str">
        <f aca="false">IF(G1187="","",ROUND((Config!$C$4-G1187)/365.25,2))</f>
        <v/>
      </c>
      <c r="I1187" s="25" t="str">
        <f aca="false">IF(H1187="","",IF(H1187&lt;=1,"Tramo 1",IF(H1187&lt;=3,"Tramo 2",IF(H1187&lt;=5,"Tramo 3","Tramo 4"))))</f>
        <v/>
      </c>
      <c r="J1187" s="22"/>
      <c r="K1187" s="22"/>
      <c r="L1187" s="22"/>
      <c r="M1187" s="26"/>
      <c r="N1187" s="22"/>
      <c r="O1187" s="22"/>
      <c r="P1187" s="25" t="str">
        <f aca="false">IF(OR(O1187="",O1187="Sin información"),"",IFERROR(INDEX(Listas!$B$2:$B$9,MATCH(O1187,Listas!$A$2:$A$9,0)),""))</f>
        <v/>
      </c>
      <c r="Q1187" s="25" t="str">
        <f aca="false">IF(OR(O1187="",O1187="Sin información"),"",IFERROR(INDEX(Listas!$C$2:$C$9,MATCH(O1187,Listas!$A$2:$A$9,0)),""))</f>
        <v/>
      </c>
      <c r="R1187" s="22"/>
      <c r="S1187" s="22"/>
      <c r="T1187" s="25" t="str">
        <f aca="false">IF(S1187="","",IFERROR(INDEX(Empleadores!$B$2:$B$601,MATCH(S1187,Empleadores!$A$2:$A$601,0)),"No encontrado"))</f>
        <v/>
      </c>
      <c r="U1187" s="25" t="str">
        <f aca="false">IF(C1187="","",IF(V1187="","No",IF(Config!$C$4-V1187&lt;=Config!$C$15,"Sí","No")))</f>
        <v/>
      </c>
      <c r="V1187" s="23"/>
      <c r="W1187" s="22"/>
      <c r="X1187" s="22"/>
      <c r="Y1187" s="22"/>
      <c r="Z1187" s="27"/>
      <c r="AA1187" s="22"/>
      <c r="AB1187" s="22"/>
    </row>
    <row r="1188" customFormat="false" ht="15" hidden="false" customHeight="false" outlineLevel="0" collapsed="false">
      <c r="A1188" s="22"/>
      <c r="B1188" s="22"/>
      <c r="C1188" s="22"/>
      <c r="D1188" s="22"/>
      <c r="E1188" s="22"/>
      <c r="F1188" s="22"/>
      <c r="G1188" s="23"/>
      <c r="H1188" s="24" t="str">
        <f aca="false">IF(G1188="","",ROUND((Config!$C$4-G1188)/365.25,2))</f>
        <v/>
      </c>
      <c r="I1188" s="25" t="str">
        <f aca="false">IF(H1188="","",IF(H1188&lt;=1,"Tramo 1",IF(H1188&lt;=3,"Tramo 2",IF(H1188&lt;=5,"Tramo 3","Tramo 4"))))</f>
        <v/>
      </c>
      <c r="J1188" s="22"/>
      <c r="K1188" s="22"/>
      <c r="L1188" s="22"/>
      <c r="M1188" s="26"/>
      <c r="N1188" s="22"/>
      <c r="O1188" s="22"/>
      <c r="P1188" s="25" t="str">
        <f aca="false">IF(OR(O1188="",O1188="Sin información"),"",IFERROR(INDEX(Listas!$B$2:$B$9,MATCH(O1188,Listas!$A$2:$A$9,0)),""))</f>
        <v/>
      </c>
      <c r="Q1188" s="25" t="str">
        <f aca="false">IF(OR(O1188="",O1188="Sin información"),"",IFERROR(INDEX(Listas!$C$2:$C$9,MATCH(O1188,Listas!$A$2:$A$9,0)),""))</f>
        <v/>
      </c>
      <c r="R1188" s="22"/>
      <c r="S1188" s="22"/>
      <c r="T1188" s="25" t="str">
        <f aca="false">IF(S1188="","",IFERROR(INDEX(Empleadores!$B$2:$B$601,MATCH(S1188,Empleadores!$A$2:$A$601,0)),"No encontrado"))</f>
        <v/>
      </c>
      <c r="U1188" s="25" t="str">
        <f aca="false">IF(C1188="","",IF(V1188="","No",IF(Config!$C$4-V1188&lt;=Config!$C$15,"Sí","No")))</f>
        <v/>
      </c>
      <c r="V1188" s="23"/>
      <c r="W1188" s="22"/>
      <c r="X1188" s="22"/>
      <c r="Y1188" s="22"/>
      <c r="Z1188" s="27"/>
      <c r="AA1188" s="22"/>
      <c r="AB1188" s="22"/>
    </row>
    <row r="1189" customFormat="false" ht="15" hidden="false" customHeight="false" outlineLevel="0" collapsed="false">
      <c r="A1189" s="22"/>
      <c r="B1189" s="22"/>
      <c r="C1189" s="22"/>
      <c r="D1189" s="22"/>
      <c r="E1189" s="22"/>
      <c r="F1189" s="22"/>
      <c r="G1189" s="23"/>
      <c r="H1189" s="24" t="str">
        <f aca="false">IF(G1189="","",ROUND((Config!$C$4-G1189)/365.25,2))</f>
        <v/>
      </c>
      <c r="I1189" s="25" t="str">
        <f aca="false">IF(H1189="","",IF(H1189&lt;=1,"Tramo 1",IF(H1189&lt;=3,"Tramo 2",IF(H1189&lt;=5,"Tramo 3","Tramo 4"))))</f>
        <v/>
      </c>
      <c r="J1189" s="22"/>
      <c r="K1189" s="22"/>
      <c r="L1189" s="22"/>
      <c r="M1189" s="26"/>
      <c r="N1189" s="22"/>
      <c r="O1189" s="22"/>
      <c r="P1189" s="25" t="str">
        <f aca="false">IF(OR(O1189="",O1189="Sin información"),"",IFERROR(INDEX(Listas!$B$2:$B$9,MATCH(O1189,Listas!$A$2:$A$9,0)),""))</f>
        <v/>
      </c>
      <c r="Q1189" s="25" t="str">
        <f aca="false">IF(OR(O1189="",O1189="Sin información"),"",IFERROR(INDEX(Listas!$C$2:$C$9,MATCH(O1189,Listas!$A$2:$A$9,0)),""))</f>
        <v/>
      </c>
      <c r="R1189" s="22"/>
      <c r="S1189" s="22"/>
      <c r="T1189" s="25" t="str">
        <f aca="false">IF(S1189="","",IFERROR(INDEX(Empleadores!$B$2:$B$601,MATCH(S1189,Empleadores!$A$2:$A$601,0)),"No encontrado"))</f>
        <v/>
      </c>
      <c r="U1189" s="25" t="str">
        <f aca="false">IF(C1189="","",IF(V1189="","No",IF(Config!$C$4-V1189&lt;=Config!$C$15,"Sí","No")))</f>
        <v/>
      </c>
      <c r="V1189" s="23"/>
      <c r="W1189" s="22"/>
      <c r="X1189" s="22"/>
      <c r="Y1189" s="22"/>
      <c r="Z1189" s="27"/>
      <c r="AA1189" s="22"/>
      <c r="AB1189" s="22"/>
    </row>
    <row r="1190" customFormat="false" ht="15" hidden="false" customHeight="false" outlineLevel="0" collapsed="false">
      <c r="A1190" s="22"/>
      <c r="B1190" s="22"/>
      <c r="C1190" s="22"/>
      <c r="D1190" s="22"/>
      <c r="E1190" s="22"/>
      <c r="F1190" s="22"/>
      <c r="G1190" s="23"/>
      <c r="H1190" s="24" t="str">
        <f aca="false">IF(G1190="","",ROUND((Config!$C$4-G1190)/365.25,2))</f>
        <v/>
      </c>
      <c r="I1190" s="25" t="str">
        <f aca="false">IF(H1190="","",IF(H1190&lt;=1,"Tramo 1",IF(H1190&lt;=3,"Tramo 2",IF(H1190&lt;=5,"Tramo 3","Tramo 4"))))</f>
        <v/>
      </c>
      <c r="J1190" s="22"/>
      <c r="K1190" s="22"/>
      <c r="L1190" s="22"/>
      <c r="M1190" s="26"/>
      <c r="N1190" s="22"/>
      <c r="O1190" s="22"/>
      <c r="P1190" s="25" t="str">
        <f aca="false">IF(OR(O1190="",O1190="Sin información"),"",IFERROR(INDEX(Listas!$B$2:$B$9,MATCH(O1190,Listas!$A$2:$A$9,0)),""))</f>
        <v/>
      </c>
      <c r="Q1190" s="25" t="str">
        <f aca="false">IF(OR(O1190="",O1190="Sin información"),"",IFERROR(INDEX(Listas!$C$2:$C$9,MATCH(O1190,Listas!$A$2:$A$9,0)),""))</f>
        <v/>
      </c>
      <c r="R1190" s="22"/>
      <c r="S1190" s="22"/>
      <c r="T1190" s="25" t="str">
        <f aca="false">IF(S1190="","",IFERROR(INDEX(Empleadores!$B$2:$B$601,MATCH(S1190,Empleadores!$A$2:$A$601,0)),"No encontrado"))</f>
        <v/>
      </c>
      <c r="U1190" s="25" t="str">
        <f aca="false">IF(C1190="","",IF(V1190="","No",IF(Config!$C$4-V1190&lt;=Config!$C$15,"Sí","No")))</f>
        <v/>
      </c>
      <c r="V1190" s="23"/>
      <c r="W1190" s="22"/>
      <c r="X1190" s="22"/>
      <c r="Y1190" s="22"/>
      <c r="Z1190" s="27"/>
      <c r="AA1190" s="22"/>
      <c r="AB1190" s="22"/>
    </row>
    <row r="1191" customFormat="false" ht="15" hidden="false" customHeight="false" outlineLevel="0" collapsed="false">
      <c r="A1191" s="22"/>
      <c r="B1191" s="22"/>
      <c r="C1191" s="22"/>
      <c r="D1191" s="22"/>
      <c r="E1191" s="22"/>
      <c r="F1191" s="22"/>
      <c r="G1191" s="23"/>
      <c r="H1191" s="24" t="str">
        <f aca="false">IF(G1191="","",ROUND((Config!$C$4-G1191)/365.25,2))</f>
        <v/>
      </c>
      <c r="I1191" s="25" t="str">
        <f aca="false">IF(H1191="","",IF(H1191&lt;=1,"Tramo 1",IF(H1191&lt;=3,"Tramo 2",IF(H1191&lt;=5,"Tramo 3","Tramo 4"))))</f>
        <v/>
      </c>
      <c r="J1191" s="22"/>
      <c r="K1191" s="22"/>
      <c r="L1191" s="22"/>
      <c r="M1191" s="26"/>
      <c r="N1191" s="22"/>
      <c r="O1191" s="22"/>
      <c r="P1191" s="25" t="str">
        <f aca="false">IF(OR(O1191="",O1191="Sin información"),"",IFERROR(INDEX(Listas!$B$2:$B$9,MATCH(O1191,Listas!$A$2:$A$9,0)),""))</f>
        <v/>
      </c>
      <c r="Q1191" s="25" t="str">
        <f aca="false">IF(OR(O1191="",O1191="Sin información"),"",IFERROR(INDEX(Listas!$C$2:$C$9,MATCH(O1191,Listas!$A$2:$A$9,0)),""))</f>
        <v/>
      </c>
      <c r="R1191" s="22"/>
      <c r="S1191" s="22"/>
      <c r="T1191" s="25" t="str">
        <f aca="false">IF(S1191="","",IFERROR(INDEX(Empleadores!$B$2:$B$601,MATCH(S1191,Empleadores!$A$2:$A$601,0)),"No encontrado"))</f>
        <v/>
      </c>
      <c r="U1191" s="25" t="str">
        <f aca="false">IF(C1191="","",IF(V1191="","No",IF(Config!$C$4-V1191&lt;=Config!$C$15,"Sí","No")))</f>
        <v/>
      </c>
      <c r="V1191" s="23"/>
      <c r="W1191" s="22"/>
      <c r="X1191" s="22"/>
      <c r="Y1191" s="22"/>
      <c r="Z1191" s="27"/>
      <c r="AA1191" s="22"/>
      <c r="AB1191" s="22"/>
    </row>
    <row r="1192" customFormat="false" ht="15" hidden="false" customHeight="false" outlineLevel="0" collapsed="false">
      <c r="A1192" s="22"/>
      <c r="B1192" s="22"/>
      <c r="C1192" s="22"/>
      <c r="D1192" s="22"/>
      <c r="E1192" s="22"/>
      <c r="F1192" s="22"/>
      <c r="G1192" s="23"/>
      <c r="H1192" s="24" t="str">
        <f aca="false">IF(G1192="","",ROUND((Config!$C$4-G1192)/365.25,2))</f>
        <v/>
      </c>
      <c r="I1192" s="25" t="str">
        <f aca="false">IF(H1192="","",IF(H1192&lt;=1,"Tramo 1",IF(H1192&lt;=3,"Tramo 2",IF(H1192&lt;=5,"Tramo 3","Tramo 4"))))</f>
        <v/>
      </c>
      <c r="J1192" s="22"/>
      <c r="K1192" s="22"/>
      <c r="L1192" s="22"/>
      <c r="M1192" s="26"/>
      <c r="N1192" s="22"/>
      <c r="O1192" s="22"/>
      <c r="P1192" s="25" t="str">
        <f aca="false">IF(OR(O1192="",O1192="Sin información"),"",IFERROR(INDEX(Listas!$B$2:$B$9,MATCH(O1192,Listas!$A$2:$A$9,0)),""))</f>
        <v/>
      </c>
      <c r="Q1192" s="25" t="str">
        <f aca="false">IF(OR(O1192="",O1192="Sin información"),"",IFERROR(INDEX(Listas!$C$2:$C$9,MATCH(O1192,Listas!$A$2:$A$9,0)),""))</f>
        <v/>
      </c>
      <c r="R1192" s="22"/>
      <c r="S1192" s="22"/>
      <c r="T1192" s="25" t="str">
        <f aca="false">IF(S1192="","",IFERROR(INDEX(Empleadores!$B$2:$B$601,MATCH(S1192,Empleadores!$A$2:$A$601,0)),"No encontrado"))</f>
        <v/>
      </c>
      <c r="U1192" s="25" t="str">
        <f aca="false">IF(C1192="","",IF(V1192="","No",IF(Config!$C$4-V1192&lt;=Config!$C$15,"Sí","No")))</f>
        <v/>
      </c>
      <c r="V1192" s="23"/>
      <c r="W1192" s="22"/>
      <c r="X1192" s="22"/>
      <c r="Y1192" s="22"/>
      <c r="Z1192" s="27"/>
      <c r="AA1192" s="22"/>
      <c r="AB1192" s="22"/>
    </row>
    <row r="1193" customFormat="false" ht="15" hidden="false" customHeight="false" outlineLevel="0" collapsed="false">
      <c r="A1193" s="22"/>
      <c r="B1193" s="22"/>
      <c r="C1193" s="22"/>
      <c r="D1193" s="22"/>
      <c r="E1193" s="22"/>
      <c r="F1193" s="22"/>
      <c r="G1193" s="23"/>
      <c r="H1193" s="24" t="str">
        <f aca="false">IF(G1193="","",ROUND((Config!$C$4-G1193)/365.25,2))</f>
        <v/>
      </c>
      <c r="I1193" s="25" t="str">
        <f aca="false">IF(H1193="","",IF(H1193&lt;=1,"Tramo 1",IF(H1193&lt;=3,"Tramo 2",IF(H1193&lt;=5,"Tramo 3","Tramo 4"))))</f>
        <v/>
      </c>
      <c r="J1193" s="22"/>
      <c r="K1193" s="22"/>
      <c r="L1193" s="22"/>
      <c r="M1193" s="26"/>
      <c r="N1193" s="22"/>
      <c r="O1193" s="22"/>
      <c r="P1193" s="25" t="str">
        <f aca="false">IF(OR(O1193="",O1193="Sin información"),"",IFERROR(INDEX(Listas!$B$2:$B$9,MATCH(O1193,Listas!$A$2:$A$9,0)),""))</f>
        <v/>
      </c>
      <c r="Q1193" s="25" t="str">
        <f aca="false">IF(OR(O1193="",O1193="Sin información"),"",IFERROR(INDEX(Listas!$C$2:$C$9,MATCH(O1193,Listas!$A$2:$A$9,0)),""))</f>
        <v/>
      </c>
      <c r="R1193" s="22"/>
      <c r="S1193" s="22"/>
      <c r="T1193" s="25" t="str">
        <f aca="false">IF(S1193="","",IFERROR(INDEX(Empleadores!$B$2:$B$601,MATCH(S1193,Empleadores!$A$2:$A$601,0)),"No encontrado"))</f>
        <v/>
      </c>
      <c r="U1193" s="25" t="str">
        <f aca="false">IF(C1193="","",IF(V1193="","No",IF(Config!$C$4-V1193&lt;=Config!$C$15,"Sí","No")))</f>
        <v/>
      </c>
      <c r="V1193" s="23"/>
      <c r="W1193" s="22"/>
      <c r="X1193" s="22"/>
      <c r="Y1193" s="22"/>
      <c r="Z1193" s="27"/>
      <c r="AA1193" s="22"/>
      <c r="AB1193" s="22"/>
    </row>
    <row r="1194" customFormat="false" ht="15" hidden="false" customHeight="false" outlineLevel="0" collapsed="false">
      <c r="A1194" s="22"/>
      <c r="B1194" s="22"/>
      <c r="C1194" s="22"/>
      <c r="D1194" s="22"/>
      <c r="E1194" s="22"/>
      <c r="F1194" s="22"/>
      <c r="G1194" s="23"/>
      <c r="H1194" s="24" t="str">
        <f aca="false">IF(G1194="","",ROUND((Config!$C$4-G1194)/365.25,2))</f>
        <v/>
      </c>
      <c r="I1194" s="25" t="str">
        <f aca="false">IF(H1194="","",IF(H1194&lt;=1,"Tramo 1",IF(H1194&lt;=3,"Tramo 2",IF(H1194&lt;=5,"Tramo 3","Tramo 4"))))</f>
        <v/>
      </c>
      <c r="J1194" s="22"/>
      <c r="K1194" s="22"/>
      <c r="L1194" s="22"/>
      <c r="M1194" s="26"/>
      <c r="N1194" s="22"/>
      <c r="O1194" s="22"/>
      <c r="P1194" s="25" t="str">
        <f aca="false">IF(OR(O1194="",O1194="Sin información"),"",IFERROR(INDEX(Listas!$B$2:$B$9,MATCH(O1194,Listas!$A$2:$A$9,0)),""))</f>
        <v/>
      </c>
      <c r="Q1194" s="25" t="str">
        <f aca="false">IF(OR(O1194="",O1194="Sin información"),"",IFERROR(INDEX(Listas!$C$2:$C$9,MATCH(O1194,Listas!$A$2:$A$9,0)),""))</f>
        <v/>
      </c>
      <c r="R1194" s="22"/>
      <c r="S1194" s="22"/>
      <c r="T1194" s="25" t="str">
        <f aca="false">IF(S1194="","",IFERROR(INDEX(Empleadores!$B$2:$B$601,MATCH(S1194,Empleadores!$A$2:$A$601,0)),"No encontrado"))</f>
        <v/>
      </c>
      <c r="U1194" s="25" t="str">
        <f aca="false">IF(C1194="","",IF(V1194="","No",IF(Config!$C$4-V1194&lt;=Config!$C$15,"Sí","No")))</f>
        <v/>
      </c>
      <c r="V1194" s="23"/>
      <c r="W1194" s="22"/>
      <c r="X1194" s="22"/>
      <c r="Y1194" s="22"/>
      <c r="Z1194" s="27"/>
      <c r="AA1194" s="22"/>
      <c r="AB1194" s="22"/>
    </row>
    <row r="1195" customFormat="false" ht="15" hidden="false" customHeight="false" outlineLevel="0" collapsed="false">
      <c r="A1195" s="22"/>
      <c r="B1195" s="22"/>
      <c r="C1195" s="22"/>
      <c r="D1195" s="22"/>
      <c r="E1195" s="22"/>
      <c r="F1195" s="22"/>
      <c r="G1195" s="23"/>
      <c r="H1195" s="24" t="str">
        <f aca="false">IF(G1195="","",ROUND((Config!$C$4-G1195)/365.25,2))</f>
        <v/>
      </c>
      <c r="I1195" s="25" t="str">
        <f aca="false">IF(H1195="","",IF(H1195&lt;=1,"Tramo 1",IF(H1195&lt;=3,"Tramo 2",IF(H1195&lt;=5,"Tramo 3","Tramo 4"))))</f>
        <v/>
      </c>
      <c r="J1195" s="22"/>
      <c r="K1195" s="22"/>
      <c r="L1195" s="22"/>
      <c r="M1195" s="26"/>
      <c r="N1195" s="22"/>
      <c r="O1195" s="22"/>
      <c r="P1195" s="25" t="str">
        <f aca="false">IF(OR(O1195="",O1195="Sin información"),"",IFERROR(INDEX(Listas!$B$2:$B$9,MATCH(O1195,Listas!$A$2:$A$9,0)),""))</f>
        <v/>
      </c>
      <c r="Q1195" s="25" t="str">
        <f aca="false">IF(OR(O1195="",O1195="Sin información"),"",IFERROR(INDEX(Listas!$C$2:$C$9,MATCH(O1195,Listas!$A$2:$A$9,0)),""))</f>
        <v/>
      </c>
      <c r="R1195" s="22"/>
      <c r="S1195" s="22"/>
      <c r="T1195" s="25" t="str">
        <f aca="false">IF(S1195="","",IFERROR(INDEX(Empleadores!$B$2:$B$601,MATCH(S1195,Empleadores!$A$2:$A$601,0)),"No encontrado"))</f>
        <v/>
      </c>
      <c r="U1195" s="25" t="str">
        <f aca="false">IF(C1195="","",IF(V1195="","No",IF(Config!$C$4-V1195&lt;=Config!$C$15,"Sí","No")))</f>
        <v/>
      </c>
      <c r="V1195" s="23"/>
      <c r="W1195" s="22"/>
      <c r="X1195" s="22"/>
      <c r="Y1195" s="22"/>
      <c r="Z1195" s="27"/>
      <c r="AA1195" s="22"/>
      <c r="AB1195" s="22"/>
    </row>
    <row r="1196" customFormat="false" ht="15" hidden="false" customHeight="false" outlineLevel="0" collapsed="false">
      <c r="A1196" s="22"/>
      <c r="B1196" s="22"/>
      <c r="C1196" s="22"/>
      <c r="D1196" s="22"/>
      <c r="E1196" s="22"/>
      <c r="F1196" s="22"/>
      <c r="G1196" s="23"/>
      <c r="H1196" s="24" t="str">
        <f aca="false">IF(G1196="","",ROUND((Config!$C$4-G1196)/365.25,2))</f>
        <v/>
      </c>
      <c r="I1196" s="25" t="str">
        <f aca="false">IF(H1196="","",IF(H1196&lt;=1,"Tramo 1",IF(H1196&lt;=3,"Tramo 2",IF(H1196&lt;=5,"Tramo 3","Tramo 4"))))</f>
        <v/>
      </c>
      <c r="J1196" s="22"/>
      <c r="K1196" s="22"/>
      <c r="L1196" s="22"/>
      <c r="M1196" s="26"/>
      <c r="N1196" s="22"/>
      <c r="O1196" s="22"/>
      <c r="P1196" s="25" t="str">
        <f aca="false">IF(OR(O1196="",O1196="Sin información"),"",IFERROR(INDEX(Listas!$B$2:$B$9,MATCH(O1196,Listas!$A$2:$A$9,0)),""))</f>
        <v/>
      </c>
      <c r="Q1196" s="25" t="str">
        <f aca="false">IF(OR(O1196="",O1196="Sin información"),"",IFERROR(INDEX(Listas!$C$2:$C$9,MATCH(O1196,Listas!$A$2:$A$9,0)),""))</f>
        <v/>
      </c>
      <c r="R1196" s="22"/>
      <c r="S1196" s="22"/>
      <c r="T1196" s="25" t="str">
        <f aca="false">IF(S1196="","",IFERROR(INDEX(Empleadores!$B$2:$B$601,MATCH(S1196,Empleadores!$A$2:$A$601,0)),"No encontrado"))</f>
        <v/>
      </c>
      <c r="U1196" s="25" t="str">
        <f aca="false">IF(C1196="","",IF(V1196="","No",IF(Config!$C$4-V1196&lt;=Config!$C$15,"Sí","No")))</f>
        <v/>
      </c>
      <c r="V1196" s="23"/>
      <c r="W1196" s="22"/>
      <c r="X1196" s="22"/>
      <c r="Y1196" s="22"/>
      <c r="Z1196" s="27"/>
      <c r="AA1196" s="22"/>
      <c r="AB1196" s="22"/>
    </row>
    <row r="1197" customFormat="false" ht="15" hidden="false" customHeight="false" outlineLevel="0" collapsed="false">
      <c r="A1197" s="22"/>
      <c r="B1197" s="22"/>
      <c r="C1197" s="22"/>
      <c r="D1197" s="22"/>
      <c r="E1197" s="22"/>
      <c r="F1197" s="22"/>
      <c r="G1197" s="23"/>
      <c r="H1197" s="24" t="str">
        <f aca="false">IF(G1197="","",ROUND((Config!$C$4-G1197)/365.25,2))</f>
        <v/>
      </c>
      <c r="I1197" s="25" t="str">
        <f aca="false">IF(H1197="","",IF(H1197&lt;=1,"Tramo 1",IF(H1197&lt;=3,"Tramo 2",IF(H1197&lt;=5,"Tramo 3","Tramo 4"))))</f>
        <v/>
      </c>
      <c r="J1197" s="22"/>
      <c r="K1197" s="22"/>
      <c r="L1197" s="22"/>
      <c r="M1197" s="26"/>
      <c r="N1197" s="22"/>
      <c r="O1197" s="22"/>
      <c r="P1197" s="25" t="str">
        <f aca="false">IF(OR(O1197="",O1197="Sin información"),"",IFERROR(INDEX(Listas!$B$2:$B$9,MATCH(O1197,Listas!$A$2:$A$9,0)),""))</f>
        <v/>
      </c>
      <c r="Q1197" s="25" t="str">
        <f aca="false">IF(OR(O1197="",O1197="Sin información"),"",IFERROR(INDEX(Listas!$C$2:$C$9,MATCH(O1197,Listas!$A$2:$A$9,0)),""))</f>
        <v/>
      </c>
      <c r="R1197" s="22"/>
      <c r="S1197" s="22"/>
      <c r="T1197" s="25" t="str">
        <f aca="false">IF(S1197="","",IFERROR(INDEX(Empleadores!$B$2:$B$601,MATCH(S1197,Empleadores!$A$2:$A$601,0)),"No encontrado"))</f>
        <v/>
      </c>
      <c r="U1197" s="25" t="str">
        <f aca="false">IF(C1197="","",IF(V1197="","No",IF(Config!$C$4-V1197&lt;=Config!$C$15,"Sí","No")))</f>
        <v/>
      </c>
      <c r="V1197" s="23"/>
      <c r="W1197" s="22"/>
      <c r="X1197" s="22"/>
      <c r="Y1197" s="22"/>
      <c r="Z1197" s="27"/>
      <c r="AA1197" s="22"/>
      <c r="AB1197" s="22"/>
    </row>
    <row r="1198" customFormat="false" ht="15" hidden="false" customHeight="false" outlineLevel="0" collapsed="false">
      <c r="A1198" s="22"/>
      <c r="B1198" s="22"/>
      <c r="C1198" s="22"/>
      <c r="D1198" s="22"/>
      <c r="E1198" s="22"/>
      <c r="F1198" s="22"/>
      <c r="G1198" s="23"/>
      <c r="H1198" s="24" t="str">
        <f aca="false">IF(G1198="","",ROUND((Config!$C$4-G1198)/365.25,2))</f>
        <v/>
      </c>
      <c r="I1198" s="25" t="str">
        <f aca="false">IF(H1198="","",IF(H1198&lt;=1,"Tramo 1",IF(H1198&lt;=3,"Tramo 2",IF(H1198&lt;=5,"Tramo 3","Tramo 4"))))</f>
        <v/>
      </c>
      <c r="J1198" s="22"/>
      <c r="K1198" s="22"/>
      <c r="L1198" s="22"/>
      <c r="M1198" s="26"/>
      <c r="N1198" s="22"/>
      <c r="O1198" s="22"/>
      <c r="P1198" s="25" t="str">
        <f aca="false">IF(OR(O1198="",O1198="Sin información"),"",IFERROR(INDEX(Listas!$B$2:$B$9,MATCH(O1198,Listas!$A$2:$A$9,0)),""))</f>
        <v/>
      </c>
      <c r="Q1198" s="25" t="str">
        <f aca="false">IF(OR(O1198="",O1198="Sin información"),"",IFERROR(INDEX(Listas!$C$2:$C$9,MATCH(O1198,Listas!$A$2:$A$9,0)),""))</f>
        <v/>
      </c>
      <c r="R1198" s="22"/>
      <c r="S1198" s="22"/>
      <c r="T1198" s="25" t="str">
        <f aca="false">IF(S1198="","",IFERROR(INDEX(Empleadores!$B$2:$B$601,MATCH(S1198,Empleadores!$A$2:$A$601,0)),"No encontrado"))</f>
        <v/>
      </c>
      <c r="U1198" s="25" t="str">
        <f aca="false">IF(C1198="","",IF(V1198="","No",IF(Config!$C$4-V1198&lt;=Config!$C$15,"Sí","No")))</f>
        <v/>
      </c>
      <c r="V1198" s="23"/>
      <c r="W1198" s="22"/>
      <c r="X1198" s="22"/>
      <c r="Y1198" s="22"/>
      <c r="Z1198" s="27"/>
      <c r="AA1198" s="22"/>
      <c r="AB1198" s="22"/>
    </row>
    <row r="1199" customFormat="false" ht="15" hidden="false" customHeight="false" outlineLevel="0" collapsed="false">
      <c r="A1199" s="22"/>
      <c r="B1199" s="22"/>
      <c r="C1199" s="22"/>
      <c r="D1199" s="22"/>
      <c r="E1199" s="22"/>
      <c r="F1199" s="22"/>
      <c r="G1199" s="23"/>
      <c r="H1199" s="24" t="str">
        <f aca="false">IF(G1199="","",ROUND((Config!$C$4-G1199)/365.25,2))</f>
        <v/>
      </c>
      <c r="I1199" s="25" t="str">
        <f aca="false">IF(H1199="","",IF(H1199&lt;=1,"Tramo 1",IF(H1199&lt;=3,"Tramo 2",IF(H1199&lt;=5,"Tramo 3","Tramo 4"))))</f>
        <v/>
      </c>
      <c r="J1199" s="22"/>
      <c r="K1199" s="22"/>
      <c r="L1199" s="22"/>
      <c r="M1199" s="26"/>
      <c r="N1199" s="22"/>
      <c r="O1199" s="22"/>
      <c r="P1199" s="25" t="str">
        <f aca="false">IF(OR(O1199="",O1199="Sin información"),"",IFERROR(INDEX(Listas!$B$2:$B$9,MATCH(O1199,Listas!$A$2:$A$9,0)),""))</f>
        <v/>
      </c>
      <c r="Q1199" s="25" t="str">
        <f aca="false">IF(OR(O1199="",O1199="Sin información"),"",IFERROR(INDEX(Listas!$C$2:$C$9,MATCH(O1199,Listas!$A$2:$A$9,0)),""))</f>
        <v/>
      </c>
      <c r="R1199" s="22"/>
      <c r="S1199" s="22"/>
      <c r="T1199" s="25" t="str">
        <f aca="false">IF(S1199="","",IFERROR(INDEX(Empleadores!$B$2:$B$601,MATCH(S1199,Empleadores!$A$2:$A$601,0)),"No encontrado"))</f>
        <v/>
      </c>
      <c r="U1199" s="25" t="str">
        <f aca="false">IF(C1199="","",IF(V1199="","No",IF(Config!$C$4-V1199&lt;=Config!$C$15,"Sí","No")))</f>
        <v/>
      </c>
      <c r="V1199" s="23"/>
      <c r="W1199" s="22"/>
      <c r="X1199" s="22"/>
      <c r="Y1199" s="22"/>
      <c r="Z1199" s="27"/>
      <c r="AA1199" s="22"/>
      <c r="AB1199" s="22"/>
    </row>
    <row r="1200" customFormat="false" ht="15" hidden="false" customHeight="false" outlineLevel="0" collapsed="false">
      <c r="A1200" s="22"/>
      <c r="B1200" s="22"/>
      <c r="C1200" s="22"/>
      <c r="D1200" s="22"/>
      <c r="E1200" s="22"/>
      <c r="F1200" s="22"/>
      <c r="G1200" s="23"/>
      <c r="H1200" s="24" t="str">
        <f aca="false">IF(G1200="","",ROUND((Config!$C$4-G1200)/365.25,2))</f>
        <v/>
      </c>
      <c r="I1200" s="25" t="str">
        <f aca="false">IF(H1200="","",IF(H1200&lt;=1,"Tramo 1",IF(H1200&lt;=3,"Tramo 2",IF(H1200&lt;=5,"Tramo 3","Tramo 4"))))</f>
        <v/>
      </c>
      <c r="J1200" s="22"/>
      <c r="K1200" s="22"/>
      <c r="L1200" s="22"/>
      <c r="M1200" s="26"/>
      <c r="N1200" s="22"/>
      <c r="O1200" s="22"/>
      <c r="P1200" s="25" t="str">
        <f aca="false">IF(OR(O1200="",O1200="Sin información"),"",IFERROR(INDEX(Listas!$B$2:$B$9,MATCH(O1200,Listas!$A$2:$A$9,0)),""))</f>
        <v/>
      </c>
      <c r="Q1200" s="25" t="str">
        <f aca="false">IF(OR(O1200="",O1200="Sin información"),"",IFERROR(INDEX(Listas!$C$2:$C$9,MATCH(O1200,Listas!$A$2:$A$9,0)),""))</f>
        <v/>
      </c>
      <c r="R1200" s="22"/>
      <c r="S1200" s="22"/>
      <c r="T1200" s="25" t="str">
        <f aca="false">IF(S1200="","",IFERROR(INDEX(Empleadores!$B$2:$B$601,MATCH(S1200,Empleadores!$A$2:$A$601,0)),"No encontrado"))</f>
        <v/>
      </c>
      <c r="U1200" s="25" t="str">
        <f aca="false">IF(C1200="","",IF(V1200="","No",IF(Config!$C$4-V1200&lt;=Config!$C$15,"Sí","No")))</f>
        <v/>
      </c>
      <c r="V1200" s="23"/>
      <c r="W1200" s="22"/>
      <c r="X1200" s="22"/>
      <c r="Y1200" s="22"/>
      <c r="Z1200" s="27"/>
      <c r="AA1200" s="22"/>
      <c r="AB1200" s="22"/>
    </row>
    <row r="1201" customFormat="false" ht="15" hidden="false" customHeight="false" outlineLevel="0" collapsed="false">
      <c r="A1201" s="22"/>
      <c r="B1201" s="22"/>
      <c r="C1201" s="22"/>
      <c r="D1201" s="22"/>
      <c r="E1201" s="22"/>
      <c r="F1201" s="22"/>
      <c r="G1201" s="23"/>
      <c r="H1201" s="24" t="str">
        <f aca="false">IF(G1201="","",ROUND((Config!$C$4-G1201)/365.25,2))</f>
        <v/>
      </c>
      <c r="I1201" s="25" t="str">
        <f aca="false">IF(H1201="","",IF(H1201&lt;=1,"Tramo 1",IF(H1201&lt;=3,"Tramo 2",IF(H1201&lt;=5,"Tramo 3","Tramo 4"))))</f>
        <v/>
      </c>
      <c r="J1201" s="22"/>
      <c r="K1201" s="22"/>
      <c r="L1201" s="22"/>
      <c r="M1201" s="26"/>
      <c r="N1201" s="22"/>
      <c r="O1201" s="22"/>
      <c r="P1201" s="25" t="str">
        <f aca="false">IF(OR(O1201="",O1201="Sin información"),"",IFERROR(INDEX(Listas!$B$2:$B$9,MATCH(O1201,Listas!$A$2:$A$9,0)),""))</f>
        <v/>
      </c>
      <c r="Q1201" s="25" t="str">
        <f aca="false">IF(OR(O1201="",O1201="Sin información"),"",IFERROR(INDEX(Listas!$C$2:$C$9,MATCH(O1201,Listas!$A$2:$A$9,0)),""))</f>
        <v/>
      </c>
      <c r="R1201" s="22"/>
      <c r="S1201" s="22"/>
      <c r="T1201" s="25" t="str">
        <f aca="false">IF(S1201="","",IFERROR(INDEX(Empleadores!$B$2:$B$601,MATCH(S1201,Empleadores!$A$2:$A$601,0)),"No encontrado"))</f>
        <v/>
      </c>
      <c r="U1201" s="25" t="str">
        <f aca="false">IF(C1201="","",IF(V1201="","No",IF(Config!$C$4-V1201&lt;=Config!$C$15,"Sí","No")))</f>
        <v/>
      </c>
      <c r="V1201" s="23"/>
      <c r="W1201" s="22"/>
      <c r="X1201" s="22"/>
      <c r="Y1201" s="22"/>
      <c r="Z1201" s="27"/>
      <c r="AA1201" s="22"/>
      <c r="AB1201" s="22"/>
    </row>
    <row r="1202" customFormat="false" ht="15" hidden="false" customHeight="false" outlineLevel="0" collapsed="false">
      <c r="A1202" s="22"/>
      <c r="B1202" s="22"/>
      <c r="C1202" s="22"/>
      <c r="D1202" s="22"/>
      <c r="E1202" s="22"/>
      <c r="F1202" s="22"/>
      <c r="G1202" s="23"/>
      <c r="H1202" s="24" t="str">
        <f aca="false">IF(G1202="","",ROUND((Config!$C$4-G1202)/365.25,2))</f>
        <v/>
      </c>
      <c r="I1202" s="25" t="str">
        <f aca="false">IF(H1202="","",IF(H1202&lt;=1,"Tramo 1",IF(H1202&lt;=3,"Tramo 2",IF(H1202&lt;=5,"Tramo 3","Tramo 4"))))</f>
        <v/>
      </c>
      <c r="J1202" s="22"/>
      <c r="K1202" s="22"/>
      <c r="L1202" s="22"/>
      <c r="M1202" s="26"/>
      <c r="N1202" s="22"/>
      <c r="O1202" s="22"/>
      <c r="P1202" s="25" t="str">
        <f aca="false">IF(OR(O1202="",O1202="Sin información"),"",IFERROR(INDEX(Listas!$B$2:$B$9,MATCH(O1202,Listas!$A$2:$A$9,0)),""))</f>
        <v/>
      </c>
      <c r="Q1202" s="25" t="str">
        <f aca="false">IF(OR(O1202="",O1202="Sin información"),"",IFERROR(INDEX(Listas!$C$2:$C$9,MATCH(O1202,Listas!$A$2:$A$9,0)),""))</f>
        <v/>
      </c>
      <c r="R1202" s="22"/>
      <c r="S1202" s="22"/>
      <c r="T1202" s="25" t="str">
        <f aca="false">IF(S1202="","",IFERROR(INDEX(Empleadores!$B$2:$B$601,MATCH(S1202,Empleadores!$A$2:$A$601,0)),"No encontrado"))</f>
        <v/>
      </c>
      <c r="U1202" s="25" t="str">
        <f aca="false">IF(C1202="","",IF(V1202="","No",IF(Config!$C$4-V1202&lt;=Config!$C$15,"Sí","No")))</f>
        <v/>
      </c>
      <c r="V1202" s="23"/>
      <c r="W1202" s="22"/>
      <c r="X1202" s="22"/>
      <c r="Y1202" s="22"/>
      <c r="Z1202" s="27"/>
      <c r="AA1202" s="22"/>
      <c r="AB1202" s="22"/>
    </row>
    <row r="1203" customFormat="false" ht="15" hidden="false" customHeight="false" outlineLevel="0" collapsed="false">
      <c r="A1203" s="22"/>
      <c r="B1203" s="22"/>
      <c r="C1203" s="22"/>
      <c r="D1203" s="22"/>
      <c r="E1203" s="22"/>
      <c r="F1203" s="22"/>
      <c r="G1203" s="23"/>
      <c r="H1203" s="24" t="str">
        <f aca="false">IF(G1203="","",ROUND((Config!$C$4-G1203)/365.25,2))</f>
        <v/>
      </c>
      <c r="I1203" s="25" t="str">
        <f aca="false">IF(H1203="","",IF(H1203&lt;=1,"Tramo 1",IF(H1203&lt;=3,"Tramo 2",IF(H1203&lt;=5,"Tramo 3","Tramo 4"))))</f>
        <v/>
      </c>
      <c r="J1203" s="22"/>
      <c r="K1203" s="22"/>
      <c r="L1203" s="22"/>
      <c r="M1203" s="26"/>
      <c r="N1203" s="22"/>
      <c r="O1203" s="22"/>
      <c r="P1203" s="25" t="str">
        <f aca="false">IF(OR(O1203="",O1203="Sin información"),"",IFERROR(INDEX(Listas!$B$2:$B$9,MATCH(O1203,Listas!$A$2:$A$9,0)),""))</f>
        <v/>
      </c>
      <c r="Q1203" s="25" t="str">
        <f aca="false">IF(OR(O1203="",O1203="Sin información"),"",IFERROR(INDEX(Listas!$C$2:$C$9,MATCH(O1203,Listas!$A$2:$A$9,0)),""))</f>
        <v/>
      </c>
      <c r="R1203" s="22"/>
      <c r="S1203" s="22"/>
      <c r="T1203" s="25" t="str">
        <f aca="false">IF(S1203="","",IFERROR(INDEX(Empleadores!$B$2:$B$601,MATCH(S1203,Empleadores!$A$2:$A$601,0)),"No encontrado"))</f>
        <v/>
      </c>
      <c r="U1203" s="25" t="str">
        <f aca="false">IF(C1203="","",IF(V1203="","No",IF(Config!$C$4-V1203&lt;=Config!$C$15,"Sí","No")))</f>
        <v/>
      </c>
      <c r="V1203" s="23"/>
      <c r="W1203" s="22"/>
      <c r="X1203" s="22"/>
      <c r="Y1203" s="22"/>
      <c r="Z1203" s="27"/>
      <c r="AA1203" s="22"/>
      <c r="AB1203" s="22"/>
    </row>
    <row r="1204" customFormat="false" ht="15" hidden="false" customHeight="false" outlineLevel="0" collapsed="false">
      <c r="A1204" s="22"/>
      <c r="B1204" s="22"/>
      <c r="C1204" s="22"/>
      <c r="D1204" s="22"/>
      <c r="E1204" s="22"/>
      <c r="F1204" s="22"/>
      <c r="G1204" s="23"/>
      <c r="H1204" s="24" t="str">
        <f aca="false">IF(G1204="","",ROUND((Config!$C$4-G1204)/365.25,2))</f>
        <v/>
      </c>
      <c r="I1204" s="25" t="str">
        <f aca="false">IF(H1204="","",IF(H1204&lt;=1,"Tramo 1",IF(H1204&lt;=3,"Tramo 2",IF(H1204&lt;=5,"Tramo 3","Tramo 4"))))</f>
        <v/>
      </c>
      <c r="J1204" s="22"/>
      <c r="K1204" s="22"/>
      <c r="L1204" s="22"/>
      <c r="M1204" s="26"/>
      <c r="N1204" s="22"/>
      <c r="O1204" s="22"/>
      <c r="P1204" s="25" t="str">
        <f aca="false">IF(OR(O1204="",O1204="Sin información"),"",IFERROR(INDEX(Listas!$B$2:$B$9,MATCH(O1204,Listas!$A$2:$A$9,0)),""))</f>
        <v/>
      </c>
      <c r="Q1204" s="25" t="str">
        <f aca="false">IF(OR(O1204="",O1204="Sin información"),"",IFERROR(INDEX(Listas!$C$2:$C$9,MATCH(O1204,Listas!$A$2:$A$9,0)),""))</f>
        <v/>
      </c>
      <c r="R1204" s="22"/>
      <c r="S1204" s="22"/>
      <c r="T1204" s="25" t="str">
        <f aca="false">IF(S1204="","",IFERROR(INDEX(Empleadores!$B$2:$B$601,MATCH(S1204,Empleadores!$A$2:$A$601,0)),"No encontrado"))</f>
        <v/>
      </c>
      <c r="U1204" s="25" t="str">
        <f aca="false">IF(C1204="","",IF(V1204="","No",IF(Config!$C$4-V1204&lt;=Config!$C$15,"Sí","No")))</f>
        <v/>
      </c>
      <c r="V1204" s="23"/>
      <c r="W1204" s="22"/>
      <c r="X1204" s="22"/>
      <c r="Y1204" s="22"/>
      <c r="Z1204" s="27"/>
      <c r="AA1204" s="22"/>
      <c r="AB1204" s="22"/>
    </row>
    <row r="1205" customFormat="false" ht="15" hidden="false" customHeight="false" outlineLevel="0" collapsed="false">
      <c r="A1205" s="22"/>
      <c r="B1205" s="22"/>
      <c r="C1205" s="22"/>
      <c r="D1205" s="22"/>
      <c r="E1205" s="22"/>
      <c r="F1205" s="22"/>
      <c r="G1205" s="23"/>
      <c r="H1205" s="24" t="str">
        <f aca="false">IF(G1205="","",ROUND((Config!$C$4-G1205)/365.25,2))</f>
        <v/>
      </c>
      <c r="I1205" s="25" t="str">
        <f aca="false">IF(H1205="","",IF(H1205&lt;=1,"Tramo 1",IF(H1205&lt;=3,"Tramo 2",IF(H1205&lt;=5,"Tramo 3","Tramo 4"))))</f>
        <v/>
      </c>
      <c r="J1205" s="22"/>
      <c r="K1205" s="22"/>
      <c r="L1205" s="22"/>
      <c r="M1205" s="26"/>
      <c r="N1205" s="22"/>
      <c r="O1205" s="22"/>
      <c r="P1205" s="25" t="str">
        <f aca="false">IF(OR(O1205="",O1205="Sin información"),"",IFERROR(INDEX(Listas!$B$2:$B$9,MATCH(O1205,Listas!$A$2:$A$9,0)),""))</f>
        <v/>
      </c>
      <c r="Q1205" s="25" t="str">
        <f aca="false">IF(OR(O1205="",O1205="Sin información"),"",IFERROR(INDEX(Listas!$C$2:$C$9,MATCH(O1205,Listas!$A$2:$A$9,0)),""))</f>
        <v/>
      </c>
      <c r="R1205" s="22"/>
      <c r="S1205" s="22"/>
      <c r="T1205" s="25" t="str">
        <f aca="false">IF(S1205="","",IFERROR(INDEX(Empleadores!$B$2:$B$601,MATCH(S1205,Empleadores!$A$2:$A$601,0)),"No encontrado"))</f>
        <v/>
      </c>
      <c r="U1205" s="25" t="str">
        <f aca="false">IF(C1205="","",IF(V1205="","No",IF(Config!$C$4-V1205&lt;=Config!$C$15,"Sí","No")))</f>
        <v/>
      </c>
      <c r="V1205" s="23"/>
      <c r="W1205" s="22"/>
      <c r="X1205" s="22"/>
      <c r="Y1205" s="22"/>
      <c r="Z1205" s="27"/>
      <c r="AA1205" s="22"/>
      <c r="AB1205" s="22"/>
    </row>
    <row r="1206" customFormat="false" ht="15" hidden="false" customHeight="false" outlineLevel="0" collapsed="false">
      <c r="A1206" s="22"/>
      <c r="B1206" s="22"/>
      <c r="C1206" s="22"/>
      <c r="D1206" s="22"/>
      <c r="E1206" s="22"/>
      <c r="F1206" s="22"/>
      <c r="G1206" s="23"/>
      <c r="H1206" s="24" t="str">
        <f aca="false">IF(G1206="","",ROUND((Config!$C$4-G1206)/365.25,2))</f>
        <v/>
      </c>
      <c r="I1206" s="25" t="str">
        <f aca="false">IF(H1206="","",IF(H1206&lt;=1,"Tramo 1",IF(H1206&lt;=3,"Tramo 2",IF(H1206&lt;=5,"Tramo 3","Tramo 4"))))</f>
        <v/>
      </c>
      <c r="J1206" s="22"/>
      <c r="K1206" s="22"/>
      <c r="L1206" s="22"/>
      <c r="M1206" s="26"/>
      <c r="N1206" s="22"/>
      <c r="O1206" s="22"/>
      <c r="P1206" s="25" t="str">
        <f aca="false">IF(OR(O1206="",O1206="Sin información"),"",IFERROR(INDEX(Listas!$B$2:$B$9,MATCH(O1206,Listas!$A$2:$A$9,0)),""))</f>
        <v/>
      </c>
      <c r="Q1206" s="25" t="str">
        <f aca="false">IF(OR(O1206="",O1206="Sin información"),"",IFERROR(INDEX(Listas!$C$2:$C$9,MATCH(O1206,Listas!$A$2:$A$9,0)),""))</f>
        <v/>
      </c>
      <c r="R1206" s="22"/>
      <c r="S1206" s="22"/>
      <c r="T1206" s="25" t="str">
        <f aca="false">IF(S1206="","",IFERROR(INDEX(Empleadores!$B$2:$B$601,MATCH(S1206,Empleadores!$A$2:$A$601,0)),"No encontrado"))</f>
        <v/>
      </c>
      <c r="U1206" s="25" t="str">
        <f aca="false">IF(C1206="","",IF(V1206="","No",IF(Config!$C$4-V1206&lt;=Config!$C$15,"Sí","No")))</f>
        <v/>
      </c>
      <c r="V1206" s="23"/>
      <c r="W1206" s="22"/>
      <c r="X1206" s="22"/>
      <c r="Y1206" s="22"/>
      <c r="Z1206" s="27"/>
      <c r="AA1206" s="22"/>
      <c r="AB1206" s="22"/>
    </row>
    <row r="1207" customFormat="false" ht="15" hidden="false" customHeight="false" outlineLevel="0" collapsed="false">
      <c r="A1207" s="22"/>
      <c r="B1207" s="22"/>
      <c r="C1207" s="22"/>
      <c r="D1207" s="22"/>
      <c r="E1207" s="22"/>
      <c r="F1207" s="22"/>
      <c r="G1207" s="23"/>
      <c r="H1207" s="24" t="str">
        <f aca="false">IF(G1207="","",ROUND((Config!$C$4-G1207)/365.25,2))</f>
        <v/>
      </c>
      <c r="I1207" s="25" t="str">
        <f aca="false">IF(H1207="","",IF(H1207&lt;=1,"Tramo 1",IF(H1207&lt;=3,"Tramo 2",IF(H1207&lt;=5,"Tramo 3","Tramo 4"))))</f>
        <v/>
      </c>
      <c r="J1207" s="22"/>
      <c r="K1207" s="22"/>
      <c r="L1207" s="22"/>
      <c r="M1207" s="26"/>
      <c r="N1207" s="22"/>
      <c r="O1207" s="22"/>
      <c r="P1207" s="25" t="str">
        <f aca="false">IF(OR(O1207="",O1207="Sin información"),"",IFERROR(INDEX(Listas!$B$2:$B$9,MATCH(O1207,Listas!$A$2:$A$9,0)),""))</f>
        <v/>
      </c>
      <c r="Q1207" s="25" t="str">
        <f aca="false">IF(OR(O1207="",O1207="Sin información"),"",IFERROR(INDEX(Listas!$C$2:$C$9,MATCH(O1207,Listas!$A$2:$A$9,0)),""))</f>
        <v/>
      </c>
      <c r="R1207" s="22"/>
      <c r="S1207" s="22"/>
      <c r="T1207" s="25" t="str">
        <f aca="false">IF(S1207="","",IFERROR(INDEX(Empleadores!$B$2:$B$601,MATCH(S1207,Empleadores!$A$2:$A$601,0)),"No encontrado"))</f>
        <v/>
      </c>
      <c r="U1207" s="25" t="str">
        <f aca="false">IF(C1207="","",IF(V1207="","No",IF(Config!$C$4-V1207&lt;=Config!$C$15,"Sí","No")))</f>
        <v/>
      </c>
      <c r="V1207" s="23"/>
      <c r="W1207" s="22"/>
      <c r="X1207" s="22"/>
      <c r="Y1207" s="22"/>
      <c r="Z1207" s="27"/>
      <c r="AA1207" s="22"/>
      <c r="AB1207" s="22"/>
    </row>
    <row r="1208" customFormat="false" ht="15" hidden="false" customHeight="false" outlineLevel="0" collapsed="false">
      <c r="A1208" s="22"/>
      <c r="B1208" s="22"/>
      <c r="C1208" s="22"/>
      <c r="D1208" s="22"/>
      <c r="E1208" s="22"/>
      <c r="F1208" s="22"/>
      <c r="G1208" s="23"/>
      <c r="H1208" s="24" t="str">
        <f aca="false">IF(G1208="","",ROUND((Config!$C$4-G1208)/365.25,2))</f>
        <v/>
      </c>
      <c r="I1208" s="25" t="str">
        <f aca="false">IF(H1208="","",IF(H1208&lt;=1,"Tramo 1",IF(H1208&lt;=3,"Tramo 2",IF(H1208&lt;=5,"Tramo 3","Tramo 4"))))</f>
        <v/>
      </c>
      <c r="J1208" s="22"/>
      <c r="K1208" s="22"/>
      <c r="L1208" s="22"/>
      <c r="M1208" s="26"/>
      <c r="N1208" s="22"/>
      <c r="O1208" s="22"/>
      <c r="P1208" s="25" t="str">
        <f aca="false">IF(OR(O1208="",O1208="Sin información"),"",IFERROR(INDEX(Listas!$B$2:$B$9,MATCH(O1208,Listas!$A$2:$A$9,0)),""))</f>
        <v/>
      </c>
      <c r="Q1208" s="25" t="str">
        <f aca="false">IF(OR(O1208="",O1208="Sin información"),"",IFERROR(INDEX(Listas!$C$2:$C$9,MATCH(O1208,Listas!$A$2:$A$9,0)),""))</f>
        <v/>
      </c>
      <c r="R1208" s="22"/>
      <c r="S1208" s="22"/>
      <c r="T1208" s="25" t="str">
        <f aca="false">IF(S1208="","",IFERROR(INDEX(Empleadores!$B$2:$B$601,MATCH(S1208,Empleadores!$A$2:$A$601,0)),"No encontrado"))</f>
        <v/>
      </c>
      <c r="U1208" s="25" t="str">
        <f aca="false">IF(C1208="","",IF(V1208="","No",IF(Config!$C$4-V1208&lt;=Config!$C$15,"Sí","No")))</f>
        <v/>
      </c>
      <c r="V1208" s="23"/>
      <c r="W1208" s="22"/>
      <c r="X1208" s="22"/>
      <c r="Y1208" s="22"/>
      <c r="Z1208" s="27"/>
      <c r="AA1208" s="22"/>
      <c r="AB1208" s="22"/>
    </row>
    <row r="1209" customFormat="false" ht="15" hidden="false" customHeight="false" outlineLevel="0" collapsed="false">
      <c r="A1209" s="22"/>
      <c r="B1209" s="22"/>
      <c r="C1209" s="22"/>
      <c r="D1209" s="22"/>
      <c r="E1209" s="22"/>
      <c r="F1209" s="22"/>
      <c r="G1209" s="23"/>
      <c r="H1209" s="24" t="str">
        <f aca="false">IF(G1209="","",ROUND((Config!$C$4-G1209)/365.25,2))</f>
        <v/>
      </c>
      <c r="I1209" s="25" t="str">
        <f aca="false">IF(H1209="","",IF(H1209&lt;=1,"Tramo 1",IF(H1209&lt;=3,"Tramo 2",IF(H1209&lt;=5,"Tramo 3","Tramo 4"))))</f>
        <v/>
      </c>
      <c r="J1209" s="22"/>
      <c r="K1209" s="22"/>
      <c r="L1209" s="22"/>
      <c r="M1209" s="26"/>
      <c r="N1209" s="22"/>
      <c r="O1209" s="22"/>
      <c r="P1209" s="25" t="str">
        <f aca="false">IF(OR(O1209="",O1209="Sin información"),"",IFERROR(INDEX(Listas!$B$2:$B$9,MATCH(O1209,Listas!$A$2:$A$9,0)),""))</f>
        <v/>
      </c>
      <c r="Q1209" s="25" t="str">
        <f aca="false">IF(OR(O1209="",O1209="Sin información"),"",IFERROR(INDEX(Listas!$C$2:$C$9,MATCH(O1209,Listas!$A$2:$A$9,0)),""))</f>
        <v/>
      </c>
      <c r="R1209" s="22"/>
      <c r="S1209" s="22"/>
      <c r="T1209" s="25" t="str">
        <f aca="false">IF(S1209="","",IFERROR(INDEX(Empleadores!$B$2:$B$601,MATCH(S1209,Empleadores!$A$2:$A$601,0)),"No encontrado"))</f>
        <v/>
      </c>
      <c r="U1209" s="25" t="str">
        <f aca="false">IF(C1209="","",IF(V1209="","No",IF(Config!$C$4-V1209&lt;=Config!$C$15,"Sí","No")))</f>
        <v/>
      </c>
      <c r="V1209" s="23"/>
      <c r="W1209" s="22"/>
      <c r="X1209" s="22"/>
      <c r="Y1209" s="22"/>
      <c r="Z1209" s="27"/>
      <c r="AA1209" s="22"/>
      <c r="AB1209" s="22"/>
    </row>
    <row r="1210" customFormat="false" ht="15" hidden="false" customHeight="false" outlineLevel="0" collapsed="false">
      <c r="A1210" s="22"/>
      <c r="B1210" s="22"/>
      <c r="C1210" s="22"/>
      <c r="D1210" s="22"/>
      <c r="E1210" s="22"/>
      <c r="F1210" s="22"/>
      <c r="G1210" s="23"/>
      <c r="H1210" s="24" t="str">
        <f aca="false">IF(G1210="","",ROUND((Config!$C$4-G1210)/365.25,2))</f>
        <v/>
      </c>
      <c r="I1210" s="25" t="str">
        <f aca="false">IF(H1210="","",IF(H1210&lt;=1,"Tramo 1",IF(H1210&lt;=3,"Tramo 2",IF(H1210&lt;=5,"Tramo 3","Tramo 4"))))</f>
        <v/>
      </c>
      <c r="J1210" s="22"/>
      <c r="K1210" s="22"/>
      <c r="L1210" s="22"/>
      <c r="M1210" s="26"/>
      <c r="N1210" s="22"/>
      <c r="O1210" s="22"/>
      <c r="P1210" s="25" t="str">
        <f aca="false">IF(OR(O1210="",O1210="Sin información"),"",IFERROR(INDEX(Listas!$B$2:$B$9,MATCH(O1210,Listas!$A$2:$A$9,0)),""))</f>
        <v/>
      </c>
      <c r="Q1210" s="25" t="str">
        <f aca="false">IF(OR(O1210="",O1210="Sin información"),"",IFERROR(INDEX(Listas!$C$2:$C$9,MATCH(O1210,Listas!$A$2:$A$9,0)),""))</f>
        <v/>
      </c>
      <c r="R1210" s="22"/>
      <c r="S1210" s="22"/>
      <c r="T1210" s="25" t="str">
        <f aca="false">IF(S1210="","",IFERROR(INDEX(Empleadores!$B$2:$B$601,MATCH(S1210,Empleadores!$A$2:$A$601,0)),"No encontrado"))</f>
        <v/>
      </c>
      <c r="U1210" s="25" t="str">
        <f aca="false">IF(C1210="","",IF(V1210="","No",IF(Config!$C$4-V1210&lt;=Config!$C$15,"Sí","No")))</f>
        <v/>
      </c>
      <c r="V1210" s="23"/>
      <c r="W1210" s="22"/>
      <c r="X1210" s="22"/>
      <c r="Y1210" s="22"/>
      <c r="Z1210" s="27"/>
      <c r="AA1210" s="22"/>
      <c r="AB1210" s="22"/>
    </row>
    <row r="1211" customFormat="false" ht="15" hidden="false" customHeight="false" outlineLevel="0" collapsed="false">
      <c r="A1211" s="22"/>
      <c r="B1211" s="22"/>
      <c r="C1211" s="22"/>
      <c r="D1211" s="22"/>
      <c r="E1211" s="22"/>
      <c r="F1211" s="22"/>
      <c r="G1211" s="23"/>
      <c r="H1211" s="24" t="str">
        <f aca="false">IF(G1211="","",ROUND((Config!$C$4-G1211)/365.25,2))</f>
        <v/>
      </c>
      <c r="I1211" s="25" t="str">
        <f aca="false">IF(H1211="","",IF(H1211&lt;=1,"Tramo 1",IF(H1211&lt;=3,"Tramo 2",IF(H1211&lt;=5,"Tramo 3","Tramo 4"))))</f>
        <v/>
      </c>
      <c r="J1211" s="22"/>
      <c r="K1211" s="22"/>
      <c r="L1211" s="22"/>
      <c r="M1211" s="26"/>
      <c r="N1211" s="22"/>
      <c r="O1211" s="22"/>
      <c r="P1211" s="25" t="str">
        <f aca="false">IF(OR(O1211="",O1211="Sin información"),"",IFERROR(INDEX(Listas!$B$2:$B$9,MATCH(O1211,Listas!$A$2:$A$9,0)),""))</f>
        <v/>
      </c>
      <c r="Q1211" s="25" t="str">
        <f aca="false">IF(OR(O1211="",O1211="Sin información"),"",IFERROR(INDEX(Listas!$C$2:$C$9,MATCH(O1211,Listas!$A$2:$A$9,0)),""))</f>
        <v/>
      </c>
      <c r="R1211" s="22"/>
      <c r="S1211" s="22"/>
      <c r="T1211" s="25" t="str">
        <f aca="false">IF(S1211="","",IFERROR(INDEX(Empleadores!$B$2:$B$601,MATCH(S1211,Empleadores!$A$2:$A$601,0)),"No encontrado"))</f>
        <v/>
      </c>
      <c r="U1211" s="25" t="str">
        <f aca="false">IF(C1211="","",IF(V1211="","No",IF(Config!$C$4-V1211&lt;=Config!$C$15,"Sí","No")))</f>
        <v/>
      </c>
      <c r="V1211" s="23"/>
      <c r="W1211" s="22"/>
      <c r="X1211" s="22"/>
      <c r="Y1211" s="22"/>
      <c r="Z1211" s="27"/>
      <c r="AA1211" s="22"/>
      <c r="AB1211" s="22"/>
    </row>
    <row r="1212" customFormat="false" ht="15" hidden="false" customHeight="false" outlineLevel="0" collapsed="false">
      <c r="A1212" s="22"/>
      <c r="B1212" s="22"/>
      <c r="C1212" s="22"/>
      <c r="D1212" s="22"/>
      <c r="E1212" s="22"/>
      <c r="F1212" s="22"/>
      <c r="G1212" s="23"/>
      <c r="H1212" s="24" t="str">
        <f aca="false">IF(G1212="","",ROUND((Config!$C$4-G1212)/365.25,2))</f>
        <v/>
      </c>
      <c r="I1212" s="25" t="str">
        <f aca="false">IF(H1212="","",IF(H1212&lt;=1,"Tramo 1",IF(H1212&lt;=3,"Tramo 2",IF(H1212&lt;=5,"Tramo 3","Tramo 4"))))</f>
        <v/>
      </c>
      <c r="J1212" s="22"/>
      <c r="K1212" s="22"/>
      <c r="L1212" s="22"/>
      <c r="M1212" s="26"/>
      <c r="N1212" s="22"/>
      <c r="O1212" s="22"/>
      <c r="P1212" s="25" t="str">
        <f aca="false">IF(OR(O1212="",O1212="Sin información"),"",IFERROR(INDEX(Listas!$B$2:$B$9,MATCH(O1212,Listas!$A$2:$A$9,0)),""))</f>
        <v/>
      </c>
      <c r="Q1212" s="25" t="str">
        <f aca="false">IF(OR(O1212="",O1212="Sin información"),"",IFERROR(INDEX(Listas!$C$2:$C$9,MATCH(O1212,Listas!$A$2:$A$9,0)),""))</f>
        <v/>
      </c>
      <c r="R1212" s="22"/>
      <c r="S1212" s="22"/>
      <c r="T1212" s="25" t="str">
        <f aca="false">IF(S1212="","",IFERROR(INDEX(Empleadores!$B$2:$B$601,MATCH(S1212,Empleadores!$A$2:$A$601,0)),"No encontrado"))</f>
        <v/>
      </c>
      <c r="U1212" s="25" t="str">
        <f aca="false">IF(C1212="","",IF(V1212="","No",IF(Config!$C$4-V1212&lt;=Config!$C$15,"Sí","No")))</f>
        <v/>
      </c>
      <c r="V1212" s="23"/>
      <c r="W1212" s="22"/>
      <c r="X1212" s="22"/>
      <c r="Y1212" s="22"/>
      <c r="Z1212" s="27"/>
      <c r="AA1212" s="22"/>
      <c r="AB1212" s="22"/>
    </row>
    <row r="1213" customFormat="false" ht="15" hidden="false" customHeight="false" outlineLevel="0" collapsed="false">
      <c r="A1213" s="22"/>
      <c r="B1213" s="22"/>
      <c r="C1213" s="22"/>
      <c r="D1213" s="22"/>
      <c r="E1213" s="22"/>
      <c r="F1213" s="22"/>
      <c r="G1213" s="23"/>
      <c r="H1213" s="24" t="str">
        <f aca="false">IF(G1213="","",ROUND((Config!$C$4-G1213)/365.25,2))</f>
        <v/>
      </c>
      <c r="I1213" s="25" t="str">
        <f aca="false">IF(H1213="","",IF(H1213&lt;=1,"Tramo 1",IF(H1213&lt;=3,"Tramo 2",IF(H1213&lt;=5,"Tramo 3","Tramo 4"))))</f>
        <v/>
      </c>
      <c r="J1213" s="22"/>
      <c r="K1213" s="22"/>
      <c r="L1213" s="22"/>
      <c r="M1213" s="26"/>
      <c r="N1213" s="22"/>
      <c r="O1213" s="22"/>
      <c r="P1213" s="25" t="str">
        <f aca="false">IF(OR(O1213="",O1213="Sin información"),"",IFERROR(INDEX(Listas!$B$2:$B$9,MATCH(O1213,Listas!$A$2:$A$9,0)),""))</f>
        <v/>
      </c>
      <c r="Q1213" s="25" t="str">
        <f aca="false">IF(OR(O1213="",O1213="Sin información"),"",IFERROR(INDEX(Listas!$C$2:$C$9,MATCH(O1213,Listas!$A$2:$A$9,0)),""))</f>
        <v/>
      </c>
      <c r="R1213" s="22"/>
      <c r="S1213" s="22"/>
      <c r="T1213" s="25" t="str">
        <f aca="false">IF(S1213="","",IFERROR(INDEX(Empleadores!$B$2:$B$601,MATCH(S1213,Empleadores!$A$2:$A$601,0)),"No encontrado"))</f>
        <v/>
      </c>
      <c r="U1213" s="25" t="str">
        <f aca="false">IF(C1213="","",IF(V1213="","No",IF(Config!$C$4-V1213&lt;=Config!$C$15,"Sí","No")))</f>
        <v/>
      </c>
      <c r="V1213" s="23"/>
      <c r="W1213" s="22"/>
      <c r="X1213" s="22"/>
      <c r="Y1213" s="22"/>
      <c r="Z1213" s="27"/>
      <c r="AA1213" s="22"/>
      <c r="AB1213" s="22"/>
    </row>
    <row r="1214" customFormat="false" ht="15" hidden="false" customHeight="false" outlineLevel="0" collapsed="false">
      <c r="A1214" s="22"/>
      <c r="B1214" s="22"/>
      <c r="C1214" s="22"/>
      <c r="D1214" s="22"/>
      <c r="E1214" s="22"/>
      <c r="F1214" s="22"/>
      <c r="G1214" s="23"/>
      <c r="H1214" s="24" t="str">
        <f aca="false">IF(G1214="","",ROUND((Config!$C$4-G1214)/365.25,2))</f>
        <v/>
      </c>
      <c r="I1214" s="25" t="str">
        <f aca="false">IF(H1214="","",IF(H1214&lt;=1,"Tramo 1",IF(H1214&lt;=3,"Tramo 2",IF(H1214&lt;=5,"Tramo 3","Tramo 4"))))</f>
        <v/>
      </c>
      <c r="J1214" s="22"/>
      <c r="K1214" s="22"/>
      <c r="L1214" s="22"/>
      <c r="M1214" s="26"/>
      <c r="N1214" s="22"/>
      <c r="O1214" s="22"/>
      <c r="P1214" s="25" t="str">
        <f aca="false">IF(OR(O1214="",O1214="Sin información"),"",IFERROR(INDEX(Listas!$B$2:$B$9,MATCH(O1214,Listas!$A$2:$A$9,0)),""))</f>
        <v/>
      </c>
      <c r="Q1214" s="25" t="str">
        <f aca="false">IF(OR(O1214="",O1214="Sin información"),"",IFERROR(INDEX(Listas!$C$2:$C$9,MATCH(O1214,Listas!$A$2:$A$9,0)),""))</f>
        <v/>
      </c>
      <c r="R1214" s="22"/>
      <c r="S1214" s="22"/>
      <c r="T1214" s="25" t="str">
        <f aca="false">IF(S1214="","",IFERROR(INDEX(Empleadores!$B$2:$B$601,MATCH(S1214,Empleadores!$A$2:$A$601,0)),"No encontrado"))</f>
        <v/>
      </c>
      <c r="U1214" s="25" t="str">
        <f aca="false">IF(C1214="","",IF(V1214="","No",IF(Config!$C$4-V1214&lt;=Config!$C$15,"Sí","No")))</f>
        <v/>
      </c>
      <c r="V1214" s="23"/>
      <c r="W1214" s="22"/>
      <c r="X1214" s="22"/>
      <c r="Y1214" s="22"/>
      <c r="Z1214" s="27"/>
      <c r="AA1214" s="22"/>
      <c r="AB1214" s="22"/>
    </row>
    <row r="1215" customFormat="false" ht="15" hidden="false" customHeight="false" outlineLevel="0" collapsed="false">
      <c r="A1215" s="22"/>
      <c r="B1215" s="22"/>
      <c r="C1215" s="22"/>
      <c r="D1215" s="22"/>
      <c r="E1215" s="22"/>
      <c r="F1215" s="22"/>
      <c r="G1215" s="23"/>
      <c r="H1215" s="24" t="str">
        <f aca="false">IF(G1215="","",ROUND((Config!$C$4-G1215)/365.25,2))</f>
        <v/>
      </c>
      <c r="I1215" s="25" t="str">
        <f aca="false">IF(H1215="","",IF(H1215&lt;=1,"Tramo 1",IF(H1215&lt;=3,"Tramo 2",IF(H1215&lt;=5,"Tramo 3","Tramo 4"))))</f>
        <v/>
      </c>
      <c r="J1215" s="22"/>
      <c r="K1215" s="22"/>
      <c r="L1215" s="22"/>
      <c r="M1215" s="26"/>
      <c r="N1215" s="22"/>
      <c r="O1215" s="22"/>
      <c r="P1215" s="25" t="str">
        <f aca="false">IF(OR(O1215="",O1215="Sin información"),"",IFERROR(INDEX(Listas!$B$2:$B$9,MATCH(O1215,Listas!$A$2:$A$9,0)),""))</f>
        <v/>
      </c>
      <c r="Q1215" s="25" t="str">
        <f aca="false">IF(OR(O1215="",O1215="Sin información"),"",IFERROR(INDEX(Listas!$C$2:$C$9,MATCH(O1215,Listas!$A$2:$A$9,0)),""))</f>
        <v/>
      </c>
      <c r="R1215" s="22"/>
      <c r="S1215" s="22"/>
      <c r="T1215" s="25" t="str">
        <f aca="false">IF(S1215="","",IFERROR(INDEX(Empleadores!$B$2:$B$601,MATCH(S1215,Empleadores!$A$2:$A$601,0)),"No encontrado"))</f>
        <v/>
      </c>
      <c r="U1215" s="25" t="str">
        <f aca="false">IF(C1215="","",IF(V1215="","No",IF(Config!$C$4-V1215&lt;=Config!$C$15,"Sí","No")))</f>
        <v/>
      </c>
      <c r="V1215" s="23"/>
      <c r="W1215" s="22"/>
      <c r="X1215" s="22"/>
      <c r="Y1215" s="22"/>
      <c r="Z1215" s="27"/>
      <c r="AA1215" s="22"/>
      <c r="AB1215" s="22"/>
    </row>
    <row r="1216" customFormat="false" ht="15" hidden="false" customHeight="false" outlineLevel="0" collapsed="false">
      <c r="A1216" s="22"/>
      <c r="B1216" s="22"/>
      <c r="C1216" s="22"/>
      <c r="D1216" s="22"/>
      <c r="E1216" s="22"/>
      <c r="F1216" s="22"/>
      <c r="G1216" s="23"/>
      <c r="H1216" s="24" t="str">
        <f aca="false">IF(G1216="","",ROUND((Config!$C$4-G1216)/365.25,2))</f>
        <v/>
      </c>
      <c r="I1216" s="25" t="str">
        <f aca="false">IF(H1216="","",IF(H1216&lt;=1,"Tramo 1",IF(H1216&lt;=3,"Tramo 2",IF(H1216&lt;=5,"Tramo 3","Tramo 4"))))</f>
        <v/>
      </c>
      <c r="J1216" s="22"/>
      <c r="K1216" s="22"/>
      <c r="L1216" s="22"/>
      <c r="M1216" s="26"/>
      <c r="N1216" s="22"/>
      <c r="O1216" s="22"/>
      <c r="P1216" s="25" t="str">
        <f aca="false">IF(OR(O1216="",O1216="Sin información"),"",IFERROR(INDEX(Listas!$B$2:$B$9,MATCH(O1216,Listas!$A$2:$A$9,0)),""))</f>
        <v/>
      </c>
      <c r="Q1216" s="25" t="str">
        <f aca="false">IF(OR(O1216="",O1216="Sin información"),"",IFERROR(INDEX(Listas!$C$2:$C$9,MATCH(O1216,Listas!$A$2:$A$9,0)),""))</f>
        <v/>
      </c>
      <c r="R1216" s="22"/>
      <c r="S1216" s="22"/>
      <c r="T1216" s="25" t="str">
        <f aca="false">IF(S1216="","",IFERROR(INDEX(Empleadores!$B$2:$B$601,MATCH(S1216,Empleadores!$A$2:$A$601,0)),"No encontrado"))</f>
        <v/>
      </c>
      <c r="U1216" s="25" t="str">
        <f aca="false">IF(C1216="","",IF(V1216="","No",IF(Config!$C$4-V1216&lt;=Config!$C$15,"Sí","No")))</f>
        <v/>
      </c>
      <c r="V1216" s="23"/>
      <c r="W1216" s="22"/>
      <c r="X1216" s="22"/>
      <c r="Y1216" s="22"/>
      <c r="Z1216" s="27"/>
      <c r="AA1216" s="22"/>
      <c r="AB1216" s="22"/>
    </row>
    <row r="1217" customFormat="false" ht="15" hidden="false" customHeight="false" outlineLevel="0" collapsed="false">
      <c r="A1217" s="22"/>
      <c r="B1217" s="22"/>
      <c r="C1217" s="22"/>
      <c r="D1217" s="22"/>
      <c r="E1217" s="22"/>
      <c r="F1217" s="22"/>
      <c r="G1217" s="23"/>
      <c r="H1217" s="24" t="str">
        <f aca="false">IF(G1217="","",ROUND((Config!$C$4-G1217)/365.25,2))</f>
        <v/>
      </c>
      <c r="I1217" s="25" t="str">
        <f aca="false">IF(H1217="","",IF(H1217&lt;=1,"Tramo 1",IF(H1217&lt;=3,"Tramo 2",IF(H1217&lt;=5,"Tramo 3","Tramo 4"))))</f>
        <v/>
      </c>
      <c r="J1217" s="22"/>
      <c r="K1217" s="22"/>
      <c r="L1217" s="22"/>
      <c r="M1217" s="26"/>
      <c r="N1217" s="22"/>
      <c r="O1217" s="22"/>
      <c r="P1217" s="25" t="str">
        <f aca="false">IF(OR(O1217="",O1217="Sin información"),"",IFERROR(INDEX(Listas!$B$2:$B$9,MATCH(O1217,Listas!$A$2:$A$9,0)),""))</f>
        <v/>
      </c>
      <c r="Q1217" s="25" t="str">
        <f aca="false">IF(OR(O1217="",O1217="Sin información"),"",IFERROR(INDEX(Listas!$C$2:$C$9,MATCH(O1217,Listas!$A$2:$A$9,0)),""))</f>
        <v/>
      </c>
      <c r="R1217" s="22"/>
      <c r="S1217" s="22"/>
      <c r="T1217" s="25" t="str">
        <f aca="false">IF(S1217="","",IFERROR(INDEX(Empleadores!$B$2:$B$601,MATCH(S1217,Empleadores!$A$2:$A$601,0)),"No encontrado"))</f>
        <v/>
      </c>
      <c r="U1217" s="25" t="str">
        <f aca="false">IF(C1217="","",IF(V1217="","No",IF(Config!$C$4-V1217&lt;=Config!$C$15,"Sí","No")))</f>
        <v/>
      </c>
      <c r="V1217" s="23"/>
      <c r="W1217" s="22"/>
      <c r="X1217" s="22"/>
      <c r="Y1217" s="22"/>
      <c r="Z1217" s="27"/>
      <c r="AA1217" s="22"/>
      <c r="AB1217" s="22"/>
    </row>
    <row r="1218" customFormat="false" ht="15" hidden="false" customHeight="false" outlineLevel="0" collapsed="false">
      <c r="A1218" s="22"/>
      <c r="B1218" s="22"/>
      <c r="C1218" s="22"/>
      <c r="D1218" s="22"/>
      <c r="E1218" s="22"/>
      <c r="F1218" s="22"/>
      <c r="G1218" s="23"/>
      <c r="H1218" s="24" t="str">
        <f aca="false">IF(G1218="","",ROUND((Config!$C$4-G1218)/365.25,2))</f>
        <v/>
      </c>
      <c r="I1218" s="25" t="str">
        <f aca="false">IF(H1218="","",IF(H1218&lt;=1,"Tramo 1",IF(H1218&lt;=3,"Tramo 2",IF(H1218&lt;=5,"Tramo 3","Tramo 4"))))</f>
        <v/>
      </c>
      <c r="J1218" s="22"/>
      <c r="K1218" s="22"/>
      <c r="L1218" s="22"/>
      <c r="M1218" s="26"/>
      <c r="N1218" s="22"/>
      <c r="O1218" s="22"/>
      <c r="P1218" s="25" t="str">
        <f aca="false">IF(OR(O1218="",O1218="Sin información"),"",IFERROR(INDEX(Listas!$B$2:$B$9,MATCH(O1218,Listas!$A$2:$A$9,0)),""))</f>
        <v/>
      </c>
      <c r="Q1218" s="25" t="str">
        <f aca="false">IF(OR(O1218="",O1218="Sin información"),"",IFERROR(INDEX(Listas!$C$2:$C$9,MATCH(O1218,Listas!$A$2:$A$9,0)),""))</f>
        <v/>
      </c>
      <c r="R1218" s="22"/>
      <c r="S1218" s="22"/>
      <c r="T1218" s="25" t="str">
        <f aca="false">IF(S1218="","",IFERROR(INDEX(Empleadores!$B$2:$B$601,MATCH(S1218,Empleadores!$A$2:$A$601,0)),"No encontrado"))</f>
        <v/>
      </c>
      <c r="U1218" s="25" t="str">
        <f aca="false">IF(C1218="","",IF(V1218="","No",IF(Config!$C$4-V1218&lt;=Config!$C$15,"Sí","No")))</f>
        <v/>
      </c>
      <c r="V1218" s="23"/>
      <c r="W1218" s="22"/>
      <c r="X1218" s="22"/>
      <c r="Y1218" s="22"/>
      <c r="Z1218" s="27"/>
      <c r="AA1218" s="22"/>
      <c r="AB1218" s="22"/>
    </row>
    <row r="1219" customFormat="false" ht="15" hidden="false" customHeight="false" outlineLevel="0" collapsed="false">
      <c r="A1219" s="22"/>
      <c r="B1219" s="22"/>
      <c r="C1219" s="22"/>
      <c r="D1219" s="22"/>
      <c r="E1219" s="22"/>
      <c r="F1219" s="22"/>
      <c r="G1219" s="23"/>
      <c r="H1219" s="24" t="str">
        <f aca="false">IF(G1219="","",ROUND((Config!$C$4-G1219)/365.25,2))</f>
        <v/>
      </c>
      <c r="I1219" s="25" t="str">
        <f aca="false">IF(H1219="","",IF(H1219&lt;=1,"Tramo 1",IF(H1219&lt;=3,"Tramo 2",IF(H1219&lt;=5,"Tramo 3","Tramo 4"))))</f>
        <v/>
      </c>
      <c r="J1219" s="22"/>
      <c r="K1219" s="22"/>
      <c r="L1219" s="22"/>
      <c r="M1219" s="26"/>
      <c r="N1219" s="22"/>
      <c r="O1219" s="22"/>
      <c r="P1219" s="25" t="str">
        <f aca="false">IF(OR(O1219="",O1219="Sin información"),"",IFERROR(INDEX(Listas!$B$2:$B$9,MATCH(O1219,Listas!$A$2:$A$9,0)),""))</f>
        <v/>
      </c>
      <c r="Q1219" s="25" t="str">
        <f aca="false">IF(OR(O1219="",O1219="Sin información"),"",IFERROR(INDEX(Listas!$C$2:$C$9,MATCH(O1219,Listas!$A$2:$A$9,0)),""))</f>
        <v/>
      </c>
      <c r="R1219" s="22"/>
      <c r="S1219" s="22"/>
      <c r="T1219" s="25" t="str">
        <f aca="false">IF(S1219="","",IFERROR(INDEX(Empleadores!$B$2:$B$601,MATCH(S1219,Empleadores!$A$2:$A$601,0)),"No encontrado"))</f>
        <v/>
      </c>
      <c r="U1219" s="25" t="str">
        <f aca="false">IF(C1219="","",IF(V1219="","No",IF(Config!$C$4-V1219&lt;=Config!$C$15,"Sí","No")))</f>
        <v/>
      </c>
      <c r="V1219" s="23"/>
      <c r="W1219" s="22"/>
      <c r="X1219" s="22"/>
      <c r="Y1219" s="22"/>
      <c r="Z1219" s="27"/>
      <c r="AA1219" s="22"/>
      <c r="AB1219" s="22"/>
    </row>
    <row r="1220" customFormat="false" ht="15" hidden="false" customHeight="false" outlineLevel="0" collapsed="false">
      <c r="A1220" s="22"/>
      <c r="B1220" s="22"/>
      <c r="C1220" s="22"/>
      <c r="D1220" s="22"/>
      <c r="E1220" s="22"/>
      <c r="F1220" s="22"/>
      <c r="G1220" s="23"/>
      <c r="H1220" s="24" t="str">
        <f aca="false">IF(G1220="","",ROUND((Config!$C$4-G1220)/365.25,2))</f>
        <v/>
      </c>
      <c r="I1220" s="25" t="str">
        <f aca="false">IF(H1220="","",IF(H1220&lt;=1,"Tramo 1",IF(H1220&lt;=3,"Tramo 2",IF(H1220&lt;=5,"Tramo 3","Tramo 4"))))</f>
        <v/>
      </c>
      <c r="J1220" s="22"/>
      <c r="K1220" s="22"/>
      <c r="L1220" s="22"/>
      <c r="M1220" s="26"/>
      <c r="N1220" s="22"/>
      <c r="O1220" s="22"/>
      <c r="P1220" s="25" t="str">
        <f aca="false">IF(OR(O1220="",O1220="Sin información"),"",IFERROR(INDEX(Listas!$B$2:$B$9,MATCH(O1220,Listas!$A$2:$A$9,0)),""))</f>
        <v/>
      </c>
      <c r="Q1220" s="25" t="str">
        <f aca="false">IF(OR(O1220="",O1220="Sin información"),"",IFERROR(INDEX(Listas!$C$2:$C$9,MATCH(O1220,Listas!$A$2:$A$9,0)),""))</f>
        <v/>
      </c>
      <c r="R1220" s="22"/>
      <c r="S1220" s="22"/>
      <c r="T1220" s="25" t="str">
        <f aca="false">IF(S1220="","",IFERROR(INDEX(Empleadores!$B$2:$B$601,MATCH(S1220,Empleadores!$A$2:$A$601,0)),"No encontrado"))</f>
        <v/>
      </c>
      <c r="U1220" s="25" t="str">
        <f aca="false">IF(C1220="","",IF(V1220="","No",IF(Config!$C$4-V1220&lt;=Config!$C$15,"Sí","No")))</f>
        <v/>
      </c>
      <c r="V1220" s="23"/>
      <c r="W1220" s="22"/>
      <c r="X1220" s="22"/>
      <c r="Y1220" s="22"/>
      <c r="Z1220" s="27"/>
      <c r="AA1220" s="22"/>
      <c r="AB1220" s="22"/>
    </row>
    <row r="1221" customFormat="false" ht="15" hidden="false" customHeight="false" outlineLevel="0" collapsed="false">
      <c r="A1221" s="22"/>
      <c r="B1221" s="22"/>
      <c r="C1221" s="22"/>
      <c r="D1221" s="22"/>
      <c r="E1221" s="22"/>
      <c r="F1221" s="22"/>
      <c r="G1221" s="23"/>
      <c r="H1221" s="24" t="str">
        <f aca="false">IF(G1221="","",ROUND((Config!$C$4-G1221)/365.25,2))</f>
        <v/>
      </c>
      <c r="I1221" s="25" t="str">
        <f aca="false">IF(H1221="","",IF(H1221&lt;=1,"Tramo 1",IF(H1221&lt;=3,"Tramo 2",IF(H1221&lt;=5,"Tramo 3","Tramo 4"))))</f>
        <v/>
      </c>
      <c r="J1221" s="22"/>
      <c r="K1221" s="22"/>
      <c r="L1221" s="22"/>
      <c r="M1221" s="26"/>
      <c r="N1221" s="22"/>
      <c r="O1221" s="22"/>
      <c r="P1221" s="25" t="str">
        <f aca="false">IF(OR(O1221="",O1221="Sin información"),"",IFERROR(INDEX(Listas!$B$2:$B$9,MATCH(O1221,Listas!$A$2:$A$9,0)),""))</f>
        <v/>
      </c>
      <c r="Q1221" s="25" t="str">
        <f aca="false">IF(OR(O1221="",O1221="Sin información"),"",IFERROR(INDEX(Listas!$C$2:$C$9,MATCH(O1221,Listas!$A$2:$A$9,0)),""))</f>
        <v/>
      </c>
      <c r="R1221" s="22"/>
      <c r="S1221" s="22"/>
      <c r="T1221" s="25" t="str">
        <f aca="false">IF(S1221="","",IFERROR(INDEX(Empleadores!$B$2:$B$601,MATCH(S1221,Empleadores!$A$2:$A$601,0)),"No encontrado"))</f>
        <v/>
      </c>
      <c r="U1221" s="25" t="str">
        <f aca="false">IF(C1221="","",IF(V1221="","No",IF(Config!$C$4-V1221&lt;=Config!$C$15,"Sí","No")))</f>
        <v/>
      </c>
      <c r="V1221" s="23"/>
      <c r="W1221" s="22"/>
      <c r="X1221" s="22"/>
      <c r="Y1221" s="22"/>
      <c r="Z1221" s="27"/>
      <c r="AA1221" s="22"/>
      <c r="AB1221" s="22"/>
    </row>
    <row r="1222" customFormat="false" ht="15" hidden="false" customHeight="false" outlineLevel="0" collapsed="false">
      <c r="A1222" s="22"/>
      <c r="B1222" s="22"/>
      <c r="C1222" s="22"/>
      <c r="D1222" s="22"/>
      <c r="E1222" s="22"/>
      <c r="F1222" s="22"/>
      <c r="G1222" s="23"/>
      <c r="H1222" s="24" t="str">
        <f aca="false">IF(G1222="","",ROUND((Config!$C$4-G1222)/365.25,2))</f>
        <v/>
      </c>
      <c r="I1222" s="25" t="str">
        <f aca="false">IF(H1222="","",IF(H1222&lt;=1,"Tramo 1",IF(H1222&lt;=3,"Tramo 2",IF(H1222&lt;=5,"Tramo 3","Tramo 4"))))</f>
        <v/>
      </c>
      <c r="J1222" s="22"/>
      <c r="K1222" s="22"/>
      <c r="L1222" s="22"/>
      <c r="M1222" s="26"/>
      <c r="N1222" s="22"/>
      <c r="O1222" s="22"/>
      <c r="P1222" s="25" t="str">
        <f aca="false">IF(OR(O1222="",O1222="Sin información"),"",IFERROR(INDEX(Listas!$B$2:$B$9,MATCH(O1222,Listas!$A$2:$A$9,0)),""))</f>
        <v/>
      </c>
      <c r="Q1222" s="25" t="str">
        <f aca="false">IF(OR(O1222="",O1222="Sin información"),"",IFERROR(INDEX(Listas!$C$2:$C$9,MATCH(O1222,Listas!$A$2:$A$9,0)),""))</f>
        <v/>
      </c>
      <c r="R1222" s="22"/>
      <c r="S1222" s="22"/>
      <c r="T1222" s="25" t="str">
        <f aca="false">IF(S1222="","",IFERROR(INDEX(Empleadores!$B$2:$B$601,MATCH(S1222,Empleadores!$A$2:$A$601,0)),"No encontrado"))</f>
        <v/>
      </c>
      <c r="U1222" s="25" t="str">
        <f aca="false">IF(C1222="","",IF(V1222="","No",IF(Config!$C$4-V1222&lt;=Config!$C$15,"Sí","No")))</f>
        <v/>
      </c>
      <c r="V1222" s="23"/>
      <c r="W1222" s="22"/>
      <c r="X1222" s="22"/>
      <c r="Y1222" s="22"/>
      <c r="Z1222" s="27"/>
      <c r="AA1222" s="22"/>
      <c r="AB1222" s="22"/>
    </row>
    <row r="1223" customFormat="false" ht="15" hidden="false" customHeight="false" outlineLevel="0" collapsed="false">
      <c r="A1223" s="22"/>
      <c r="B1223" s="22"/>
      <c r="C1223" s="22"/>
      <c r="D1223" s="22"/>
      <c r="E1223" s="22"/>
      <c r="F1223" s="22"/>
      <c r="G1223" s="23"/>
      <c r="H1223" s="24" t="str">
        <f aca="false">IF(G1223="","",ROUND((Config!$C$4-G1223)/365.25,2))</f>
        <v/>
      </c>
      <c r="I1223" s="25" t="str">
        <f aca="false">IF(H1223="","",IF(H1223&lt;=1,"Tramo 1",IF(H1223&lt;=3,"Tramo 2",IF(H1223&lt;=5,"Tramo 3","Tramo 4"))))</f>
        <v/>
      </c>
      <c r="J1223" s="22"/>
      <c r="K1223" s="22"/>
      <c r="L1223" s="22"/>
      <c r="M1223" s="26"/>
      <c r="N1223" s="22"/>
      <c r="O1223" s="22"/>
      <c r="P1223" s="25" t="str">
        <f aca="false">IF(OR(O1223="",O1223="Sin información"),"",IFERROR(INDEX(Listas!$B$2:$B$9,MATCH(O1223,Listas!$A$2:$A$9,0)),""))</f>
        <v/>
      </c>
      <c r="Q1223" s="25" t="str">
        <f aca="false">IF(OR(O1223="",O1223="Sin información"),"",IFERROR(INDEX(Listas!$C$2:$C$9,MATCH(O1223,Listas!$A$2:$A$9,0)),""))</f>
        <v/>
      </c>
      <c r="R1223" s="22"/>
      <c r="S1223" s="22"/>
      <c r="T1223" s="25" t="str">
        <f aca="false">IF(S1223="","",IFERROR(INDEX(Empleadores!$B$2:$B$601,MATCH(S1223,Empleadores!$A$2:$A$601,0)),"No encontrado"))</f>
        <v/>
      </c>
      <c r="U1223" s="25" t="str">
        <f aca="false">IF(C1223="","",IF(V1223="","No",IF(Config!$C$4-V1223&lt;=Config!$C$15,"Sí","No")))</f>
        <v/>
      </c>
      <c r="V1223" s="23"/>
      <c r="W1223" s="22"/>
      <c r="X1223" s="22"/>
      <c r="Y1223" s="22"/>
      <c r="Z1223" s="27"/>
      <c r="AA1223" s="22"/>
      <c r="AB1223" s="22"/>
    </row>
    <row r="1224" customFormat="false" ht="15" hidden="false" customHeight="false" outlineLevel="0" collapsed="false">
      <c r="A1224" s="22"/>
      <c r="B1224" s="22"/>
      <c r="C1224" s="22"/>
      <c r="D1224" s="22"/>
      <c r="E1224" s="22"/>
      <c r="F1224" s="22"/>
      <c r="G1224" s="23"/>
      <c r="H1224" s="24" t="str">
        <f aca="false">IF(G1224="","",ROUND((Config!$C$4-G1224)/365.25,2))</f>
        <v/>
      </c>
      <c r="I1224" s="25" t="str">
        <f aca="false">IF(H1224="","",IF(H1224&lt;=1,"Tramo 1",IF(H1224&lt;=3,"Tramo 2",IF(H1224&lt;=5,"Tramo 3","Tramo 4"))))</f>
        <v/>
      </c>
      <c r="J1224" s="22"/>
      <c r="K1224" s="22"/>
      <c r="L1224" s="22"/>
      <c r="M1224" s="26"/>
      <c r="N1224" s="22"/>
      <c r="O1224" s="22"/>
      <c r="P1224" s="25" t="str">
        <f aca="false">IF(OR(O1224="",O1224="Sin información"),"",IFERROR(INDEX(Listas!$B$2:$B$9,MATCH(O1224,Listas!$A$2:$A$9,0)),""))</f>
        <v/>
      </c>
      <c r="Q1224" s="25" t="str">
        <f aca="false">IF(OR(O1224="",O1224="Sin información"),"",IFERROR(INDEX(Listas!$C$2:$C$9,MATCH(O1224,Listas!$A$2:$A$9,0)),""))</f>
        <v/>
      </c>
      <c r="R1224" s="22"/>
      <c r="S1224" s="22"/>
      <c r="T1224" s="25" t="str">
        <f aca="false">IF(S1224="","",IFERROR(INDEX(Empleadores!$B$2:$B$601,MATCH(S1224,Empleadores!$A$2:$A$601,0)),"No encontrado"))</f>
        <v/>
      </c>
      <c r="U1224" s="25" t="str">
        <f aca="false">IF(C1224="","",IF(V1224="","No",IF(Config!$C$4-V1224&lt;=Config!$C$15,"Sí","No")))</f>
        <v/>
      </c>
      <c r="V1224" s="23"/>
      <c r="W1224" s="22"/>
      <c r="X1224" s="22"/>
      <c r="Y1224" s="22"/>
      <c r="Z1224" s="27"/>
      <c r="AA1224" s="22"/>
      <c r="AB1224" s="22"/>
    </row>
    <row r="1225" customFormat="false" ht="15" hidden="false" customHeight="false" outlineLevel="0" collapsed="false">
      <c r="A1225" s="22"/>
      <c r="B1225" s="22"/>
      <c r="C1225" s="22"/>
      <c r="D1225" s="22"/>
      <c r="E1225" s="22"/>
      <c r="F1225" s="22"/>
      <c r="G1225" s="23"/>
      <c r="H1225" s="24" t="str">
        <f aca="false">IF(G1225="","",ROUND((Config!$C$4-G1225)/365.25,2))</f>
        <v/>
      </c>
      <c r="I1225" s="25" t="str">
        <f aca="false">IF(H1225="","",IF(H1225&lt;=1,"Tramo 1",IF(H1225&lt;=3,"Tramo 2",IF(H1225&lt;=5,"Tramo 3","Tramo 4"))))</f>
        <v/>
      </c>
      <c r="J1225" s="22"/>
      <c r="K1225" s="22"/>
      <c r="L1225" s="22"/>
      <c r="M1225" s="26"/>
      <c r="N1225" s="22"/>
      <c r="O1225" s="22"/>
      <c r="P1225" s="25" t="str">
        <f aca="false">IF(OR(O1225="",O1225="Sin información"),"",IFERROR(INDEX(Listas!$B$2:$B$9,MATCH(O1225,Listas!$A$2:$A$9,0)),""))</f>
        <v/>
      </c>
      <c r="Q1225" s="25" t="str">
        <f aca="false">IF(OR(O1225="",O1225="Sin información"),"",IFERROR(INDEX(Listas!$C$2:$C$9,MATCH(O1225,Listas!$A$2:$A$9,0)),""))</f>
        <v/>
      </c>
      <c r="R1225" s="22"/>
      <c r="S1225" s="22"/>
      <c r="T1225" s="25" t="str">
        <f aca="false">IF(S1225="","",IFERROR(INDEX(Empleadores!$B$2:$B$601,MATCH(S1225,Empleadores!$A$2:$A$601,0)),"No encontrado"))</f>
        <v/>
      </c>
      <c r="U1225" s="25" t="str">
        <f aca="false">IF(C1225="","",IF(V1225="","No",IF(Config!$C$4-V1225&lt;=Config!$C$15,"Sí","No")))</f>
        <v/>
      </c>
      <c r="V1225" s="23"/>
      <c r="W1225" s="22"/>
      <c r="X1225" s="22"/>
      <c r="Y1225" s="22"/>
      <c r="Z1225" s="27"/>
      <c r="AA1225" s="22"/>
      <c r="AB1225" s="22"/>
    </row>
    <row r="1226" customFormat="false" ht="15" hidden="false" customHeight="false" outlineLevel="0" collapsed="false">
      <c r="A1226" s="22"/>
      <c r="B1226" s="22"/>
      <c r="C1226" s="22"/>
      <c r="D1226" s="22"/>
      <c r="E1226" s="22"/>
      <c r="F1226" s="22"/>
      <c r="G1226" s="23"/>
      <c r="H1226" s="24" t="str">
        <f aca="false">IF(G1226="","",ROUND((Config!$C$4-G1226)/365.25,2))</f>
        <v/>
      </c>
      <c r="I1226" s="25" t="str">
        <f aca="false">IF(H1226="","",IF(H1226&lt;=1,"Tramo 1",IF(H1226&lt;=3,"Tramo 2",IF(H1226&lt;=5,"Tramo 3","Tramo 4"))))</f>
        <v/>
      </c>
      <c r="J1226" s="22"/>
      <c r="K1226" s="22"/>
      <c r="L1226" s="22"/>
      <c r="M1226" s="26"/>
      <c r="N1226" s="22"/>
      <c r="O1226" s="22"/>
      <c r="P1226" s="25" t="str">
        <f aca="false">IF(OR(O1226="",O1226="Sin información"),"",IFERROR(INDEX(Listas!$B$2:$B$9,MATCH(O1226,Listas!$A$2:$A$9,0)),""))</f>
        <v/>
      </c>
      <c r="Q1226" s="25" t="str">
        <f aca="false">IF(OR(O1226="",O1226="Sin información"),"",IFERROR(INDEX(Listas!$C$2:$C$9,MATCH(O1226,Listas!$A$2:$A$9,0)),""))</f>
        <v/>
      </c>
      <c r="R1226" s="22"/>
      <c r="S1226" s="22"/>
      <c r="T1226" s="25" t="str">
        <f aca="false">IF(S1226="","",IFERROR(INDEX(Empleadores!$B$2:$B$601,MATCH(S1226,Empleadores!$A$2:$A$601,0)),"No encontrado"))</f>
        <v/>
      </c>
      <c r="U1226" s="25" t="str">
        <f aca="false">IF(C1226="","",IF(V1226="","No",IF(Config!$C$4-V1226&lt;=Config!$C$15,"Sí","No")))</f>
        <v/>
      </c>
      <c r="V1226" s="23"/>
      <c r="W1226" s="22"/>
      <c r="X1226" s="22"/>
      <c r="Y1226" s="22"/>
      <c r="Z1226" s="27"/>
      <c r="AA1226" s="22"/>
      <c r="AB1226" s="22"/>
    </row>
    <row r="1227" customFormat="false" ht="15" hidden="false" customHeight="false" outlineLevel="0" collapsed="false">
      <c r="A1227" s="22"/>
      <c r="B1227" s="22"/>
      <c r="C1227" s="22"/>
      <c r="D1227" s="22"/>
      <c r="E1227" s="22"/>
      <c r="F1227" s="22"/>
      <c r="G1227" s="23"/>
      <c r="H1227" s="24" t="str">
        <f aca="false">IF(G1227="","",ROUND((Config!$C$4-G1227)/365.25,2))</f>
        <v/>
      </c>
      <c r="I1227" s="25" t="str">
        <f aca="false">IF(H1227="","",IF(H1227&lt;=1,"Tramo 1",IF(H1227&lt;=3,"Tramo 2",IF(H1227&lt;=5,"Tramo 3","Tramo 4"))))</f>
        <v/>
      </c>
      <c r="J1227" s="22"/>
      <c r="K1227" s="22"/>
      <c r="L1227" s="22"/>
      <c r="M1227" s="26"/>
      <c r="N1227" s="22"/>
      <c r="O1227" s="22"/>
      <c r="P1227" s="25" t="str">
        <f aca="false">IF(OR(O1227="",O1227="Sin información"),"",IFERROR(INDEX(Listas!$B$2:$B$9,MATCH(O1227,Listas!$A$2:$A$9,0)),""))</f>
        <v/>
      </c>
      <c r="Q1227" s="25" t="str">
        <f aca="false">IF(OR(O1227="",O1227="Sin información"),"",IFERROR(INDEX(Listas!$C$2:$C$9,MATCH(O1227,Listas!$A$2:$A$9,0)),""))</f>
        <v/>
      </c>
      <c r="R1227" s="22"/>
      <c r="S1227" s="22"/>
      <c r="T1227" s="25" t="str">
        <f aca="false">IF(S1227="","",IFERROR(INDEX(Empleadores!$B$2:$B$601,MATCH(S1227,Empleadores!$A$2:$A$601,0)),"No encontrado"))</f>
        <v/>
      </c>
      <c r="U1227" s="25" t="str">
        <f aca="false">IF(C1227="","",IF(V1227="","No",IF(Config!$C$4-V1227&lt;=Config!$C$15,"Sí","No")))</f>
        <v/>
      </c>
      <c r="V1227" s="23"/>
      <c r="W1227" s="22"/>
      <c r="X1227" s="22"/>
      <c r="Y1227" s="22"/>
      <c r="Z1227" s="27"/>
      <c r="AA1227" s="22"/>
      <c r="AB1227" s="22"/>
    </row>
    <row r="1228" customFormat="false" ht="15" hidden="false" customHeight="false" outlineLevel="0" collapsed="false">
      <c r="A1228" s="22"/>
      <c r="B1228" s="22"/>
      <c r="C1228" s="22"/>
      <c r="D1228" s="22"/>
      <c r="E1228" s="22"/>
      <c r="F1228" s="22"/>
      <c r="G1228" s="23"/>
      <c r="H1228" s="24" t="str">
        <f aca="false">IF(G1228="","",ROUND((Config!$C$4-G1228)/365.25,2))</f>
        <v/>
      </c>
      <c r="I1228" s="25" t="str">
        <f aca="false">IF(H1228="","",IF(H1228&lt;=1,"Tramo 1",IF(H1228&lt;=3,"Tramo 2",IF(H1228&lt;=5,"Tramo 3","Tramo 4"))))</f>
        <v/>
      </c>
      <c r="J1228" s="22"/>
      <c r="K1228" s="22"/>
      <c r="L1228" s="22"/>
      <c r="M1228" s="26"/>
      <c r="N1228" s="22"/>
      <c r="O1228" s="22"/>
      <c r="P1228" s="25" t="str">
        <f aca="false">IF(OR(O1228="",O1228="Sin información"),"",IFERROR(INDEX(Listas!$B$2:$B$9,MATCH(O1228,Listas!$A$2:$A$9,0)),""))</f>
        <v/>
      </c>
      <c r="Q1228" s="25" t="str">
        <f aca="false">IF(OR(O1228="",O1228="Sin información"),"",IFERROR(INDEX(Listas!$C$2:$C$9,MATCH(O1228,Listas!$A$2:$A$9,0)),""))</f>
        <v/>
      </c>
      <c r="R1228" s="22"/>
      <c r="S1228" s="22"/>
      <c r="T1228" s="25" t="str">
        <f aca="false">IF(S1228="","",IFERROR(INDEX(Empleadores!$B$2:$B$601,MATCH(S1228,Empleadores!$A$2:$A$601,0)),"No encontrado"))</f>
        <v/>
      </c>
      <c r="U1228" s="25" t="str">
        <f aca="false">IF(C1228="","",IF(V1228="","No",IF(Config!$C$4-V1228&lt;=Config!$C$15,"Sí","No")))</f>
        <v/>
      </c>
      <c r="V1228" s="23"/>
      <c r="W1228" s="22"/>
      <c r="X1228" s="22"/>
      <c r="Y1228" s="22"/>
      <c r="Z1228" s="27"/>
      <c r="AA1228" s="22"/>
      <c r="AB1228" s="22"/>
    </row>
    <row r="1229" customFormat="false" ht="15" hidden="false" customHeight="false" outlineLevel="0" collapsed="false">
      <c r="A1229" s="22"/>
      <c r="B1229" s="22"/>
      <c r="C1229" s="22"/>
      <c r="D1229" s="22"/>
      <c r="E1229" s="22"/>
      <c r="F1229" s="22"/>
      <c r="G1229" s="23"/>
      <c r="H1229" s="24" t="str">
        <f aca="false">IF(G1229="","",ROUND((Config!$C$4-G1229)/365.25,2))</f>
        <v/>
      </c>
      <c r="I1229" s="25" t="str">
        <f aca="false">IF(H1229="","",IF(H1229&lt;=1,"Tramo 1",IF(H1229&lt;=3,"Tramo 2",IF(H1229&lt;=5,"Tramo 3","Tramo 4"))))</f>
        <v/>
      </c>
      <c r="J1229" s="22"/>
      <c r="K1229" s="22"/>
      <c r="L1229" s="22"/>
      <c r="M1229" s="26"/>
      <c r="N1229" s="22"/>
      <c r="O1229" s="22"/>
      <c r="P1229" s="25" t="str">
        <f aca="false">IF(OR(O1229="",O1229="Sin información"),"",IFERROR(INDEX(Listas!$B$2:$B$9,MATCH(O1229,Listas!$A$2:$A$9,0)),""))</f>
        <v/>
      </c>
      <c r="Q1229" s="25" t="str">
        <f aca="false">IF(OR(O1229="",O1229="Sin información"),"",IFERROR(INDEX(Listas!$C$2:$C$9,MATCH(O1229,Listas!$A$2:$A$9,0)),""))</f>
        <v/>
      </c>
      <c r="R1229" s="22"/>
      <c r="S1229" s="22"/>
      <c r="T1229" s="25" t="str">
        <f aca="false">IF(S1229="","",IFERROR(INDEX(Empleadores!$B$2:$B$601,MATCH(S1229,Empleadores!$A$2:$A$601,0)),"No encontrado"))</f>
        <v/>
      </c>
      <c r="U1229" s="25" t="str">
        <f aca="false">IF(C1229="","",IF(V1229="","No",IF(Config!$C$4-V1229&lt;=Config!$C$15,"Sí","No")))</f>
        <v/>
      </c>
      <c r="V1229" s="23"/>
      <c r="W1229" s="22"/>
      <c r="X1229" s="22"/>
      <c r="Y1229" s="22"/>
      <c r="Z1229" s="27"/>
      <c r="AA1229" s="22"/>
      <c r="AB1229" s="22"/>
    </row>
    <row r="1230" customFormat="false" ht="15" hidden="false" customHeight="false" outlineLevel="0" collapsed="false">
      <c r="A1230" s="22"/>
      <c r="B1230" s="22"/>
      <c r="C1230" s="22"/>
      <c r="D1230" s="22"/>
      <c r="E1230" s="22"/>
      <c r="F1230" s="22"/>
      <c r="G1230" s="23"/>
      <c r="H1230" s="24" t="str">
        <f aca="false">IF(G1230="","",ROUND((Config!$C$4-G1230)/365.25,2))</f>
        <v/>
      </c>
      <c r="I1230" s="25" t="str">
        <f aca="false">IF(H1230="","",IF(H1230&lt;=1,"Tramo 1",IF(H1230&lt;=3,"Tramo 2",IF(H1230&lt;=5,"Tramo 3","Tramo 4"))))</f>
        <v/>
      </c>
      <c r="J1230" s="22"/>
      <c r="K1230" s="22"/>
      <c r="L1230" s="22"/>
      <c r="M1230" s="26"/>
      <c r="N1230" s="22"/>
      <c r="O1230" s="22"/>
      <c r="P1230" s="25" t="str">
        <f aca="false">IF(OR(O1230="",O1230="Sin información"),"",IFERROR(INDEX(Listas!$B$2:$B$9,MATCH(O1230,Listas!$A$2:$A$9,0)),""))</f>
        <v/>
      </c>
      <c r="Q1230" s="25" t="str">
        <f aca="false">IF(OR(O1230="",O1230="Sin información"),"",IFERROR(INDEX(Listas!$C$2:$C$9,MATCH(O1230,Listas!$A$2:$A$9,0)),""))</f>
        <v/>
      </c>
      <c r="R1230" s="22"/>
      <c r="S1230" s="22"/>
      <c r="T1230" s="25" t="str">
        <f aca="false">IF(S1230="","",IFERROR(INDEX(Empleadores!$B$2:$B$601,MATCH(S1230,Empleadores!$A$2:$A$601,0)),"No encontrado"))</f>
        <v/>
      </c>
      <c r="U1230" s="25" t="str">
        <f aca="false">IF(C1230="","",IF(V1230="","No",IF(Config!$C$4-V1230&lt;=Config!$C$15,"Sí","No")))</f>
        <v/>
      </c>
      <c r="V1230" s="23"/>
      <c r="W1230" s="22"/>
      <c r="X1230" s="22"/>
      <c r="Y1230" s="22"/>
      <c r="Z1230" s="27"/>
      <c r="AA1230" s="22"/>
      <c r="AB1230" s="22"/>
    </row>
    <row r="1231" customFormat="false" ht="15" hidden="false" customHeight="false" outlineLevel="0" collapsed="false">
      <c r="A1231" s="22"/>
      <c r="B1231" s="22"/>
      <c r="C1231" s="22"/>
      <c r="D1231" s="22"/>
      <c r="E1231" s="22"/>
      <c r="F1231" s="22"/>
      <c r="G1231" s="23"/>
      <c r="H1231" s="24" t="str">
        <f aca="false">IF(G1231="","",ROUND((Config!$C$4-G1231)/365.25,2))</f>
        <v/>
      </c>
      <c r="I1231" s="25" t="str">
        <f aca="false">IF(H1231="","",IF(H1231&lt;=1,"Tramo 1",IF(H1231&lt;=3,"Tramo 2",IF(H1231&lt;=5,"Tramo 3","Tramo 4"))))</f>
        <v/>
      </c>
      <c r="J1231" s="22"/>
      <c r="K1231" s="22"/>
      <c r="L1231" s="22"/>
      <c r="M1231" s="26"/>
      <c r="N1231" s="22"/>
      <c r="O1231" s="22"/>
      <c r="P1231" s="25" t="str">
        <f aca="false">IF(OR(O1231="",O1231="Sin información"),"",IFERROR(INDEX(Listas!$B$2:$B$9,MATCH(O1231,Listas!$A$2:$A$9,0)),""))</f>
        <v/>
      </c>
      <c r="Q1231" s="25" t="str">
        <f aca="false">IF(OR(O1231="",O1231="Sin información"),"",IFERROR(INDEX(Listas!$C$2:$C$9,MATCH(O1231,Listas!$A$2:$A$9,0)),""))</f>
        <v/>
      </c>
      <c r="R1231" s="22"/>
      <c r="S1231" s="22"/>
      <c r="T1231" s="25" t="str">
        <f aca="false">IF(S1231="","",IFERROR(INDEX(Empleadores!$B$2:$B$601,MATCH(S1231,Empleadores!$A$2:$A$601,0)),"No encontrado"))</f>
        <v/>
      </c>
      <c r="U1231" s="25" t="str">
        <f aca="false">IF(C1231="","",IF(V1231="","No",IF(Config!$C$4-V1231&lt;=Config!$C$15,"Sí","No")))</f>
        <v/>
      </c>
      <c r="V1231" s="23"/>
      <c r="W1231" s="22"/>
      <c r="X1231" s="22"/>
      <c r="Y1231" s="22"/>
      <c r="Z1231" s="27"/>
      <c r="AA1231" s="22"/>
      <c r="AB1231" s="22"/>
    </row>
    <row r="1232" customFormat="false" ht="15" hidden="false" customHeight="false" outlineLevel="0" collapsed="false">
      <c r="A1232" s="22"/>
      <c r="B1232" s="22"/>
      <c r="C1232" s="22"/>
      <c r="D1232" s="22"/>
      <c r="E1232" s="22"/>
      <c r="F1232" s="22"/>
      <c r="G1232" s="23"/>
      <c r="H1232" s="24" t="str">
        <f aca="false">IF(G1232="","",ROUND((Config!$C$4-G1232)/365.25,2))</f>
        <v/>
      </c>
      <c r="I1232" s="25" t="str">
        <f aca="false">IF(H1232="","",IF(H1232&lt;=1,"Tramo 1",IF(H1232&lt;=3,"Tramo 2",IF(H1232&lt;=5,"Tramo 3","Tramo 4"))))</f>
        <v/>
      </c>
      <c r="J1232" s="22"/>
      <c r="K1232" s="22"/>
      <c r="L1232" s="22"/>
      <c r="M1232" s="26"/>
      <c r="N1232" s="22"/>
      <c r="O1232" s="22"/>
      <c r="P1232" s="25" t="str">
        <f aca="false">IF(OR(O1232="",O1232="Sin información"),"",IFERROR(INDEX(Listas!$B$2:$B$9,MATCH(O1232,Listas!$A$2:$A$9,0)),""))</f>
        <v/>
      </c>
      <c r="Q1232" s="25" t="str">
        <f aca="false">IF(OR(O1232="",O1232="Sin información"),"",IFERROR(INDEX(Listas!$C$2:$C$9,MATCH(O1232,Listas!$A$2:$A$9,0)),""))</f>
        <v/>
      </c>
      <c r="R1232" s="22"/>
      <c r="S1232" s="22"/>
      <c r="T1232" s="25" t="str">
        <f aca="false">IF(S1232="","",IFERROR(INDEX(Empleadores!$B$2:$B$601,MATCH(S1232,Empleadores!$A$2:$A$601,0)),"No encontrado"))</f>
        <v/>
      </c>
      <c r="U1232" s="25" t="str">
        <f aca="false">IF(C1232="","",IF(V1232="","No",IF(Config!$C$4-V1232&lt;=Config!$C$15,"Sí","No")))</f>
        <v/>
      </c>
      <c r="V1232" s="23"/>
      <c r="W1232" s="22"/>
      <c r="X1232" s="22"/>
      <c r="Y1232" s="22"/>
      <c r="Z1232" s="27"/>
      <c r="AA1232" s="22"/>
      <c r="AB1232" s="22"/>
    </row>
    <row r="1233" customFormat="false" ht="15" hidden="false" customHeight="false" outlineLevel="0" collapsed="false">
      <c r="A1233" s="22"/>
      <c r="B1233" s="22"/>
      <c r="C1233" s="22"/>
      <c r="D1233" s="22"/>
      <c r="E1233" s="22"/>
      <c r="F1233" s="22"/>
      <c r="G1233" s="23"/>
      <c r="H1233" s="24" t="str">
        <f aca="false">IF(G1233="","",ROUND((Config!$C$4-G1233)/365.25,2))</f>
        <v/>
      </c>
      <c r="I1233" s="25" t="str">
        <f aca="false">IF(H1233="","",IF(H1233&lt;=1,"Tramo 1",IF(H1233&lt;=3,"Tramo 2",IF(H1233&lt;=5,"Tramo 3","Tramo 4"))))</f>
        <v/>
      </c>
      <c r="J1233" s="22"/>
      <c r="K1233" s="22"/>
      <c r="L1233" s="22"/>
      <c r="M1233" s="26"/>
      <c r="N1233" s="22"/>
      <c r="O1233" s="22"/>
      <c r="P1233" s="25" t="str">
        <f aca="false">IF(OR(O1233="",O1233="Sin información"),"",IFERROR(INDEX(Listas!$B$2:$B$9,MATCH(O1233,Listas!$A$2:$A$9,0)),""))</f>
        <v/>
      </c>
      <c r="Q1233" s="25" t="str">
        <f aca="false">IF(OR(O1233="",O1233="Sin información"),"",IFERROR(INDEX(Listas!$C$2:$C$9,MATCH(O1233,Listas!$A$2:$A$9,0)),""))</f>
        <v/>
      </c>
      <c r="R1233" s="22"/>
      <c r="S1233" s="22"/>
      <c r="T1233" s="25" t="str">
        <f aca="false">IF(S1233="","",IFERROR(INDEX(Empleadores!$B$2:$B$601,MATCH(S1233,Empleadores!$A$2:$A$601,0)),"No encontrado"))</f>
        <v/>
      </c>
      <c r="U1233" s="25" t="str">
        <f aca="false">IF(C1233="","",IF(V1233="","No",IF(Config!$C$4-V1233&lt;=Config!$C$15,"Sí","No")))</f>
        <v/>
      </c>
      <c r="V1233" s="23"/>
      <c r="W1233" s="22"/>
      <c r="X1233" s="22"/>
      <c r="Y1233" s="22"/>
      <c r="Z1233" s="27"/>
      <c r="AA1233" s="22"/>
      <c r="AB1233" s="22"/>
    </row>
    <row r="1234" customFormat="false" ht="15" hidden="false" customHeight="false" outlineLevel="0" collapsed="false">
      <c r="A1234" s="22"/>
      <c r="B1234" s="22"/>
      <c r="C1234" s="22"/>
      <c r="D1234" s="22"/>
      <c r="E1234" s="22"/>
      <c r="F1234" s="22"/>
      <c r="G1234" s="23"/>
      <c r="H1234" s="24" t="str">
        <f aca="false">IF(G1234="","",ROUND((Config!$C$4-G1234)/365.25,2))</f>
        <v/>
      </c>
      <c r="I1234" s="25" t="str">
        <f aca="false">IF(H1234="","",IF(H1234&lt;=1,"Tramo 1",IF(H1234&lt;=3,"Tramo 2",IF(H1234&lt;=5,"Tramo 3","Tramo 4"))))</f>
        <v/>
      </c>
      <c r="J1234" s="22"/>
      <c r="K1234" s="22"/>
      <c r="L1234" s="22"/>
      <c r="M1234" s="26"/>
      <c r="N1234" s="22"/>
      <c r="O1234" s="22"/>
      <c r="P1234" s="25" t="str">
        <f aca="false">IF(OR(O1234="",O1234="Sin información"),"",IFERROR(INDEX(Listas!$B$2:$B$9,MATCH(O1234,Listas!$A$2:$A$9,0)),""))</f>
        <v/>
      </c>
      <c r="Q1234" s="25" t="str">
        <f aca="false">IF(OR(O1234="",O1234="Sin información"),"",IFERROR(INDEX(Listas!$C$2:$C$9,MATCH(O1234,Listas!$A$2:$A$9,0)),""))</f>
        <v/>
      </c>
      <c r="R1234" s="22"/>
      <c r="S1234" s="22"/>
      <c r="T1234" s="25" t="str">
        <f aca="false">IF(S1234="","",IFERROR(INDEX(Empleadores!$B$2:$B$601,MATCH(S1234,Empleadores!$A$2:$A$601,0)),"No encontrado"))</f>
        <v/>
      </c>
      <c r="U1234" s="25" t="str">
        <f aca="false">IF(C1234="","",IF(V1234="","No",IF(Config!$C$4-V1234&lt;=Config!$C$15,"Sí","No")))</f>
        <v/>
      </c>
      <c r="V1234" s="23"/>
      <c r="W1234" s="22"/>
      <c r="X1234" s="22"/>
      <c r="Y1234" s="22"/>
      <c r="Z1234" s="27"/>
      <c r="AA1234" s="22"/>
      <c r="AB1234" s="22"/>
    </row>
    <row r="1235" customFormat="false" ht="15" hidden="false" customHeight="false" outlineLevel="0" collapsed="false">
      <c r="A1235" s="22"/>
      <c r="B1235" s="22"/>
      <c r="C1235" s="22"/>
      <c r="D1235" s="22"/>
      <c r="E1235" s="22"/>
      <c r="F1235" s="22"/>
      <c r="G1235" s="23"/>
      <c r="H1235" s="24" t="str">
        <f aca="false">IF(G1235="","",ROUND((Config!$C$4-G1235)/365.25,2))</f>
        <v/>
      </c>
      <c r="I1235" s="25" t="str">
        <f aca="false">IF(H1235="","",IF(H1235&lt;=1,"Tramo 1",IF(H1235&lt;=3,"Tramo 2",IF(H1235&lt;=5,"Tramo 3","Tramo 4"))))</f>
        <v/>
      </c>
      <c r="J1235" s="22"/>
      <c r="K1235" s="22"/>
      <c r="L1235" s="22"/>
      <c r="M1235" s="26"/>
      <c r="N1235" s="22"/>
      <c r="O1235" s="22"/>
      <c r="P1235" s="25" t="str">
        <f aca="false">IF(OR(O1235="",O1235="Sin información"),"",IFERROR(INDEX(Listas!$B$2:$B$9,MATCH(O1235,Listas!$A$2:$A$9,0)),""))</f>
        <v/>
      </c>
      <c r="Q1235" s="25" t="str">
        <f aca="false">IF(OR(O1235="",O1235="Sin información"),"",IFERROR(INDEX(Listas!$C$2:$C$9,MATCH(O1235,Listas!$A$2:$A$9,0)),""))</f>
        <v/>
      </c>
      <c r="R1235" s="22"/>
      <c r="S1235" s="22"/>
      <c r="T1235" s="25" t="str">
        <f aca="false">IF(S1235="","",IFERROR(INDEX(Empleadores!$B$2:$B$601,MATCH(S1235,Empleadores!$A$2:$A$601,0)),"No encontrado"))</f>
        <v/>
      </c>
      <c r="U1235" s="25" t="str">
        <f aca="false">IF(C1235="","",IF(V1235="","No",IF(Config!$C$4-V1235&lt;=Config!$C$15,"Sí","No")))</f>
        <v/>
      </c>
      <c r="V1235" s="23"/>
      <c r="W1235" s="22"/>
      <c r="X1235" s="22"/>
      <c r="Y1235" s="22"/>
      <c r="Z1235" s="27"/>
      <c r="AA1235" s="22"/>
      <c r="AB1235" s="22"/>
    </row>
    <row r="1236" customFormat="false" ht="15" hidden="false" customHeight="false" outlineLevel="0" collapsed="false">
      <c r="A1236" s="22"/>
      <c r="B1236" s="22"/>
      <c r="C1236" s="22"/>
      <c r="D1236" s="22"/>
      <c r="E1236" s="22"/>
      <c r="F1236" s="22"/>
      <c r="G1236" s="23"/>
      <c r="H1236" s="24" t="str">
        <f aca="false">IF(G1236="","",ROUND((Config!$C$4-G1236)/365.25,2))</f>
        <v/>
      </c>
      <c r="I1236" s="25" t="str">
        <f aca="false">IF(H1236="","",IF(H1236&lt;=1,"Tramo 1",IF(H1236&lt;=3,"Tramo 2",IF(H1236&lt;=5,"Tramo 3","Tramo 4"))))</f>
        <v/>
      </c>
      <c r="J1236" s="22"/>
      <c r="K1236" s="22"/>
      <c r="L1236" s="22"/>
      <c r="M1236" s="26"/>
      <c r="N1236" s="22"/>
      <c r="O1236" s="22"/>
      <c r="P1236" s="25" t="str">
        <f aca="false">IF(OR(O1236="",O1236="Sin información"),"",IFERROR(INDEX(Listas!$B$2:$B$9,MATCH(O1236,Listas!$A$2:$A$9,0)),""))</f>
        <v/>
      </c>
      <c r="Q1236" s="25" t="str">
        <f aca="false">IF(OR(O1236="",O1236="Sin información"),"",IFERROR(INDEX(Listas!$C$2:$C$9,MATCH(O1236,Listas!$A$2:$A$9,0)),""))</f>
        <v/>
      </c>
      <c r="R1236" s="22"/>
      <c r="S1236" s="22"/>
      <c r="T1236" s="25" t="str">
        <f aca="false">IF(S1236="","",IFERROR(INDEX(Empleadores!$B$2:$B$601,MATCH(S1236,Empleadores!$A$2:$A$601,0)),"No encontrado"))</f>
        <v/>
      </c>
      <c r="U1236" s="25" t="str">
        <f aca="false">IF(C1236="","",IF(V1236="","No",IF(Config!$C$4-V1236&lt;=Config!$C$15,"Sí","No")))</f>
        <v/>
      </c>
      <c r="V1236" s="23"/>
      <c r="W1236" s="22"/>
      <c r="X1236" s="22"/>
      <c r="Y1236" s="22"/>
      <c r="Z1236" s="27"/>
      <c r="AA1236" s="22"/>
      <c r="AB1236" s="22"/>
    </row>
    <row r="1237" customFormat="false" ht="15" hidden="false" customHeight="false" outlineLevel="0" collapsed="false">
      <c r="A1237" s="22"/>
      <c r="B1237" s="22"/>
      <c r="C1237" s="22"/>
      <c r="D1237" s="22"/>
      <c r="E1237" s="22"/>
      <c r="F1237" s="22"/>
      <c r="G1237" s="23"/>
      <c r="H1237" s="24" t="str">
        <f aca="false">IF(G1237="","",ROUND((Config!$C$4-G1237)/365.25,2))</f>
        <v/>
      </c>
      <c r="I1237" s="25" t="str">
        <f aca="false">IF(H1237="","",IF(H1237&lt;=1,"Tramo 1",IF(H1237&lt;=3,"Tramo 2",IF(H1237&lt;=5,"Tramo 3","Tramo 4"))))</f>
        <v/>
      </c>
      <c r="J1237" s="22"/>
      <c r="K1237" s="22"/>
      <c r="L1237" s="22"/>
      <c r="M1237" s="26"/>
      <c r="N1237" s="22"/>
      <c r="O1237" s="22"/>
      <c r="P1237" s="25" t="str">
        <f aca="false">IF(OR(O1237="",O1237="Sin información"),"",IFERROR(INDEX(Listas!$B$2:$B$9,MATCH(O1237,Listas!$A$2:$A$9,0)),""))</f>
        <v/>
      </c>
      <c r="Q1237" s="25" t="str">
        <f aca="false">IF(OR(O1237="",O1237="Sin información"),"",IFERROR(INDEX(Listas!$C$2:$C$9,MATCH(O1237,Listas!$A$2:$A$9,0)),""))</f>
        <v/>
      </c>
      <c r="R1237" s="22"/>
      <c r="S1237" s="22"/>
      <c r="T1237" s="25" t="str">
        <f aca="false">IF(S1237="","",IFERROR(INDEX(Empleadores!$B$2:$B$601,MATCH(S1237,Empleadores!$A$2:$A$601,0)),"No encontrado"))</f>
        <v/>
      </c>
      <c r="U1237" s="25" t="str">
        <f aca="false">IF(C1237="","",IF(V1237="","No",IF(Config!$C$4-V1237&lt;=Config!$C$15,"Sí","No")))</f>
        <v/>
      </c>
      <c r="V1237" s="23"/>
      <c r="W1237" s="22"/>
      <c r="X1237" s="22"/>
      <c r="Y1237" s="22"/>
      <c r="Z1237" s="27"/>
      <c r="AA1237" s="22"/>
      <c r="AB1237" s="22"/>
    </row>
    <row r="1238" customFormat="false" ht="15" hidden="false" customHeight="false" outlineLevel="0" collapsed="false">
      <c r="A1238" s="22"/>
      <c r="B1238" s="22"/>
      <c r="C1238" s="22"/>
      <c r="D1238" s="22"/>
      <c r="E1238" s="22"/>
      <c r="F1238" s="22"/>
      <c r="G1238" s="23"/>
      <c r="H1238" s="24" t="str">
        <f aca="false">IF(G1238="","",ROUND((Config!$C$4-G1238)/365.25,2))</f>
        <v/>
      </c>
      <c r="I1238" s="25" t="str">
        <f aca="false">IF(H1238="","",IF(H1238&lt;=1,"Tramo 1",IF(H1238&lt;=3,"Tramo 2",IF(H1238&lt;=5,"Tramo 3","Tramo 4"))))</f>
        <v/>
      </c>
      <c r="J1238" s="22"/>
      <c r="K1238" s="22"/>
      <c r="L1238" s="22"/>
      <c r="M1238" s="26"/>
      <c r="N1238" s="22"/>
      <c r="O1238" s="22"/>
      <c r="P1238" s="25" t="str">
        <f aca="false">IF(OR(O1238="",O1238="Sin información"),"",IFERROR(INDEX(Listas!$B$2:$B$9,MATCH(O1238,Listas!$A$2:$A$9,0)),""))</f>
        <v/>
      </c>
      <c r="Q1238" s="25" t="str">
        <f aca="false">IF(OR(O1238="",O1238="Sin información"),"",IFERROR(INDEX(Listas!$C$2:$C$9,MATCH(O1238,Listas!$A$2:$A$9,0)),""))</f>
        <v/>
      </c>
      <c r="R1238" s="22"/>
      <c r="S1238" s="22"/>
      <c r="T1238" s="25" t="str">
        <f aca="false">IF(S1238="","",IFERROR(INDEX(Empleadores!$B$2:$B$601,MATCH(S1238,Empleadores!$A$2:$A$601,0)),"No encontrado"))</f>
        <v/>
      </c>
      <c r="U1238" s="25" t="str">
        <f aca="false">IF(C1238="","",IF(V1238="","No",IF(Config!$C$4-V1238&lt;=Config!$C$15,"Sí","No")))</f>
        <v/>
      </c>
      <c r="V1238" s="23"/>
      <c r="W1238" s="22"/>
      <c r="X1238" s="22"/>
      <c r="Y1238" s="22"/>
      <c r="Z1238" s="27"/>
      <c r="AA1238" s="22"/>
      <c r="AB1238" s="22"/>
    </row>
    <row r="1239" customFormat="false" ht="15" hidden="false" customHeight="false" outlineLevel="0" collapsed="false">
      <c r="A1239" s="22"/>
      <c r="B1239" s="22"/>
      <c r="C1239" s="22"/>
      <c r="D1239" s="22"/>
      <c r="E1239" s="22"/>
      <c r="F1239" s="22"/>
      <c r="G1239" s="23"/>
      <c r="H1239" s="24" t="str">
        <f aca="false">IF(G1239="","",ROUND((Config!$C$4-G1239)/365.25,2))</f>
        <v/>
      </c>
      <c r="I1239" s="25" t="str">
        <f aca="false">IF(H1239="","",IF(H1239&lt;=1,"Tramo 1",IF(H1239&lt;=3,"Tramo 2",IF(H1239&lt;=5,"Tramo 3","Tramo 4"))))</f>
        <v/>
      </c>
      <c r="J1239" s="22"/>
      <c r="K1239" s="22"/>
      <c r="L1239" s="22"/>
      <c r="M1239" s="26"/>
      <c r="N1239" s="22"/>
      <c r="O1239" s="22"/>
      <c r="P1239" s="25" t="str">
        <f aca="false">IF(OR(O1239="",O1239="Sin información"),"",IFERROR(INDEX(Listas!$B$2:$B$9,MATCH(O1239,Listas!$A$2:$A$9,0)),""))</f>
        <v/>
      </c>
      <c r="Q1239" s="25" t="str">
        <f aca="false">IF(OR(O1239="",O1239="Sin información"),"",IFERROR(INDEX(Listas!$C$2:$C$9,MATCH(O1239,Listas!$A$2:$A$9,0)),""))</f>
        <v/>
      </c>
      <c r="R1239" s="22"/>
      <c r="S1239" s="22"/>
      <c r="T1239" s="25" t="str">
        <f aca="false">IF(S1239="","",IFERROR(INDEX(Empleadores!$B$2:$B$601,MATCH(S1239,Empleadores!$A$2:$A$601,0)),"No encontrado"))</f>
        <v/>
      </c>
      <c r="U1239" s="25" t="str">
        <f aca="false">IF(C1239="","",IF(V1239="","No",IF(Config!$C$4-V1239&lt;=Config!$C$15,"Sí","No")))</f>
        <v/>
      </c>
      <c r="V1239" s="23"/>
      <c r="W1239" s="22"/>
      <c r="X1239" s="22"/>
      <c r="Y1239" s="22"/>
      <c r="Z1239" s="27"/>
      <c r="AA1239" s="22"/>
      <c r="AB1239" s="22"/>
    </row>
    <row r="1240" customFormat="false" ht="15" hidden="false" customHeight="false" outlineLevel="0" collapsed="false">
      <c r="A1240" s="22"/>
      <c r="B1240" s="22"/>
      <c r="C1240" s="22"/>
      <c r="D1240" s="22"/>
      <c r="E1240" s="22"/>
      <c r="F1240" s="22"/>
      <c r="G1240" s="23"/>
      <c r="H1240" s="24" t="str">
        <f aca="false">IF(G1240="","",ROUND((Config!$C$4-G1240)/365.25,2))</f>
        <v/>
      </c>
      <c r="I1240" s="25" t="str">
        <f aca="false">IF(H1240="","",IF(H1240&lt;=1,"Tramo 1",IF(H1240&lt;=3,"Tramo 2",IF(H1240&lt;=5,"Tramo 3","Tramo 4"))))</f>
        <v/>
      </c>
      <c r="J1240" s="22"/>
      <c r="K1240" s="22"/>
      <c r="L1240" s="22"/>
      <c r="M1240" s="26"/>
      <c r="N1240" s="22"/>
      <c r="O1240" s="22"/>
      <c r="P1240" s="25" t="str">
        <f aca="false">IF(OR(O1240="",O1240="Sin información"),"",IFERROR(INDEX(Listas!$B$2:$B$9,MATCH(O1240,Listas!$A$2:$A$9,0)),""))</f>
        <v/>
      </c>
      <c r="Q1240" s="25" t="str">
        <f aca="false">IF(OR(O1240="",O1240="Sin información"),"",IFERROR(INDEX(Listas!$C$2:$C$9,MATCH(O1240,Listas!$A$2:$A$9,0)),""))</f>
        <v/>
      </c>
      <c r="R1240" s="22"/>
      <c r="S1240" s="22"/>
      <c r="T1240" s="25" t="str">
        <f aca="false">IF(S1240="","",IFERROR(INDEX(Empleadores!$B$2:$B$601,MATCH(S1240,Empleadores!$A$2:$A$601,0)),"No encontrado"))</f>
        <v/>
      </c>
      <c r="U1240" s="25" t="str">
        <f aca="false">IF(C1240="","",IF(V1240="","No",IF(Config!$C$4-V1240&lt;=Config!$C$15,"Sí","No")))</f>
        <v/>
      </c>
      <c r="V1240" s="23"/>
      <c r="W1240" s="22"/>
      <c r="X1240" s="22"/>
      <c r="Y1240" s="22"/>
      <c r="Z1240" s="27"/>
      <c r="AA1240" s="22"/>
      <c r="AB1240" s="22"/>
    </row>
    <row r="1241" customFormat="false" ht="15" hidden="false" customHeight="false" outlineLevel="0" collapsed="false">
      <c r="A1241" s="22"/>
      <c r="B1241" s="22"/>
      <c r="C1241" s="22"/>
      <c r="D1241" s="22"/>
      <c r="E1241" s="22"/>
      <c r="F1241" s="22"/>
      <c r="G1241" s="23"/>
      <c r="H1241" s="24" t="str">
        <f aca="false">IF(G1241="","",ROUND((Config!$C$4-G1241)/365.25,2))</f>
        <v/>
      </c>
      <c r="I1241" s="25" t="str">
        <f aca="false">IF(H1241="","",IF(H1241&lt;=1,"Tramo 1",IF(H1241&lt;=3,"Tramo 2",IF(H1241&lt;=5,"Tramo 3","Tramo 4"))))</f>
        <v/>
      </c>
      <c r="J1241" s="22"/>
      <c r="K1241" s="22"/>
      <c r="L1241" s="22"/>
      <c r="M1241" s="26"/>
      <c r="N1241" s="22"/>
      <c r="O1241" s="22"/>
      <c r="P1241" s="25" t="str">
        <f aca="false">IF(OR(O1241="",O1241="Sin información"),"",IFERROR(INDEX(Listas!$B$2:$B$9,MATCH(O1241,Listas!$A$2:$A$9,0)),""))</f>
        <v/>
      </c>
      <c r="Q1241" s="25" t="str">
        <f aca="false">IF(OR(O1241="",O1241="Sin información"),"",IFERROR(INDEX(Listas!$C$2:$C$9,MATCH(O1241,Listas!$A$2:$A$9,0)),""))</f>
        <v/>
      </c>
      <c r="R1241" s="22"/>
      <c r="S1241" s="22"/>
      <c r="T1241" s="25" t="str">
        <f aca="false">IF(S1241="","",IFERROR(INDEX(Empleadores!$B$2:$B$601,MATCH(S1241,Empleadores!$A$2:$A$601,0)),"No encontrado"))</f>
        <v/>
      </c>
      <c r="U1241" s="25" t="str">
        <f aca="false">IF(C1241="","",IF(V1241="","No",IF(Config!$C$4-V1241&lt;=Config!$C$15,"Sí","No")))</f>
        <v/>
      </c>
      <c r="V1241" s="23"/>
      <c r="W1241" s="22"/>
      <c r="X1241" s="22"/>
      <c r="Y1241" s="22"/>
      <c r="Z1241" s="27"/>
      <c r="AA1241" s="22"/>
      <c r="AB1241" s="22"/>
    </row>
    <row r="1242" customFormat="false" ht="15" hidden="false" customHeight="false" outlineLevel="0" collapsed="false">
      <c r="A1242" s="22"/>
      <c r="B1242" s="22"/>
      <c r="C1242" s="22"/>
      <c r="D1242" s="22"/>
      <c r="E1242" s="22"/>
      <c r="F1242" s="22"/>
      <c r="G1242" s="23"/>
      <c r="H1242" s="24" t="str">
        <f aca="false">IF(G1242="","",ROUND((Config!$C$4-G1242)/365.25,2))</f>
        <v/>
      </c>
      <c r="I1242" s="25" t="str">
        <f aca="false">IF(H1242="","",IF(H1242&lt;=1,"Tramo 1",IF(H1242&lt;=3,"Tramo 2",IF(H1242&lt;=5,"Tramo 3","Tramo 4"))))</f>
        <v/>
      </c>
      <c r="J1242" s="22"/>
      <c r="K1242" s="22"/>
      <c r="L1242" s="22"/>
      <c r="M1242" s="26"/>
      <c r="N1242" s="22"/>
      <c r="O1242" s="22"/>
      <c r="P1242" s="25" t="str">
        <f aca="false">IF(OR(O1242="",O1242="Sin información"),"",IFERROR(INDEX(Listas!$B$2:$B$9,MATCH(O1242,Listas!$A$2:$A$9,0)),""))</f>
        <v/>
      </c>
      <c r="Q1242" s="25" t="str">
        <f aca="false">IF(OR(O1242="",O1242="Sin información"),"",IFERROR(INDEX(Listas!$C$2:$C$9,MATCH(O1242,Listas!$A$2:$A$9,0)),""))</f>
        <v/>
      </c>
      <c r="R1242" s="22"/>
      <c r="S1242" s="22"/>
      <c r="T1242" s="25" t="str">
        <f aca="false">IF(S1242="","",IFERROR(INDEX(Empleadores!$B$2:$B$601,MATCH(S1242,Empleadores!$A$2:$A$601,0)),"No encontrado"))</f>
        <v/>
      </c>
      <c r="U1242" s="25" t="str">
        <f aca="false">IF(C1242="","",IF(V1242="","No",IF(Config!$C$4-V1242&lt;=Config!$C$15,"Sí","No")))</f>
        <v/>
      </c>
      <c r="V1242" s="23"/>
      <c r="W1242" s="22"/>
      <c r="X1242" s="22"/>
      <c r="Y1242" s="22"/>
      <c r="Z1242" s="27"/>
      <c r="AA1242" s="22"/>
      <c r="AB1242" s="22"/>
    </row>
    <row r="1243" customFormat="false" ht="15" hidden="false" customHeight="false" outlineLevel="0" collapsed="false">
      <c r="A1243" s="22"/>
      <c r="B1243" s="22"/>
      <c r="C1243" s="22"/>
      <c r="D1243" s="22"/>
      <c r="E1243" s="22"/>
      <c r="F1243" s="22"/>
      <c r="G1243" s="23"/>
      <c r="H1243" s="24" t="str">
        <f aca="false">IF(G1243="","",ROUND((Config!$C$4-G1243)/365.25,2))</f>
        <v/>
      </c>
      <c r="I1243" s="25" t="str">
        <f aca="false">IF(H1243="","",IF(H1243&lt;=1,"Tramo 1",IF(H1243&lt;=3,"Tramo 2",IF(H1243&lt;=5,"Tramo 3","Tramo 4"))))</f>
        <v/>
      </c>
      <c r="J1243" s="22"/>
      <c r="K1243" s="22"/>
      <c r="L1243" s="22"/>
      <c r="M1243" s="26"/>
      <c r="N1243" s="22"/>
      <c r="O1243" s="22"/>
      <c r="P1243" s="25" t="str">
        <f aca="false">IF(OR(O1243="",O1243="Sin información"),"",IFERROR(INDEX(Listas!$B$2:$B$9,MATCH(O1243,Listas!$A$2:$A$9,0)),""))</f>
        <v/>
      </c>
      <c r="Q1243" s="25" t="str">
        <f aca="false">IF(OR(O1243="",O1243="Sin información"),"",IFERROR(INDEX(Listas!$C$2:$C$9,MATCH(O1243,Listas!$A$2:$A$9,0)),""))</f>
        <v/>
      </c>
      <c r="R1243" s="22"/>
      <c r="S1243" s="22"/>
      <c r="T1243" s="25" t="str">
        <f aca="false">IF(S1243="","",IFERROR(INDEX(Empleadores!$B$2:$B$601,MATCH(S1243,Empleadores!$A$2:$A$601,0)),"No encontrado"))</f>
        <v/>
      </c>
      <c r="U1243" s="25" t="str">
        <f aca="false">IF(C1243="","",IF(V1243="","No",IF(Config!$C$4-V1243&lt;=Config!$C$15,"Sí","No")))</f>
        <v/>
      </c>
      <c r="V1243" s="23"/>
      <c r="W1243" s="22"/>
      <c r="X1243" s="22"/>
      <c r="Y1243" s="22"/>
      <c r="Z1243" s="27"/>
      <c r="AA1243" s="22"/>
      <c r="AB1243" s="22"/>
    </row>
    <row r="1244" customFormat="false" ht="15" hidden="false" customHeight="false" outlineLevel="0" collapsed="false">
      <c r="A1244" s="22"/>
      <c r="B1244" s="22"/>
      <c r="C1244" s="22"/>
      <c r="D1244" s="22"/>
      <c r="E1244" s="22"/>
      <c r="F1244" s="22"/>
      <c r="G1244" s="23"/>
      <c r="H1244" s="24" t="str">
        <f aca="false">IF(G1244="","",ROUND((Config!$C$4-G1244)/365.25,2))</f>
        <v/>
      </c>
      <c r="I1244" s="25" t="str">
        <f aca="false">IF(H1244="","",IF(H1244&lt;=1,"Tramo 1",IF(H1244&lt;=3,"Tramo 2",IF(H1244&lt;=5,"Tramo 3","Tramo 4"))))</f>
        <v/>
      </c>
      <c r="J1244" s="22"/>
      <c r="K1244" s="22"/>
      <c r="L1244" s="22"/>
      <c r="M1244" s="26"/>
      <c r="N1244" s="22"/>
      <c r="O1244" s="22"/>
      <c r="P1244" s="25" t="str">
        <f aca="false">IF(OR(O1244="",O1244="Sin información"),"",IFERROR(INDEX(Listas!$B$2:$B$9,MATCH(O1244,Listas!$A$2:$A$9,0)),""))</f>
        <v/>
      </c>
      <c r="Q1244" s="25" t="str">
        <f aca="false">IF(OR(O1244="",O1244="Sin información"),"",IFERROR(INDEX(Listas!$C$2:$C$9,MATCH(O1244,Listas!$A$2:$A$9,0)),""))</f>
        <v/>
      </c>
      <c r="R1244" s="22"/>
      <c r="S1244" s="22"/>
      <c r="T1244" s="25" t="str">
        <f aca="false">IF(S1244="","",IFERROR(INDEX(Empleadores!$B$2:$B$601,MATCH(S1244,Empleadores!$A$2:$A$601,0)),"No encontrado"))</f>
        <v/>
      </c>
      <c r="U1244" s="25" t="str">
        <f aca="false">IF(C1244="","",IF(V1244="","No",IF(Config!$C$4-V1244&lt;=Config!$C$15,"Sí","No")))</f>
        <v/>
      </c>
      <c r="V1244" s="23"/>
      <c r="W1244" s="22"/>
      <c r="X1244" s="22"/>
      <c r="Y1244" s="22"/>
      <c r="Z1244" s="27"/>
      <c r="AA1244" s="22"/>
      <c r="AB1244" s="22"/>
    </row>
    <row r="1245" customFormat="false" ht="15" hidden="false" customHeight="false" outlineLevel="0" collapsed="false">
      <c r="A1245" s="22"/>
      <c r="B1245" s="22"/>
      <c r="C1245" s="22"/>
      <c r="D1245" s="22"/>
      <c r="E1245" s="22"/>
      <c r="F1245" s="22"/>
      <c r="G1245" s="23"/>
      <c r="H1245" s="24" t="str">
        <f aca="false">IF(G1245="","",ROUND((Config!$C$4-G1245)/365.25,2))</f>
        <v/>
      </c>
      <c r="I1245" s="25" t="str">
        <f aca="false">IF(H1245="","",IF(H1245&lt;=1,"Tramo 1",IF(H1245&lt;=3,"Tramo 2",IF(H1245&lt;=5,"Tramo 3","Tramo 4"))))</f>
        <v/>
      </c>
      <c r="J1245" s="22"/>
      <c r="K1245" s="22"/>
      <c r="L1245" s="22"/>
      <c r="M1245" s="26"/>
      <c r="N1245" s="22"/>
      <c r="O1245" s="22"/>
      <c r="P1245" s="25" t="str">
        <f aca="false">IF(OR(O1245="",O1245="Sin información"),"",IFERROR(INDEX(Listas!$B$2:$B$9,MATCH(O1245,Listas!$A$2:$A$9,0)),""))</f>
        <v/>
      </c>
      <c r="Q1245" s="25" t="str">
        <f aca="false">IF(OR(O1245="",O1245="Sin información"),"",IFERROR(INDEX(Listas!$C$2:$C$9,MATCH(O1245,Listas!$A$2:$A$9,0)),""))</f>
        <v/>
      </c>
      <c r="R1245" s="22"/>
      <c r="S1245" s="22"/>
      <c r="T1245" s="25" t="str">
        <f aca="false">IF(S1245="","",IFERROR(INDEX(Empleadores!$B$2:$B$601,MATCH(S1245,Empleadores!$A$2:$A$601,0)),"No encontrado"))</f>
        <v/>
      </c>
      <c r="U1245" s="25" t="str">
        <f aca="false">IF(C1245="","",IF(V1245="","No",IF(Config!$C$4-V1245&lt;=Config!$C$15,"Sí","No")))</f>
        <v/>
      </c>
      <c r="V1245" s="23"/>
      <c r="W1245" s="22"/>
      <c r="X1245" s="22"/>
      <c r="Y1245" s="22"/>
      <c r="Z1245" s="27"/>
      <c r="AA1245" s="22"/>
      <c r="AB1245" s="22"/>
    </row>
    <row r="1246" customFormat="false" ht="15" hidden="false" customHeight="false" outlineLevel="0" collapsed="false">
      <c r="A1246" s="22"/>
      <c r="B1246" s="22"/>
      <c r="C1246" s="22"/>
      <c r="D1246" s="22"/>
      <c r="E1246" s="22"/>
      <c r="F1246" s="22"/>
      <c r="G1246" s="23"/>
      <c r="H1246" s="24" t="str">
        <f aca="false">IF(G1246="","",ROUND((Config!$C$4-G1246)/365.25,2))</f>
        <v/>
      </c>
      <c r="I1246" s="25" t="str">
        <f aca="false">IF(H1246="","",IF(H1246&lt;=1,"Tramo 1",IF(H1246&lt;=3,"Tramo 2",IF(H1246&lt;=5,"Tramo 3","Tramo 4"))))</f>
        <v/>
      </c>
      <c r="J1246" s="22"/>
      <c r="K1246" s="22"/>
      <c r="L1246" s="22"/>
      <c r="M1246" s="26"/>
      <c r="N1246" s="22"/>
      <c r="O1246" s="22"/>
      <c r="P1246" s="25" t="str">
        <f aca="false">IF(OR(O1246="",O1246="Sin información"),"",IFERROR(INDEX(Listas!$B$2:$B$9,MATCH(O1246,Listas!$A$2:$A$9,0)),""))</f>
        <v/>
      </c>
      <c r="Q1246" s="25" t="str">
        <f aca="false">IF(OR(O1246="",O1246="Sin información"),"",IFERROR(INDEX(Listas!$C$2:$C$9,MATCH(O1246,Listas!$A$2:$A$9,0)),""))</f>
        <v/>
      </c>
      <c r="R1246" s="22"/>
      <c r="S1246" s="22"/>
      <c r="T1246" s="25" t="str">
        <f aca="false">IF(S1246="","",IFERROR(INDEX(Empleadores!$B$2:$B$601,MATCH(S1246,Empleadores!$A$2:$A$601,0)),"No encontrado"))</f>
        <v/>
      </c>
      <c r="U1246" s="25" t="str">
        <f aca="false">IF(C1246="","",IF(V1246="","No",IF(Config!$C$4-V1246&lt;=Config!$C$15,"Sí","No")))</f>
        <v/>
      </c>
      <c r="V1246" s="23"/>
      <c r="W1246" s="22"/>
      <c r="X1246" s="22"/>
      <c r="Y1246" s="22"/>
      <c r="Z1246" s="27"/>
      <c r="AA1246" s="22"/>
      <c r="AB1246" s="22"/>
    </row>
    <row r="1247" customFormat="false" ht="15" hidden="false" customHeight="false" outlineLevel="0" collapsed="false">
      <c r="A1247" s="22"/>
      <c r="B1247" s="22"/>
      <c r="C1247" s="22"/>
      <c r="D1247" s="22"/>
      <c r="E1247" s="22"/>
      <c r="F1247" s="22"/>
      <c r="G1247" s="23"/>
      <c r="H1247" s="24" t="str">
        <f aca="false">IF(G1247="","",ROUND((Config!$C$4-G1247)/365.25,2))</f>
        <v/>
      </c>
      <c r="I1247" s="25" t="str">
        <f aca="false">IF(H1247="","",IF(H1247&lt;=1,"Tramo 1",IF(H1247&lt;=3,"Tramo 2",IF(H1247&lt;=5,"Tramo 3","Tramo 4"))))</f>
        <v/>
      </c>
      <c r="J1247" s="22"/>
      <c r="K1247" s="22"/>
      <c r="L1247" s="22"/>
      <c r="M1247" s="26"/>
      <c r="N1247" s="22"/>
      <c r="O1247" s="22"/>
      <c r="P1247" s="25" t="str">
        <f aca="false">IF(OR(O1247="",O1247="Sin información"),"",IFERROR(INDEX(Listas!$B$2:$B$9,MATCH(O1247,Listas!$A$2:$A$9,0)),""))</f>
        <v/>
      </c>
      <c r="Q1247" s="25" t="str">
        <f aca="false">IF(OR(O1247="",O1247="Sin información"),"",IFERROR(INDEX(Listas!$C$2:$C$9,MATCH(O1247,Listas!$A$2:$A$9,0)),""))</f>
        <v/>
      </c>
      <c r="R1247" s="22"/>
      <c r="S1247" s="22"/>
      <c r="T1247" s="25" t="str">
        <f aca="false">IF(S1247="","",IFERROR(INDEX(Empleadores!$B$2:$B$601,MATCH(S1247,Empleadores!$A$2:$A$601,0)),"No encontrado"))</f>
        <v/>
      </c>
      <c r="U1247" s="25" t="str">
        <f aca="false">IF(C1247="","",IF(V1247="","No",IF(Config!$C$4-V1247&lt;=Config!$C$15,"Sí","No")))</f>
        <v/>
      </c>
      <c r="V1247" s="23"/>
      <c r="W1247" s="22"/>
      <c r="X1247" s="22"/>
      <c r="Y1247" s="22"/>
      <c r="Z1247" s="27"/>
      <c r="AA1247" s="22"/>
      <c r="AB1247" s="22"/>
    </row>
    <row r="1248" customFormat="false" ht="15" hidden="false" customHeight="false" outlineLevel="0" collapsed="false">
      <c r="A1248" s="22"/>
      <c r="B1248" s="22"/>
      <c r="C1248" s="22"/>
      <c r="D1248" s="22"/>
      <c r="E1248" s="22"/>
      <c r="F1248" s="22"/>
      <c r="G1248" s="23"/>
      <c r="H1248" s="24" t="str">
        <f aca="false">IF(G1248="","",ROUND((Config!$C$4-G1248)/365.25,2))</f>
        <v/>
      </c>
      <c r="I1248" s="25" t="str">
        <f aca="false">IF(H1248="","",IF(H1248&lt;=1,"Tramo 1",IF(H1248&lt;=3,"Tramo 2",IF(H1248&lt;=5,"Tramo 3","Tramo 4"))))</f>
        <v/>
      </c>
      <c r="J1248" s="22"/>
      <c r="K1248" s="22"/>
      <c r="L1248" s="22"/>
      <c r="M1248" s="26"/>
      <c r="N1248" s="22"/>
      <c r="O1248" s="22"/>
      <c r="P1248" s="25" t="str">
        <f aca="false">IF(OR(O1248="",O1248="Sin información"),"",IFERROR(INDEX(Listas!$B$2:$B$9,MATCH(O1248,Listas!$A$2:$A$9,0)),""))</f>
        <v/>
      </c>
      <c r="Q1248" s="25" t="str">
        <f aca="false">IF(OR(O1248="",O1248="Sin información"),"",IFERROR(INDEX(Listas!$C$2:$C$9,MATCH(O1248,Listas!$A$2:$A$9,0)),""))</f>
        <v/>
      </c>
      <c r="R1248" s="22"/>
      <c r="S1248" s="22"/>
      <c r="T1248" s="25" t="str">
        <f aca="false">IF(S1248="","",IFERROR(INDEX(Empleadores!$B$2:$B$601,MATCH(S1248,Empleadores!$A$2:$A$601,0)),"No encontrado"))</f>
        <v/>
      </c>
      <c r="U1248" s="25" t="str">
        <f aca="false">IF(C1248="","",IF(V1248="","No",IF(Config!$C$4-V1248&lt;=Config!$C$15,"Sí","No")))</f>
        <v/>
      </c>
      <c r="V1248" s="23"/>
      <c r="W1248" s="22"/>
      <c r="X1248" s="22"/>
      <c r="Y1248" s="22"/>
      <c r="Z1248" s="27"/>
      <c r="AA1248" s="22"/>
      <c r="AB1248" s="22"/>
    </row>
    <row r="1249" customFormat="false" ht="15" hidden="false" customHeight="false" outlineLevel="0" collapsed="false">
      <c r="A1249" s="22"/>
      <c r="B1249" s="22"/>
      <c r="C1249" s="22"/>
      <c r="D1249" s="22"/>
      <c r="E1249" s="22"/>
      <c r="F1249" s="22"/>
      <c r="G1249" s="23"/>
      <c r="H1249" s="24" t="str">
        <f aca="false">IF(G1249="","",ROUND((Config!$C$4-G1249)/365.25,2))</f>
        <v/>
      </c>
      <c r="I1249" s="25" t="str">
        <f aca="false">IF(H1249="","",IF(H1249&lt;=1,"Tramo 1",IF(H1249&lt;=3,"Tramo 2",IF(H1249&lt;=5,"Tramo 3","Tramo 4"))))</f>
        <v/>
      </c>
      <c r="J1249" s="22"/>
      <c r="K1249" s="22"/>
      <c r="L1249" s="22"/>
      <c r="M1249" s="26"/>
      <c r="N1249" s="22"/>
      <c r="O1249" s="22"/>
      <c r="P1249" s="25" t="str">
        <f aca="false">IF(OR(O1249="",O1249="Sin información"),"",IFERROR(INDEX(Listas!$B$2:$B$9,MATCH(O1249,Listas!$A$2:$A$9,0)),""))</f>
        <v/>
      </c>
      <c r="Q1249" s="25" t="str">
        <f aca="false">IF(OR(O1249="",O1249="Sin información"),"",IFERROR(INDEX(Listas!$C$2:$C$9,MATCH(O1249,Listas!$A$2:$A$9,0)),""))</f>
        <v/>
      </c>
      <c r="R1249" s="22"/>
      <c r="S1249" s="22"/>
      <c r="T1249" s="25" t="str">
        <f aca="false">IF(S1249="","",IFERROR(INDEX(Empleadores!$B$2:$B$601,MATCH(S1249,Empleadores!$A$2:$A$601,0)),"No encontrado"))</f>
        <v/>
      </c>
      <c r="U1249" s="25" t="str">
        <f aca="false">IF(C1249="","",IF(V1249="","No",IF(Config!$C$4-V1249&lt;=Config!$C$15,"Sí","No")))</f>
        <v/>
      </c>
      <c r="V1249" s="23"/>
      <c r="W1249" s="22"/>
      <c r="X1249" s="22"/>
      <c r="Y1249" s="22"/>
      <c r="Z1249" s="27"/>
      <c r="AA1249" s="22"/>
      <c r="AB1249" s="22"/>
    </row>
    <row r="1250" customFormat="false" ht="15" hidden="false" customHeight="false" outlineLevel="0" collapsed="false">
      <c r="A1250" s="22"/>
      <c r="B1250" s="22"/>
      <c r="C1250" s="22"/>
      <c r="D1250" s="22"/>
      <c r="E1250" s="22"/>
      <c r="F1250" s="22"/>
      <c r="G1250" s="23"/>
      <c r="H1250" s="24" t="str">
        <f aca="false">IF(G1250="","",ROUND((Config!$C$4-G1250)/365.25,2))</f>
        <v/>
      </c>
      <c r="I1250" s="25" t="str">
        <f aca="false">IF(H1250="","",IF(H1250&lt;=1,"Tramo 1",IF(H1250&lt;=3,"Tramo 2",IF(H1250&lt;=5,"Tramo 3","Tramo 4"))))</f>
        <v/>
      </c>
      <c r="J1250" s="22"/>
      <c r="K1250" s="22"/>
      <c r="L1250" s="22"/>
      <c r="M1250" s="26"/>
      <c r="N1250" s="22"/>
      <c r="O1250" s="22"/>
      <c r="P1250" s="25" t="str">
        <f aca="false">IF(OR(O1250="",O1250="Sin información"),"",IFERROR(INDEX(Listas!$B$2:$B$9,MATCH(O1250,Listas!$A$2:$A$9,0)),""))</f>
        <v/>
      </c>
      <c r="Q1250" s="25" t="str">
        <f aca="false">IF(OR(O1250="",O1250="Sin información"),"",IFERROR(INDEX(Listas!$C$2:$C$9,MATCH(O1250,Listas!$A$2:$A$9,0)),""))</f>
        <v/>
      </c>
      <c r="R1250" s="22"/>
      <c r="S1250" s="22"/>
      <c r="T1250" s="25" t="str">
        <f aca="false">IF(S1250="","",IFERROR(INDEX(Empleadores!$B$2:$B$601,MATCH(S1250,Empleadores!$A$2:$A$601,0)),"No encontrado"))</f>
        <v/>
      </c>
      <c r="U1250" s="25" t="str">
        <f aca="false">IF(C1250="","",IF(V1250="","No",IF(Config!$C$4-V1250&lt;=Config!$C$15,"Sí","No")))</f>
        <v/>
      </c>
      <c r="V1250" s="23"/>
      <c r="W1250" s="22"/>
      <c r="X1250" s="22"/>
      <c r="Y1250" s="22"/>
      <c r="Z1250" s="27"/>
      <c r="AA1250" s="22"/>
      <c r="AB1250" s="22"/>
    </row>
    <row r="1251" customFormat="false" ht="15" hidden="false" customHeight="false" outlineLevel="0" collapsed="false">
      <c r="A1251" s="22"/>
      <c r="B1251" s="22"/>
      <c r="C1251" s="22"/>
      <c r="D1251" s="22"/>
      <c r="E1251" s="22"/>
      <c r="F1251" s="22"/>
      <c r="G1251" s="23"/>
      <c r="H1251" s="24" t="str">
        <f aca="false">IF(G1251="","",ROUND((Config!$C$4-G1251)/365.25,2))</f>
        <v/>
      </c>
      <c r="I1251" s="25" t="str">
        <f aca="false">IF(H1251="","",IF(H1251&lt;=1,"Tramo 1",IF(H1251&lt;=3,"Tramo 2",IF(H1251&lt;=5,"Tramo 3","Tramo 4"))))</f>
        <v/>
      </c>
      <c r="J1251" s="22"/>
      <c r="K1251" s="22"/>
      <c r="L1251" s="22"/>
      <c r="M1251" s="26"/>
      <c r="N1251" s="22"/>
      <c r="O1251" s="22"/>
      <c r="P1251" s="25" t="str">
        <f aca="false">IF(OR(O1251="",O1251="Sin información"),"",IFERROR(INDEX(Listas!$B$2:$B$9,MATCH(O1251,Listas!$A$2:$A$9,0)),""))</f>
        <v/>
      </c>
      <c r="Q1251" s="25" t="str">
        <f aca="false">IF(OR(O1251="",O1251="Sin información"),"",IFERROR(INDEX(Listas!$C$2:$C$9,MATCH(O1251,Listas!$A$2:$A$9,0)),""))</f>
        <v/>
      </c>
      <c r="R1251" s="22"/>
      <c r="S1251" s="22"/>
      <c r="T1251" s="25" t="str">
        <f aca="false">IF(S1251="","",IFERROR(INDEX(Empleadores!$B$2:$B$601,MATCH(S1251,Empleadores!$A$2:$A$601,0)),"No encontrado"))</f>
        <v/>
      </c>
      <c r="U1251" s="25" t="str">
        <f aca="false">IF(C1251="","",IF(V1251="","No",IF(Config!$C$4-V1251&lt;=Config!$C$15,"Sí","No")))</f>
        <v/>
      </c>
      <c r="V1251" s="23"/>
      <c r="W1251" s="22"/>
      <c r="X1251" s="22"/>
      <c r="Y1251" s="22"/>
      <c r="Z1251" s="27"/>
      <c r="AA1251" s="22"/>
      <c r="AB1251" s="22"/>
    </row>
    <row r="1252" customFormat="false" ht="15" hidden="false" customHeight="false" outlineLevel="0" collapsed="false">
      <c r="A1252" s="22"/>
      <c r="B1252" s="22"/>
      <c r="C1252" s="22"/>
      <c r="D1252" s="22"/>
      <c r="E1252" s="22"/>
      <c r="F1252" s="22"/>
      <c r="G1252" s="23"/>
      <c r="H1252" s="24" t="str">
        <f aca="false">IF(G1252="","",ROUND((Config!$C$4-G1252)/365.25,2))</f>
        <v/>
      </c>
      <c r="I1252" s="25" t="str">
        <f aca="false">IF(H1252="","",IF(H1252&lt;=1,"Tramo 1",IF(H1252&lt;=3,"Tramo 2",IF(H1252&lt;=5,"Tramo 3","Tramo 4"))))</f>
        <v/>
      </c>
      <c r="J1252" s="22"/>
      <c r="K1252" s="22"/>
      <c r="L1252" s="22"/>
      <c r="M1252" s="26"/>
      <c r="N1252" s="22"/>
      <c r="O1252" s="22"/>
      <c r="P1252" s="25" t="str">
        <f aca="false">IF(OR(O1252="",O1252="Sin información"),"",IFERROR(INDEX(Listas!$B$2:$B$9,MATCH(O1252,Listas!$A$2:$A$9,0)),""))</f>
        <v/>
      </c>
      <c r="Q1252" s="25" t="str">
        <f aca="false">IF(OR(O1252="",O1252="Sin información"),"",IFERROR(INDEX(Listas!$C$2:$C$9,MATCH(O1252,Listas!$A$2:$A$9,0)),""))</f>
        <v/>
      </c>
      <c r="R1252" s="22"/>
      <c r="S1252" s="22"/>
      <c r="T1252" s="25" t="str">
        <f aca="false">IF(S1252="","",IFERROR(INDEX(Empleadores!$B$2:$B$601,MATCH(S1252,Empleadores!$A$2:$A$601,0)),"No encontrado"))</f>
        <v/>
      </c>
      <c r="U1252" s="25" t="str">
        <f aca="false">IF(C1252="","",IF(V1252="","No",IF(Config!$C$4-V1252&lt;=Config!$C$15,"Sí","No")))</f>
        <v/>
      </c>
      <c r="V1252" s="23"/>
      <c r="W1252" s="22"/>
      <c r="X1252" s="22"/>
      <c r="Y1252" s="22"/>
      <c r="Z1252" s="27"/>
      <c r="AA1252" s="22"/>
      <c r="AB1252" s="22"/>
    </row>
    <row r="1253" customFormat="false" ht="15" hidden="false" customHeight="false" outlineLevel="0" collapsed="false">
      <c r="A1253" s="22"/>
      <c r="B1253" s="22"/>
      <c r="C1253" s="22"/>
      <c r="D1253" s="22"/>
      <c r="E1253" s="22"/>
      <c r="F1253" s="22"/>
      <c r="G1253" s="23"/>
      <c r="H1253" s="24" t="str">
        <f aca="false">IF(G1253="","",ROUND((Config!$C$4-G1253)/365.25,2))</f>
        <v/>
      </c>
      <c r="I1253" s="25" t="str">
        <f aca="false">IF(H1253="","",IF(H1253&lt;=1,"Tramo 1",IF(H1253&lt;=3,"Tramo 2",IF(H1253&lt;=5,"Tramo 3","Tramo 4"))))</f>
        <v/>
      </c>
      <c r="J1253" s="22"/>
      <c r="K1253" s="22"/>
      <c r="L1253" s="22"/>
      <c r="M1253" s="26"/>
      <c r="N1253" s="22"/>
      <c r="O1253" s="22"/>
      <c r="P1253" s="25" t="str">
        <f aca="false">IF(OR(O1253="",O1253="Sin información"),"",IFERROR(INDEX(Listas!$B$2:$B$9,MATCH(O1253,Listas!$A$2:$A$9,0)),""))</f>
        <v/>
      </c>
      <c r="Q1253" s="25" t="str">
        <f aca="false">IF(OR(O1253="",O1253="Sin información"),"",IFERROR(INDEX(Listas!$C$2:$C$9,MATCH(O1253,Listas!$A$2:$A$9,0)),""))</f>
        <v/>
      </c>
      <c r="R1253" s="22"/>
      <c r="S1253" s="22"/>
      <c r="T1253" s="25" t="str">
        <f aca="false">IF(S1253="","",IFERROR(INDEX(Empleadores!$B$2:$B$601,MATCH(S1253,Empleadores!$A$2:$A$601,0)),"No encontrado"))</f>
        <v/>
      </c>
      <c r="U1253" s="25" t="str">
        <f aca="false">IF(C1253="","",IF(V1253="","No",IF(Config!$C$4-V1253&lt;=Config!$C$15,"Sí","No")))</f>
        <v/>
      </c>
      <c r="V1253" s="23"/>
      <c r="W1253" s="22"/>
      <c r="X1253" s="22"/>
      <c r="Y1253" s="22"/>
      <c r="Z1253" s="27"/>
      <c r="AA1253" s="22"/>
      <c r="AB1253" s="22"/>
    </row>
    <row r="1254" customFormat="false" ht="15" hidden="false" customHeight="false" outlineLevel="0" collapsed="false">
      <c r="A1254" s="22"/>
      <c r="B1254" s="22"/>
      <c r="C1254" s="22"/>
      <c r="D1254" s="22"/>
      <c r="E1254" s="22"/>
      <c r="F1254" s="22"/>
      <c r="G1254" s="23"/>
      <c r="H1254" s="24" t="str">
        <f aca="false">IF(G1254="","",ROUND((Config!$C$4-G1254)/365.25,2))</f>
        <v/>
      </c>
      <c r="I1254" s="25" t="str">
        <f aca="false">IF(H1254="","",IF(H1254&lt;=1,"Tramo 1",IF(H1254&lt;=3,"Tramo 2",IF(H1254&lt;=5,"Tramo 3","Tramo 4"))))</f>
        <v/>
      </c>
      <c r="J1254" s="22"/>
      <c r="K1254" s="22"/>
      <c r="L1254" s="22"/>
      <c r="M1254" s="26"/>
      <c r="N1254" s="22"/>
      <c r="O1254" s="22"/>
      <c r="P1254" s="25" t="str">
        <f aca="false">IF(OR(O1254="",O1254="Sin información"),"",IFERROR(INDEX(Listas!$B$2:$B$9,MATCH(O1254,Listas!$A$2:$A$9,0)),""))</f>
        <v/>
      </c>
      <c r="Q1254" s="25" t="str">
        <f aca="false">IF(OR(O1254="",O1254="Sin información"),"",IFERROR(INDEX(Listas!$C$2:$C$9,MATCH(O1254,Listas!$A$2:$A$9,0)),""))</f>
        <v/>
      </c>
      <c r="R1254" s="22"/>
      <c r="S1254" s="22"/>
      <c r="T1254" s="25" t="str">
        <f aca="false">IF(S1254="","",IFERROR(INDEX(Empleadores!$B$2:$B$601,MATCH(S1254,Empleadores!$A$2:$A$601,0)),"No encontrado"))</f>
        <v/>
      </c>
      <c r="U1254" s="25" t="str">
        <f aca="false">IF(C1254="","",IF(V1254="","No",IF(Config!$C$4-V1254&lt;=Config!$C$15,"Sí","No")))</f>
        <v/>
      </c>
      <c r="V1254" s="23"/>
      <c r="W1254" s="22"/>
      <c r="X1254" s="22"/>
      <c r="Y1254" s="22"/>
      <c r="Z1254" s="27"/>
      <c r="AA1254" s="22"/>
      <c r="AB1254" s="22"/>
    </row>
    <row r="1255" customFormat="false" ht="15" hidden="false" customHeight="false" outlineLevel="0" collapsed="false">
      <c r="A1255" s="22"/>
      <c r="B1255" s="22"/>
      <c r="C1255" s="22"/>
      <c r="D1255" s="22"/>
      <c r="E1255" s="22"/>
      <c r="F1255" s="22"/>
      <c r="G1255" s="23"/>
      <c r="H1255" s="24" t="str">
        <f aca="false">IF(G1255="","",ROUND((Config!$C$4-G1255)/365.25,2))</f>
        <v/>
      </c>
      <c r="I1255" s="25" t="str">
        <f aca="false">IF(H1255="","",IF(H1255&lt;=1,"Tramo 1",IF(H1255&lt;=3,"Tramo 2",IF(H1255&lt;=5,"Tramo 3","Tramo 4"))))</f>
        <v/>
      </c>
      <c r="J1255" s="22"/>
      <c r="K1255" s="22"/>
      <c r="L1255" s="22"/>
      <c r="M1255" s="26"/>
      <c r="N1255" s="22"/>
      <c r="O1255" s="22"/>
      <c r="P1255" s="25" t="str">
        <f aca="false">IF(OR(O1255="",O1255="Sin información"),"",IFERROR(INDEX(Listas!$B$2:$B$9,MATCH(O1255,Listas!$A$2:$A$9,0)),""))</f>
        <v/>
      </c>
      <c r="Q1255" s="25" t="str">
        <f aca="false">IF(OR(O1255="",O1255="Sin información"),"",IFERROR(INDEX(Listas!$C$2:$C$9,MATCH(O1255,Listas!$A$2:$A$9,0)),""))</f>
        <v/>
      </c>
      <c r="R1255" s="22"/>
      <c r="S1255" s="22"/>
      <c r="T1255" s="25" t="str">
        <f aca="false">IF(S1255="","",IFERROR(INDEX(Empleadores!$B$2:$B$601,MATCH(S1255,Empleadores!$A$2:$A$601,0)),"No encontrado"))</f>
        <v/>
      </c>
      <c r="U1255" s="25" t="str">
        <f aca="false">IF(C1255="","",IF(V1255="","No",IF(Config!$C$4-V1255&lt;=Config!$C$15,"Sí","No")))</f>
        <v/>
      </c>
      <c r="V1255" s="23"/>
      <c r="W1255" s="22"/>
      <c r="X1255" s="22"/>
      <c r="Y1255" s="22"/>
      <c r="Z1255" s="27"/>
      <c r="AA1255" s="22"/>
      <c r="AB1255" s="22"/>
    </row>
    <row r="1256" customFormat="false" ht="15" hidden="false" customHeight="false" outlineLevel="0" collapsed="false">
      <c r="A1256" s="22"/>
      <c r="B1256" s="22"/>
      <c r="C1256" s="22"/>
      <c r="D1256" s="22"/>
      <c r="E1256" s="22"/>
      <c r="F1256" s="22"/>
      <c r="G1256" s="23"/>
      <c r="H1256" s="24" t="str">
        <f aca="false">IF(G1256="","",ROUND((Config!$C$4-G1256)/365.25,2))</f>
        <v/>
      </c>
      <c r="I1256" s="25" t="str">
        <f aca="false">IF(H1256="","",IF(H1256&lt;=1,"Tramo 1",IF(H1256&lt;=3,"Tramo 2",IF(H1256&lt;=5,"Tramo 3","Tramo 4"))))</f>
        <v/>
      </c>
      <c r="J1256" s="22"/>
      <c r="K1256" s="22"/>
      <c r="L1256" s="22"/>
      <c r="M1256" s="26"/>
      <c r="N1256" s="22"/>
      <c r="O1256" s="22"/>
      <c r="P1256" s="25" t="str">
        <f aca="false">IF(OR(O1256="",O1256="Sin información"),"",IFERROR(INDEX(Listas!$B$2:$B$9,MATCH(O1256,Listas!$A$2:$A$9,0)),""))</f>
        <v/>
      </c>
      <c r="Q1256" s="25" t="str">
        <f aca="false">IF(OR(O1256="",O1256="Sin información"),"",IFERROR(INDEX(Listas!$C$2:$C$9,MATCH(O1256,Listas!$A$2:$A$9,0)),""))</f>
        <v/>
      </c>
      <c r="R1256" s="22"/>
      <c r="S1256" s="22"/>
      <c r="T1256" s="25" t="str">
        <f aca="false">IF(S1256="","",IFERROR(INDEX(Empleadores!$B$2:$B$601,MATCH(S1256,Empleadores!$A$2:$A$601,0)),"No encontrado"))</f>
        <v/>
      </c>
      <c r="U1256" s="25" t="str">
        <f aca="false">IF(C1256="","",IF(V1256="","No",IF(Config!$C$4-V1256&lt;=Config!$C$15,"Sí","No")))</f>
        <v/>
      </c>
      <c r="V1256" s="23"/>
      <c r="W1256" s="22"/>
      <c r="X1256" s="22"/>
      <c r="Y1256" s="22"/>
      <c r="Z1256" s="27"/>
      <c r="AA1256" s="22"/>
      <c r="AB1256" s="22"/>
    </row>
    <row r="1257" customFormat="false" ht="15" hidden="false" customHeight="false" outlineLevel="0" collapsed="false">
      <c r="A1257" s="22"/>
      <c r="B1257" s="22"/>
      <c r="C1257" s="22"/>
      <c r="D1257" s="22"/>
      <c r="E1257" s="22"/>
      <c r="F1257" s="22"/>
      <c r="G1257" s="23"/>
      <c r="H1257" s="24" t="str">
        <f aca="false">IF(G1257="","",ROUND((Config!$C$4-G1257)/365.25,2))</f>
        <v/>
      </c>
      <c r="I1257" s="25" t="str">
        <f aca="false">IF(H1257="","",IF(H1257&lt;=1,"Tramo 1",IF(H1257&lt;=3,"Tramo 2",IF(H1257&lt;=5,"Tramo 3","Tramo 4"))))</f>
        <v/>
      </c>
      <c r="J1257" s="22"/>
      <c r="K1257" s="22"/>
      <c r="L1257" s="22"/>
      <c r="M1257" s="26"/>
      <c r="N1257" s="22"/>
      <c r="O1257" s="22"/>
      <c r="P1257" s="25" t="str">
        <f aca="false">IF(OR(O1257="",O1257="Sin información"),"",IFERROR(INDEX(Listas!$B$2:$B$9,MATCH(O1257,Listas!$A$2:$A$9,0)),""))</f>
        <v/>
      </c>
      <c r="Q1257" s="25" t="str">
        <f aca="false">IF(OR(O1257="",O1257="Sin información"),"",IFERROR(INDEX(Listas!$C$2:$C$9,MATCH(O1257,Listas!$A$2:$A$9,0)),""))</f>
        <v/>
      </c>
      <c r="R1257" s="22"/>
      <c r="S1257" s="22"/>
      <c r="T1257" s="25" t="str">
        <f aca="false">IF(S1257="","",IFERROR(INDEX(Empleadores!$B$2:$B$601,MATCH(S1257,Empleadores!$A$2:$A$601,0)),"No encontrado"))</f>
        <v/>
      </c>
      <c r="U1257" s="25" t="str">
        <f aca="false">IF(C1257="","",IF(V1257="","No",IF(Config!$C$4-V1257&lt;=Config!$C$15,"Sí","No")))</f>
        <v/>
      </c>
      <c r="V1257" s="23"/>
      <c r="W1257" s="22"/>
      <c r="X1257" s="22"/>
      <c r="Y1257" s="22"/>
      <c r="Z1257" s="27"/>
      <c r="AA1257" s="22"/>
      <c r="AB1257" s="22"/>
    </row>
    <row r="1258" customFormat="false" ht="15" hidden="false" customHeight="false" outlineLevel="0" collapsed="false">
      <c r="A1258" s="22"/>
      <c r="B1258" s="22"/>
      <c r="C1258" s="22"/>
      <c r="D1258" s="22"/>
      <c r="E1258" s="22"/>
      <c r="F1258" s="22"/>
      <c r="G1258" s="23"/>
      <c r="H1258" s="24" t="str">
        <f aca="false">IF(G1258="","",ROUND((Config!$C$4-G1258)/365.25,2))</f>
        <v/>
      </c>
      <c r="I1258" s="25" t="str">
        <f aca="false">IF(H1258="","",IF(H1258&lt;=1,"Tramo 1",IF(H1258&lt;=3,"Tramo 2",IF(H1258&lt;=5,"Tramo 3","Tramo 4"))))</f>
        <v/>
      </c>
      <c r="J1258" s="22"/>
      <c r="K1258" s="22"/>
      <c r="L1258" s="22"/>
      <c r="M1258" s="26"/>
      <c r="N1258" s="22"/>
      <c r="O1258" s="22"/>
      <c r="P1258" s="25" t="str">
        <f aca="false">IF(OR(O1258="",O1258="Sin información"),"",IFERROR(INDEX(Listas!$B$2:$B$9,MATCH(O1258,Listas!$A$2:$A$9,0)),""))</f>
        <v/>
      </c>
      <c r="Q1258" s="25" t="str">
        <f aca="false">IF(OR(O1258="",O1258="Sin información"),"",IFERROR(INDEX(Listas!$C$2:$C$9,MATCH(O1258,Listas!$A$2:$A$9,0)),""))</f>
        <v/>
      </c>
      <c r="R1258" s="22"/>
      <c r="S1258" s="22"/>
      <c r="T1258" s="25" t="str">
        <f aca="false">IF(S1258="","",IFERROR(INDEX(Empleadores!$B$2:$B$601,MATCH(S1258,Empleadores!$A$2:$A$601,0)),"No encontrado"))</f>
        <v/>
      </c>
      <c r="U1258" s="25" t="str">
        <f aca="false">IF(C1258="","",IF(V1258="","No",IF(Config!$C$4-V1258&lt;=Config!$C$15,"Sí","No")))</f>
        <v/>
      </c>
      <c r="V1258" s="23"/>
      <c r="W1258" s="22"/>
      <c r="X1258" s="22"/>
      <c r="Y1258" s="22"/>
      <c r="Z1258" s="27"/>
      <c r="AA1258" s="22"/>
      <c r="AB1258" s="22"/>
    </row>
    <row r="1259" customFormat="false" ht="15" hidden="false" customHeight="false" outlineLevel="0" collapsed="false">
      <c r="A1259" s="22"/>
      <c r="B1259" s="22"/>
      <c r="C1259" s="22"/>
      <c r="D1259" s="22"/>
      <c r="E1259" s="22"/>
      <c r="F1259" s="22"/>
      <c r="G1259" s="23"/>
      <c r="H1259" s="24" t="str">
        <f aca="false">IF(G1259="","",ROUND((Config!$C$4-G1259)/365.25,2))</f>
        <v/>
      </c>
      <c r="I1259" s="25" t="str">
        <f aca="false">IF(H1259="","",IF(H1259&lt;=1,"Tramo 1",IF(H1259&lt;=3,"Tramo 2",IF(H1259&lt;=5,"Tramo 3","Tramo 4"))))</f>
        <v/>
      </c>
      <c r="J1259" s="22"/>
      <c r="K1259" s="22"/>
      <c r="L1259" s="22"/>
      <c r="M1259" s="26"/>
      <c r="N1259" s="22"/>
      <c r="O1259" s="22"/>
      <c r="P1259" s="25" t="str">
        <f aca="false">IF(OR(O1259="",O1259="Sin información"),"",IFERROR(INDEX(Listas!$B$2:$B$9,MATCH(O1259,Listas!$A$2:$A$9,0)),""))</f>
        <v/>
      </c>
      <c r="Q1259" s="25" t="str">
        <f aca="false">IF(OR(O1259="",O1259="Sin información"),"",IFERROR(INDEX(Listas!$C$2:$C$9,MATCH(O1259,Listas!$A$2:$A$9,0)),""))</f>
        <v/>
      </c>
      <c r="R1259" s="22"/>
      <c r="S1259" s="22"/>
      <c r="T1259" s="25" t="str">
        <f aca="false">IF(S1259="","",IFERROR(INDEX(Empleadores!$B$2:$B$601,MATCH(S1259,Empleadores!$A$2:$A$601,0)),"No encontrado"))</f>
        <v/>
      </c>
      <c r="U1259" s="25" t="str">
        <f aca="false">IF(C1259="","",IF(V1259="","No",IF(Config!$C$4-V1259&lt;=Config!$C$15,"Sí","No")))</f>
        <v/>
      </c>
      <c r="V1259" s="23"/>
      <c r="W1259" s="22"/>
      <c r="X1259" s="22"/>
      <c r="Y1259" s="22"/>
      <c r="Z1259" s="27"/>
      <c r="AA1259" s="22"/>
      <c r="AB1259" s="22"/>
    </row>
    <row r="1260" customFormat="false" ht="15" hidden="false" customHeight="false" outlineLevel="0" collapsed="false">
      <c r="A1260" s="22"/>
      <c r="B1260" s="22"/>
      <c r="C1260" s="22"/>
      <c r="D1260" s="22"/>
      <c r="E1260" s="22"/>
      <c r="F1260" s="22"/>
      <c r="G1260" s="23"/>
      <c r="H1260" s="24" t="str">
        <f aca="false">IF(G1260="","",ROUND((Config!$C$4-G1260)/365.25,2))</f>
        <v/>
      </c>
      <c r="I1260" s="25" t="str">
        <f aca="false">IF(H1260="","",IF(H1260&lt;=1,"Tramo 1",IF(H1260&lt;=3,"Tramo 2",IF(H1260&lt;=5,"Tramo 3","Tramo 4"))))</f>
        <v/>
      </c>
      <c r="J1260" s="22"/>
      <c r="K1260" s="22"/>
      <c r="L1260" s="22"/>
      <c r="M1260" s="26"/>
      <c r="N1260" s="22"/>
      <c r="O1260" s="22"/>
      <c r="P1260" s="25" t="str">
        <f aca="false">IF(OR(O1260="",O1260="Sin información"),"",IFERROR(INDEX(Listas!$B$2:$B$9,MATCH(O1260,Listas!$A$2:$A$9,0)),""))</f>
        <v/>
      </c>
      <c r="Q1260" s="25" t="str">
        <f aca="false">IF(OR(O1260="",O1260="Sin información"),"",IFERROR(INDEX(Listas!$C$2:$C$9,MATCH(O1260,Listas!$A$2:$A$9,0)),""))</f>
        <v/>
      </c>
      <c r="R1260" s="22"/>
      <c r="S1260" s="22"/>
      <c r="T1260" s="25" t="str">
        <f aca="false">IF(S1260="","",IFERROR(INDEX(Empleadores!$B$2:$B$601,MATCH(S1260,Empleadores!$A$2:$A$601,0)),"No encontrado"))</f>
        <v/>
      </c>
      <c r="U1260" s="25" t="str">
        <f aca="false">IF(C1260="","",IF(V1260="","No",IF(Config!$C$4-V1260&lt;=Config!$C$15,"Sí","No")))</f>
        <v/>
      </c>
      <c r="V1260" s="23"/>
      <c r="W1260" s="22"/>
      <c r="X1260" s="22"/>
      <c r="Y1260" s="22"/>
      <c r="Z1260" s="27"/>
      <c r="AA1260" s="22"/>
      <c r="AB1260" s="22"/>
    </row>
    <row r="1261" customFormat="false" ht="15" hidden="false" customHeight="false" outlineLevel="0" collapsed="false">
      <c r="A1261" s="22"/>
      <c r="B1261" s="22"/>
      <c r="C1261" s="22"/>
      <c r="D1261" s="22"/>
      <c r="E1261" s="22"/>
      <c r="F1261" s="22"/>
      <c r="G1261" s="23"/>
      <c r="H1261" s="24" t="str">
        <f aca="false">IF(G1261="","",ROUND((Config!$C$4-G1261)/365.25,2))</f>
        <v/>
      </c>
      <c r="I1261" s="25" t="str">
        <f aca="false">IF(H1261="","",IF(H1261&lt;=1,"Tramo 1",IF(H1261&lt;=3,"Tramo 2",IF(H1261&lt;=5,"Tramo 3","Tramo 4"))))</f>
        <v/>
      </c>
      <c r="J1261" s="22"/>
      <c r="K1261" s="22"/>
      <c r="L1261" s="22"/>
      <c r="M1261" s="26"/>
      <c r="N1261" s="22"/>
      <c r="O1261" s="22"/>
      <c r="P1261" s="25" t="str">
        <f aca="false">IF(OR(O1261="",O1261="Sin información"),"",IFERROR(INDEX(Listas!$B$2:$B$9,MATCH(O1261,Listas!$A$2:$A$9,0)),""))</f>
        <v/>
      </c>
      <c r="Q1261" s="25" t="str">
        <f aca="false">IF(OR(O1261="",O1261="Sin información"),"",IFERROR(INDEX(Listas!$C$2:$C$9,MATCH(O1261,Listas!$A$2:$A$9,0)),""))</f>
        <v/>
      </c>
      <c r="R1261" s="22"/>
      <c r="S1261" s="22"/>
      <c r="T1261" s="25" t="str">
        <f aca="false">IF(S1261="","",IFERROR(INDEX(Empleadores!$B$2:$B$601,MATCH(S1261,Empleadores!$A$2:$A$601,0)),"No encontrado"))</f>
        <v/>
      </c>
      <c r="U1261" s="25" t="str">
        <f aca="false">IF(C1261="","",IF(V1261="","No",IF(Config!$C$4-V1261&lt;=Config!$C$15,"Sí","No")))</f>
        <v/>
      </c>
      <c r="V1261" s="23"/>
      <c r="W1261" s="22"/>
      <c r="X1261" s="22"/>
      <c r="Y1261" s="22"/>
      <c r="Z1261" s="27"/>
      <c r="AA1261" s="22"/>
      <c r="AB1261" s="22"/>
    </row>
    <row r="1262" customFormat="false" ht="15" hidden="false" customHeight="false" outlineLevel="0" collapsed="false">
      <c r="A1262" s="22"/>
      <c r="B1262" s="22"/>
      <c r="C1262" s="22"/>
      <c r="D1262" s="22"/>
      <c r="E1262" s="22"/>
      <c r="F1262" s="22"/>
      <c r="G1262" s="23"/>
      <c r="H1262" s="24" t="str">
        <f aca="false">IF(G1262="","",ROUND((Config!$C$4-G1262)/365.25,2))</f>
        <v/>
      </c>
      <c r="I1262" s="25" t="str">
        <f aca="false">IF(H1262="","",IF(H1262&lt;=1,"Tramo 1",IF(H1262&lt;=3,"Tramo 2",IF(H1262&lt;=5,"Tramo 3","Tramo 4"))))</f>
        <v/>
      </c>
      <c r="J1262" s="22"/>
      <c r="K1262" s="22"/>
      <c r="L1262" s="22"/>
      <c r="M1262" s="26"/>
      <c r="N1262" s="22"/>
      <c r="O1262" s="22"/>
      <c r="P1262" s="25" t="str">
        <f aca="false">IF(OR(O1262="",O1262="Sin información"),"",IFERROR(INDEX(Listas!$B$2:$B$9,MATCH(O1262,Listas!$A$2:$A$9,0)),""))</f>
        <v/>
      </c>
      <c r="Q1262" s="25" t="str">
        <f aca="false">IF(OR(O1262="",O1262="Sin información"),"",IFERROR(INDEX(Listas!$C$2:$C$9,MATCH(O1262,Listas!$A$2:$A$9,0)),""))</f>
        <v/>
      </c>
      <c r="R1262" s="22"/>
      <c r="S1262" s="22"/>
      <c r="T1262" s="25" t="str">
        <f aca="false">IF(S1262="","",IFERROR(INDEX(Empleadores!$B$2:$B$601,MATCH(S1262,Empleadores!$A$2:$A$601,0)),"No encontrado"))</f>
        <v/>
      </c>
      <c r="U1262" s="25" t="str">
        <f aca="false">IF(C1262="","",IF(V1262="","No",IF(Config!$C$4-V1262&lt;=Config!$C$15,"Sí","No")))</f>
        <v/>
      </c>
      <c r="V1262" s="23"/>
      <c r="W1262" s="22"/>
      <c r="X1262" s="22"/>
      <c r="Y1262" s="22"/>
      <c r="Z1262" s="27"/>
      <c r="AA1262" s="22"/>
      <c r="AB1262" s="22"/>
    </row>
    <row r="1263" customFormat="false" ht="15" hidden="false" customHeight="false" outlineLevel="0" collapsed="false">
      <c r="A1263" s="22"/>
      <c r="B1263" s="22"/>
      <c r="C1263" s="22"/>
      <c r="D1263" s="22"/>
      <c r="E1263" s="22"/>
      <c r="F1263" s="22"/>
      <c r="G1263" s="23"/>
      <c r="H1263" s="24" t="str">
        <f aca="false">IF(G1263="","",ROUND((Config!$C$4-G1263)/365.25,2))</f>
        <v/>
      </c>
      <c r="I1263" s="25" t="str">
        <f aca="false">IF(H1263="","",IF(H1263&lt;=1,"Tramo 1",IF(H1263&lt;=3,"Tramo 2",IF(H1263&lt;=5,"Tramo 3","Tramo 4"))))</f>
        <v/>
      </c>
      <c r="J1263" s="22"/>
      <c r="K1263" s="22"/>
      <c r="L1263" s="22"/>
      <c r="M1263" s="26"/>
      <c r="N1263" s="22"/>
      <c r="O1263" s="22"/>
      <c r="P1263" s="25" t="str">
        <f aca="false">IF(OR(O1263="",O1263="Sin información"),"",IFERROR(INDEX(Listas!$B$2:$B$9,MATCH(O1263,Listas!$A$2:$A$9,0)),""))</f>
        <v/>
      </c>
      <c r="Q1263" s="25" t="str">
        <f aca="false">IF(OR(O1263="",O1263="Sin información"),"",IFERROR(INDEX(Listas!$C$2:$C$9,MATCH(O1263,Listas!$A$2:$A$9,0)),""))</f>
        <v/>
      </c>
      <c r="R1263" s="22"/>
      <c r="S1263" s="22"/>
      <c r="T1263" s="25" t="str">
        <f aca="false">IF(S1263="","",IFERROR(INDEX(Empleadores!$B$2:$B$601,MATCH(S1263,Empleadores!$A$2:$A$601,0)),"No encontrado"))</f>
        <v/>
      </c>
      <c r="U1263" s="25" t="str">
        <f aca="false">IF(C1263="","",IF(V1263="","No",IF(Config!$C$4-V1263&lt;=Config!$C$15,"Sí","No")))</f>
        <v/>
      </c>
      <c r="V1263" s="23"/>
      <c r="W1263" s="22"/>
      <c r="X1263" s="22"/>
      <c r="Y1263" s="22"/>
      <c r="Z1263" s="27"/>
      <c r="AA1263" s="22"/>
      <c r="AB1263" s="22"/>
    </row>
    <row r="1264" customFormat="false" ht="15" hidden="false" customHeight="false" outlineLevel="0" collapsed="false">
      <c r="A1264" s="22"/>
      <c r="B1264" s="22"/>
      <c r="C1264" s="22"/>
      <c r="D1264" s="22"/>
      <c r="E1264" s="22"/>
      <c r="F1264" s="22"/>
      <c r="G1264" s="23"/>
      <c r="H1264" s="24" t="str">
        <f aca="false">IF(G1264="","",ROUND((Config!$C$4-G1264)/365.25,2))</f>
        <v/>
      </c>
      <c r="I1264" s="25" t="str">
        <f aca="false">IF(H1264="","",IF(H1264&lt;=1,"Tramo 1",IF(H1264&lt;=3,"Tramo 2",IF(H1264&lt;=5,"Tramo 3","Tramo 4"))))</f>
        <v/>
      </c>
      <c r="J1264" s="22"/>
      <c r="K1264" s="22"/>
      <c r="L1264" s="22"/>
      <c r="M1264" s="26"/>
      <c r="N1264" s="22"/>
      <c r="O1264" s="22"/>
      <c r="P1264" s="25" t="str">
        <f aca="false">IF(OR(O1264="",O1264="Sin información"),"",IFERROR(INDEX(Listas!$B$2:$B$9,MATCH(O1264,Listas!$A$2:$A$9,0)),""))</f>
        <v/>
      </c>
      <c r="Q1264" s="25" t="str">
        <f aca="false">IF(OR(O1264="",O1264="Sin información"),"",IFERROR(INDEX(Listas!$C$2:$C$9,MATCH(O1264,Listas!$A$2:$A$9,0)),""))</f>
        <v/>
      </c>
      <c r="R1264" s="22"/>
      <c r="S1264" s="22"/>
      <c r="T1264" s="25" t="str">
        <f aca="false">IF(S1264="","",IFERROR(INDEX(Empleadores!$B$2:$B$601,MATCH(S1264,Empleadores!$A$2:$A$601,0)),"No encontrado"))</f>
        <v/>
      </c>
      <c r="U1264" s="25" t="str">
        <f aca="false">IF(C1264="","",IF(V1264="","No",IF(Config!$C$4-V1264&lt;=Config!$C$15,"Sí","No")))</f>
        <v/>
      </c>
      <c r="V1264" s="23"/>
      <c r="W1264" s="22"/>
      <c r="X1264" s="22"/>
      <c r="Y1264" s="22"/>
      <c r="Z1264" s="27"/>
      <c r="AA1264" s="22"/>
      <c r="AB1264" s="22"/>
    </row>
    <row r="1265" customFormat="false" ht="15" hidden="false" customHeight="false" outlineLevel="0" collapsed="false">
      <c r="A1265" s="22"/>
      <c r="B1265" s="22"/>
      <c r="C1265" s="22"/>
      <c r="D1265" s="22"/>
      <c r="E1265" s="22"/>
      <c r="F1265" s="22"/>
      <c r="G1265" s="23"/>
      <c r="H1265" s="24" t="str">
        <f aca="false">IF(G1265="","",ROUND((Config!$C$4-G1265)/365.25,2))</f>
        <v/>
      </c>
      <c r="I1265" s="25" t="str">
        <f aca="false">IF(H1265="","",IF(H1265&lt;=1,"Tramo 1",IF(H1265&lt;=3,"Tramo 2",IF(H1265&lt;=5,"Tramo 3","Tramo 4"))))</f>
        <v/>
      </c>
      <c r="J1265" s="22"/>
      <c r="K1265" s="22"/>
      <c r="L1265" s="22"/>
      <c r="M1265" s="26"/>
      <c r="N1265" s="22"/>
      <c r="O1265" s="22"/>
      <c r="P1265" s="25" t="str">
        <f aca="false">IF(OR(O1265="",O1265="Sin información"),"",IFERROR(INDEX(Listas!$B$2:$B$9,MATCH(O1265,Listas!$A$2:$A$9,0)),""))</f>
        <v/>
      </c>
      <c r="Q1265" s="25" t="str">
        <f aca="false">IF(OR(O1265="",O1265="Sin información"),"",IFERROR(INDEX(Listas!$C$2:$C$9,MATCH(O1265,Listas!$A$2:$A$9,0)),""))</f>
        <v/>
      </c>
      <c r="R1265" s="22"/>
      <c r="S1265" s="22"/>
      <c r="T1265" s="25" t="str">
        <f aca="false">IF(S1265="","",IFERROR(INDEX(Empleadores!$B$2:$B$601,MATCH(S1265,Empleadores!$A$2:$A$601,0)),"No encontrado"))</f>
        <v/>
      </c>
      <c r="U1265" s="25" t="str">
        <f aca="false">IF(C1265="","",IF(V1265="","No",IF(Config!$C$4-V1265&lt;=Config!$C$15,"Sí","No")))</f>
        <v/>
      </c>
      <c r="V1265" s="23"/>
      <c r="W1265" s="22"/>
      <c r="X1265" s="22"/>
      <c r="Y1265" s="22"/>
      <c r="Z1265" s="27"/>
      <c r="AA1265" s="22"/>
      <c r="AB1265" s="22"/>
    </row>
    <row r="1266" customFormat="false" ht="15" hidden="false" customHeight="false" outlineLevel="0" collapsed="false">
      <c r="A1266" s="22"/>
      <c r="B1266" s="22"/>
      <c r="C1266" s="22"/>
      <c r="D1266" s="22"/>
      <c r="E1266" s="22"/>
      <c r="F1266" s="22"/>
      <c r="G1266" s="23"/>
      <c r="H1266" s="24" t="str">
        <f aca="false">IF(G1266="","",ROUND((Config!$C$4-G1266)/365.25,2))</f>
        <v/>
      </c>
      <c r="I1266" s="25" t="str">
        <f aca="false">IF(H1266="","",IF(H1266&lt;=1,"Tramo 1",IF(H1266&lt;=3,"Tramo 2",IF(H1266&lt;=5,"Tramo 3","Tramo 4"))))</f>
        <v/>
      </c>
      <c r="J1266" s="22"/>
      <c r="K1266" s="22"/>
      <c r="L1266" s="22"/>
      <c r="M1266" s="26"/>
      <c r="N1266" s="22"/>
      <c r="O1266" s="22"/>
      <c r="P1266" s="25" t="str">
        <f aca="false">IF(OR(O1266="",O1266="Sin información"),"",IFERROR(INDEX(Listas!$B$2:$B$9,MATCH(O1266,Listas!$A$2:$A$9,0)),""))</f>
        <v/>
      </c>
      <c r="Q1266" s="25" t="str">
        <f aca="false">IF(OR(O1266="",O1266="Sin información"),"",IFERROR(INDEX(Listas!$C$2:$C$9,MATCH(O1266,Listas!$A$2:$A$9,0)),""))</f>
        <v/>
      </c>
      <c r="R1266" s="22"/>
      <c r="S1266" s="22"/>
      <c r="T1266" s="25" t="str">
        <f aca="false">IF(S1266="","",IFERROR(INDEX(Empleadores!$B$2:$B$601,MATCH(S1266,Empleadores!$A$2:$A$601,0)),"No encontrado"))</f>
        <v/>
      </c>
      <c r="U1266" s="25" t="str">
        <f aca="false">IF(C1266="","",IF(V1266="","No",IF(Config!$C$4-V1266&lt;=Config!$C$15,"Sí","No")))</f>
        <v/>
      </c>
      <c r="V1266" s="23"/>
      <c r="W1266" s="22"/>
      <c r="X1266" s="22"/>
      <c r="Y1266" s="22"/>
      <c r="Z1266" s="27"/>
      <c r="AA1266" s="22"/>
      <c r="AB1266" s="22"/>
    </row>
    <row r="1267" customFormat="false" ht="15" hidden="false" customHeight="false" outlineLevel="0" collapsed="false">
      <c r="A1267" s="22"/>
      <c r="B1267" s="22"/>
      <c r="C1267" s="22"/>
      <c r="D1267" s="22"/>
      <c r="E1267" s="22"/>
      <c r="F1267" s="22"/>
      <c r="G1267" s="23"/>
      <c r="H1267" s="24" t="str">
        <f aca="false">IF(G1267="","",ROUND((Config!$C$4-G1267)/365.25,2))</f>
        <v/>
      </c>
      <c r="I1267" s="25" t="str">
        <f aca="false">IF(H1267="","",IF(H1267&lt;=1,"Tramo 1",IF(H1267&lt;=3,"Tramo 2",IF(H1267&lt;=5,"Tramo 3","Tramo 4"))))</f>
        <v/>
      </c>
      <c r="J1267" s="22"/>
      <c r="K1267" s="22"/>
      <c r="L1267" s="22"/>
      <c r="M1267" s="26"/>
      <c r="N1267" s="22"/>
      <c r="O1267" s="22"/>
      <c r="P1267" s="25" t="str">
        <f aca="false">IF(OR(O1267="",O1267="Sin información"),"",IFERROR(INDEX(Listas!$B$2:$B$9,MATCH(O1267,Listas!$A$2:$A$9,0)),""))</f>
        <v/>
      </c>
      <c r="Q1267" s="25" t="str">
        <f aca="false">IF(OR(O1267="",O1267="Sin información"),"",IFERROR(INDEX(Listas!$C$2:$C$9,MATCH(O1267,Listas!$A$2:$A$9,0)),""))</f>
        <v/>
      </c>
      <c r="R1267" s="22"/>
      <c r="S1267" s="22"/>
      <c r="T1267" s="25" t="str">
        <f aca="false">IF(S1267="","",IFERROR(INDEX(Empleadores!$B$2:$B$601,MATCH(S1267,Empleadores!$A$2:$A$601,0)),"No encontrado"))</f>
        <v/>
      </c>
      <c r="U1267" s="25" t="str">
        <f aca="false">IF(C1267="","",IF(V1267="","No",IF(Config!$C$4-V1267&lt;=Config!$C$15,"Sí","No")))</f>
        <v/>
      </c>
      <c r="V1267" s="23"/>
      <c r="W1267" s="22"/>
      <c r="X1267" s="22"/>
      <c r="Y1267" s="22"/>
      <c r="Z1267" s="27"/>
      <c r="AA1267" s="22"/>
      <c r="AB1267" s="22"/>
    </row>
    <row r="1268" customFormat="false" ht="15" hidden="false" customHeight="false" outlineLevel="0" collapsed="false">
      <c r="A1268" s="22"/>
      <c r="B1268" s="22"/>
      <c r="C1268" s="22"/>
      <c r="D1268" s="22"/>
      <c r="E1268" s="22"/>
      <c r="F1268" s="22"/>
      <c r="G1268" s="23"/>
      <c r="H1268" s="24" t="str">
        <f aca="false">IF(G1268="","",ROUND((Config!$C$4-G1268)/365.25,2))</f>
        <v/>
      </c>
      <c r="I1268" s="25" t="str">
        <f aca="false">IF(H1268="","",IF(H1268&lt;=1,"Tramo 1",IF(H1268&lt;=3,"Tramo 2",IF(H1268&lt;=5,"Tramo 3","Tramo 4"))))</f>
        <v/>
      </c>
      <c r="J1268" s="22"/>
      <c r="K1268" s="22"/>
      <c r="L1268" s="22"/>
      <c r="M1268" s="26"/>
      <c r="N1268" s="22"/>
      <c r="O1268" s="22"/>
      <c r="P1268" s="25" t="str">
        <f aca="false">IF(OR(O1268="",O1268="Sin información"),"",IFERROR(INDEX(Listas!$B$2:$B$9,MATCH(O1268,Listas!$A$2:$A$9,0)),""))</f>
        <v/>
      </c>
      <c r="Q1268" s="25" t="str">
        <f aca="false">IF(OR(O1268="",O1268="Sin información"),"",IFERROR(INDEX(Listas!$C$2:$C$9,MATCH(O1268,Listas!$A$2:$A$9,0)),""))</f>
        <v/>
      </c>
      <c r="R1268" s="22"/>
      <c r="S1268" s="22"/>
      <c r="T1268" s="25" t="str">
        <f aca="false">IF(S1268="","",IFERROR(INDEX(Empleadores!$B$2:$B$601,MATCH(S1268,Empleadores!$A$2:$A$601,0)),"No encontrado"))</f>
        <v/>
      </c>
      <c r="U1268" s="25" t="str">
        <f aca="false">IF(C1268="","",IF(V1268="","No",IF(Config!$C$4-V1268&lt;=Config!$C$15,"Sí","No")))</f>
        <v/>
      </c>
      <c r="V1268" s="23"/>
      <c r="W1268" s="22"/>
      <c r="X1268" s="22"/>
      <c r="Y1268" s="22"/>
      <c r="Z1268" s="27"/>
      <c r="AA1268" s="22"/>
      <c r="AB1268" s="22"/>
    </row>
    <row r="1269" customFormat="false" ht="15" hidden="false" customHeight="false" outlineLevel="0" collapsed="false">
      <c r="A1269" s="22"/>
      <c r="B1269" s="22"/>
      <c r="C1269" s="22"/>
      <c r="D1269" s="22"/>
      <c r="E1269" s="22"/>
      <c r="F1269" s="22"/>
      <c r="G1269" s="23"/>
      <c r="H1269" s="24" t="str">
        <f aca="false">IF(G1269="","",ROUND((Config!$C$4-G1269)/365.25,2))</f>
        <v/>
      </c>
      <c r="I1269" s="25" t="str">
        <f aca="false">IF(H1269="","",IF(H1269&lt;=1,"Tramo 1",IF(H1269&lt;=3,"Tramo 2",IF(H1269&lt;=5,"Tramo 3","Tramo 4"))))</f>
        <v/>
      </c>
      <c r="J1269" s="22"/>
      <c r="K1269" s="22"/>
      <c r="L1269" s="22"/>
      <c r="M1269" s="26"/>
      <c r="N1269" s="22"/>
      <c r="O1269" s="22"/>
      <c r="P1269" s="25" t="str">
        <f aca="false">IF(OR(O1269="",O1269="Sin información"),"",IFERROR(INDEX(Listas!$B$2:$B$9,MATCH(O1269,Listas!$A$2:$A$9,0)),""))</f>
        <v/>
      </c>
      <c r="Q1269" s="25" t="str">
        <f aca="false">IF(OR(O1269="",O1269="Sin información"),"",IFERROR(INDEX(Listas!$C$2:$C$9,MATCH(O1269,Listas!$A$2:$A$9,0)),""))</f>
        <v/>
      </c>
      <c r="R1269" s="22"/>
      <c r="S1269" s="22"/>
      <c r="T1269" s="25" t="str">
        <f aca="false">IF(S1269="","",IFERROR(INDEX(Empleadores!$B$2:$B$601,MATCH(S1269,Empleadores!$A$2:$A$601,0)),"No encontrado"))</f>
        <v/>
      </c>
      <c r="U1269" s="25" t="str">
        <f aca="false">IF(C1269="","",IF(V1269="","No",IF(Config!$C$4-V1269&lt;=Config!$C$15,"Sí","No")))</f>
        <v/>
      </c>
      <c r="V1269" s="23"/>
      <c r="W1269" s="22"/>
      <c r="X1269" s="22"/>
      <c r="Y1269" s="22"/>
      <c r="Z1269" s="27"/>
      <c r="AA1269" s="22"/>
      <c r="AB1269" s="22"/>
    </row>
    <row r="1270" customFormat="false" ht="15" hidden="false" customHeight="false" outlineLevel="0" collapsed="false">
      <c r="A1270" s="22"/>
      <c r="B1270" s="22"/>
      <c r="C1270" s="22"/>
      <c r="D1270" s="22"/>
      <c r="E1270" s="22"/>
      <c r="F1270" s="22"/>
      <c r="G1270" s="23"/>
      <c r="H1270" s="24" t="str">
        <f aca="false">IF(G1270="","",ROUND((Config!$C$4-G1270)/365.25,2))</f>
        <v/>
      </c>
      <c r="I1270" s="25" t="str">
        <f aca="false">IF(H1270="","",IF(H1270&lt;=1,"Tramo 1",IF(H1270&lt;=3,"Tramo 2",IF(H1270&lt;=5,"Tramo 3","Tramo 4"))))</f>
        <v/>
      </c>
      <c r="J1270" s="22"/>
      <c r="K1270" s="22"/>
      <c r="L1270" s="22"/>
      <c r="M1270" s="26"/>
      <c r="N1270" s="22"/>
      <c r="O1270" s="22"/>
      <c r="P1270" s="25" t="str">
        <f aca="false">IF(OR(O1270="",O1270="Sin información"),"",IFERROR(INDEX(Listas!$B$2:$B$9,MATCH(O1270,Listas!$A$2:$A$9,0)),""))</f>
        <v/>
      </c>
      <c r="Q1270" s="25" t="str">
        <f aca="false">IF(OR(O1270="",O1270="Sin información"),"",IFERROR(INDEX(Listas!$C$2:$C$9,MATCH(O1270,Listas!$A$2:$A$9,0)),""))</f>
        <v/>
      </c>
      <c r="R1270" s="22"/>
      <c r="S1270" s="22"/>
      <c r="T1270" s="25" t="str">
        <f aca="false">IF(S1270="","",IFERROR(INDEX(Empleadores!$B$2:$B$601,MATCH(S1270,Empleadores!$A$2:$A$601,0)),"No encontrado"))</f>
        <v/>
      </c>
      <c r="U1270" s="25" t="str">
        <f aca="false">IF(C1270="","",IF(V1270="","No",IF(Config!$C$4-V1270&lt;=Config!$C$15,"Sí","No")))</f>
        <v/>
      </c>
      <c r="V1270" s="23"/>
      <c r="W1270" s="22"/>
      <c r="X1270" s="22"/>
      <c r="Y1270" s="22"/>
      <c r="Z1270" s="27"/>
      <c r="AA1270" s="22"/>
      <c r="AB1270" s="22"/>
    </row>
    <row r="1271" customFormat="false" ht="15" hidden="false" customHeight="false" outlineLevel="0" collapsed="false">
      <c r="A1271" s="22"/>
      <c r="B1271" s="22"/>
      <c r="C1271" s="22"/>
      <c r="D1271" s="22"/>
      <c r="E1271" s="22"/>
      <c r="F1271" s="22"/>
      <c r="G1271" s="23"/>
      <c r="H1271" s="24" t="str">
        <f aca="false">IF(G1271="","",ROUND((Config!$C$4-G1271)/365.25,2))</f>
        <v/>
      </c>
      <c r="I1271" s="25" t="str">
        <f aca="false">IF(H1271="","",IF(H1271&lt;=1,"Tramo 1",IF(H1271&lt;=3,"Tramo 2",IF(H1271&lt;=5,"Tramo 3","Tramo 4"))))</f>
        <v/>
      </c>
      <c r="J1271" s="22"/>
      <c r="K1271" s="22"/>
      <c r="L1271" s="22"/>
      <c r="M1271" s="26"/>
      <c r="N1271" s="22"/>
      <c r="O1271" s="22"/>
      <c r="P1271" s="25" t="str">
        <f aca="false">IF(OR(O1271="",O1271="Sin información"),"",IFERROR(INDEX(Listas!$B$2:$B$9,MATCH(O1271,Listas!$A$2:$A$9,0)),""))</f>
        <v/>
      </c>
      <c r="Q1271" s="25" t="str">
        <f aca="false">IF(OR(O1271="",O1271="Sin información"),"",IFERROR(INDEX(Listas!$C$2:$C$9,MATCH(O1271,Listas!$A$2:$A$9,0)),""))</f>
        <v/>
      </c>
      <c r="R1271" s="22"/>
      <c r="S1271" s="22"/>
      <c r="T1271" s="25" t="str">
        <f aca="false">IF(S1271="","",IFERROR(INDEX(Empleadores!$B$2:$B$601,MATCH(S1271,Empleadores!$A$2:$A$601,0)),"No encontrado"))</f>
        <v/>
      </c>
      <c r="U1271" s="25" t="str">
        <f aca="false">IF(C1271="","",IF(V1271="","No",IF(Config!$C$4-V1271&lt;=Config!$C$15,"Sí","No")))</f>
        <v/>
      </c>
      <c r="V1271" s="23"/>
      <c r="W1271" s="22"/>
      <c r="X1271" s="22"/>
      <c r="Y1271" s="22"/>
      <c r="Z1271" s="27"/>
      <c r="AA1271" s="22"/>
      <c r="AB1271" s="22"/>
    </row>
    <row r="1272" customFormat="false" ht="15" hidden="false" customHeight="false" outlineLevel="0" collapsed="false">
      <c r="A1272" s="22"/>
      <c r="B1272" s="22"/>
      <c r="C1272" s="22"/>
      <c r="D1272" s="22"/>
      <c r="E1272" s="22"/>
      <c r="F1272" s="22"/>
      <c r="G1272" s="23"/>
      <c r="H1272" s="24" t="str">
        <f aca="false">IF(G1272="","",ROUND((Config!$C$4-G1272)/365.25,2))</f>
        <v/>
      </c>
      <c r="I1272" s="25" t="str">
        <f aca="false">IF(H1272="","",IF(H1272&lt;=1,"Tramo 1",IF(H1272&lt;=3,"Tramo 2",IF(H1272&lt;=5,"Tramo 3","Tramo 4"))))</f>
        <v/>
      </c>
      <c r="J1272" s="22"/>
      <c r="K1272" s="22"/>
      <c r="L1272" s="22"/>
      <c r="M1272" s="26"/>
      <c r="N1272" s="22"/>
      <c r="O1272" s="22"/>
      <c r="P1272" s="25" t="str">
        <f aca="false">IF(OR(O1272="",O1272="Sin información"),"",IFERROR(INDEX(Listas!$B$2:$B$9,MATCH(O1272,Listas!$A$2:$A$9,0)),""))</f>
        <v/>
      </c>
      <c r="Q1272" s="25" t="str">
        <f aca="false">IF(OR(O1272="",O1272="Sin información"),"",IFERROR(INDEX(Listas!$C$2:$C$9,MATCH(O1272,Listas!$A$2:$A$9,0)),""))</f>
        <v/>
      </c>
      <c r="R1272" s="22"/>
      <c r="S1272" s="22"/>
      <c r="T1272" s="25" t="str">
        <f aca="false">IF(S1272="","",IFERROR(INDEX(Empleadores!$B$2:$B$601,MATCH(S1272,Empleadores!$A$2:$A$601,0)),"No encontrado"))</f>
        <v/>
      </c>
      <c r="U1272" s="25" t="str">
        <f aca="false">IF(C1272="","",IF(V1272="","No",IF(Config!$C$4-V1272&lt;=Config!$C$15,"Sí","No")))</f>
        <v/>
      </c>
      <c r="V1272" s="23"/>
      <c r="W1272" s="22"/>
      <c r="X1272" s="22"/>
      <c r="Y1272" s="22"/>
      <c r="Z1272" s="27"/>
      <c r="AA1272" s="22"/>
      <c r="AB1272" s="22"/>
    </row>
    <row r="1273" customFormat="false" ht="15" hidden="false" customHeight="false" outlineLevel="0" collapsed="false">
      <c r="A1273" s="22"/>
      <c r="B1273" s="22"/>
      <c r="C1273" s="22"/>
      <c r="D1273" s="22"/>
      <c r="E1273" s="22"/>
      <c r="F1273" s="22"/>
      <c r="G1273" s="23"/>
      <c r="H1273" s="24" t="str">
        <f aca="false">IF(G1273="","",ROUND((Config!$C$4-G1273)/365.25,2))</f>
        <v/>
      </c>
      <c r="I1273" s="25" t="str">
        <f aca="false">IF(H1273="","",IF(H1273&lt;=1,"Tramo 1",IF(H1273&lt;=3,"Tramo 2",IF(H1273&lt;=5,"Tramo 3","Tramo 4"))))</f>
        <v/>
      </c>
      <c r="J1273" s="22"/>
      <c r="K1273" s="22"/>
      <c r="L1273" s="22"/>
      <c r="M1273" s="26"/>
      <c r="N1273" s="22"/>
      <c r="O1273" s="22"/>
      <c r="P1273" s="25" t="str">
        <f aca="false">IF(OR(O1273="",O1273="Sin información"),"",IFERROR(INDEX(Listas!$B$2:$B$9,MATCH(O1273,Listas!$A$2:$A$9,0)),""))</f>
        <v/>
      </c>
      <c r="Q1273" s="25" t="str">
        <f aca="false">IF(OR(O1273="",O1273="Sin información"),"",IFERROR(INDEX(Listas!$C$2:$C$9,MATCH(O1273,Listas!$A$2:$A$9,0)),""))</f>
        <v/>
      </c>
      <c r="R1273" s="22"/>
      <c r="S1273" s="22"/>
      <c r="T1273" s="25" t="str">
        <f aca="false">IF(S1273="","",IFERROR(INDEX(Empleadores!$B$2:$B$601,MATCH(S1273,Empleadores!$A$2:$A$601,0)),"No encontrado"))</f>
        <v/>
      </c>
      <c r="U1273" s="25" t="str">
        <f aca="false">IF(C1273="","",IF(V1273="","No",IF(Config!$C$4-V1273&lt;=Config!$C$15,"Sí","No")))</f>
        <v/>
      </c>
      <c r="V1273" s="23"/>
      <c r="W1273" s="22"/>
      <c r="X1273" s="22"/>
      <c r="Y1273" s="22"/>
      <c r="Z1273" s="27"/>
      <c r="AA1273" s="22"/>
      <c r="AB1273" s="22"/>
    </row>
    <row r="1274" customFormat="false" ht="15" hidden="false" customHeight="false" outlineLevel="0" collapsed="false">
      <c r="A1274" s="22"/>
      <c r="B1274" s="22"/>
      <c r="C1274" s="22"/>
      <c r="D1274" s="22"/>
      <c r="E1274" s="22"/>
      <c r="F1274" s="22"/>
      <c r="G1274" s="23"/>
      <c r="H1274" s="24" t="str">
        <f aca="false">IF(G1274="","",ROUND((Config!$C$4-G1274)/365.25,2))</f>
        <v/>
      </c>
      <c r="I1274" s="25" t="str">
        <f aca="false">IF(H1274="","",IF(H1274&lt;=1,"Tramo 1",IF(H1274&lt;=3,"Tramo 2",IF(H1274&lt;=5,"Tramo 3","Tramo 4"))))</f>
        <v/>
      </c>
      <c r="J1274" s="22"/>
      <c r="K1274" s="22"/>
      <c r="L1274" s="22"/>
      <c r="M1274" s="26"/>
      <c r="N1274" s="22"/>
      <c r="O1274" s="22"/>
      <c r="P1274" s="25" t="str">
        <f aca="false">IF(OR(O1274="",O1274="Sin información"),"",IFERROR(INDEX(Listas!$B$2:$B$9,MATCH(O1274,Listas!$A$2:$A$9,0)),""))</f>
        <v/>
      </c>
      <c r="Q1274" s="25" t="str">
        <f aca="false">IF(OR(O1274="",O1274="Sin información"),"",IFERROR(INDEX(Listas!$C$2:$C$9,MATCH(O1274,Listas!$A$2:$A$9,0)),""))</f>
        <v/>
      </c>
      <c r="R1274" s="22"/>
      <c r="S1274" s="22"/>
      <c r="T1274" s="25" t="str">
        <f aca="false">IF(S1274="","",IFERROR(INDEX(Empleadores!$B$2:$B$601,MATCH(S1274,Empleadores!$A$2:$A$601,0)),"No encontrado"))</f>
        <v/>
      </c>
      <c r="U1274" s="25" t="str">
        <f aca="false">IF(C1274="","",IF(V1274="","No",IF(Config!$C$4-V1274&lt;=Config!$C$15,"Sí","No")))</f>
        <v/>
      </c>
      <c r="V1274" s="23"/>
      <c r="W1274" s="22"/>
      <c r="X1274" s="22"/>
      <c r="Y1274" s="22"/>
      <c r="Z1274" s="27"/>
      <c r="AA1274" s="22"/>
      <c r="AB1274" s="22"/>
    </row>
    <row r="1275" customFormat="false" ht="15" hidden="false" customHeight="false" outlineLevel="0" collapsed="false">
      <c r="A1275" s="22"/>
      <c r="B1275" s="22"/>
      <c r="C1275" s="22"/>
      <c r="D1275" s="22"/>
      <c r="E1275" s="22"/>
      <c r="F1275" s="22"/>
      <c r="G1275" s="23"/>
      <c r="H1275" s="24" t="str">
        <f aca="false">IF(G1275="","",ROUND((Config!$C$4-G1275)/365.25,2))</f>
        <v/>
      </c>
      <c r="I1275" s="25" t="str">
        <f aca="false">IF(H1275="","",IF(H1275&lt;=1,"Tramo 1",IF(H1275&lt;=3,"Tramo 2",IF(H1275&lt;=5,"Tramo 3","Tramo 4"))))</f>
        <v/>
      </c>
      <c r="J1275" s="22"/>
      <c r="K1275" s="22"/>
      <c r="L1275" s="22"/>
      <c r="M1275" s="26"/>
      <c r="N1275" s="22"/>
      <c r="O1275" s="22"/>
      <c r="P1275" s="25" t="str">
        <f aca="false">IF(OR(O1275="",O1275="Sin información"),"",IFERROR(INDEX(Listas!$B$2:$B$9,MATCH(O1275,Listas!$A$2:$A$9,0)),""))</f>
        <v/>
      </c>
      <c r="Q1275" s="25" t="str">
        <f aca="false">IF(OR(O1275="",O1275="Sin información"),"",IFERROR(INDEX(Listas!$C$2:$C$9,MATCH(O1275,Listas!$A$2:$A$9,0)),""))</f>
        <v/>
      </c>
      <c r="R1275" s="22"/>
      <c r="S1275" s="22"/>
      <c r="T1275" s="25" t="str">
        <f aca="false">IF(S1275="","",IFERROR(INDEX(Empleadores!$B$2:$B$601,MATCH(S1275,Empleadores!$A$2:$A$601,0)),"No encontrado"))</f>
        <v/>
      </c>
      <c r="U1275" s="25" t="str">
        <f aca="false">IF(C1275="","",IF(V1275="","No",IF(Config!$C$4-V1275&lt;=Config!$C$15,"Sí","No")))</f>
        <v/>
      </c>
      <c r="V1275" s="23"/>
      <c r="W1275" s="22"/>
      <c r="X1275" s="22"/>
      <c r="Y1275" s="22"/>
      <c r="Z1275" s="27"/>
      <c r="AA1275" s="22"/>
      <c r="AB1275" s="22"/>
    </row>
    <row r="1276" customFormat="false" ht="15" hidden="false" customHeight="false" outlineLevel="0" collapsed="false">
      <c r="A1276" s="22"/>
      <c r="B1276" s="22"/>
      <c r="C1276" s="22"/>
      <c r="D1276" s="22"/>
      <c r="E1276" s="22"/>
      <c r="F1276" s="22"/>
      <c r="G1276" s="23"/>
      <c r="H1276" s="24" t="str">
        <f aca="false">IF(G1276="","",ROUND((Config!$C$4-G1276)/365.25,2))</f>
        <v/>
      </c>
      <c r="I1276" s="25" t="str">
        <f aca="false">IF(H1276="","",IF(H1276&lt;=1,"Tramo 1",IF(H1276&lt;=3,"Tramo 2",IF(H1276&lt;=5,"Tramo 3","Tramo 4"))))</f>
        <v/>
      </c>
      <c r="J1276" s="22"/>
      <c r="K1276" s="22"/>
      <c r="L1276" s="22"/>
      <c r="M1276" s="26"/>
      <c r="N1276" s="22"/>
      <c r="O1276" s="22"/>
      <c r="P1276" s="25" t="str">
        <f aca="false">IF(OR(O1276="",O1276="Sin información"),"",IFERROR(INDEX(Listas!$B$2:$B$9,MATCH(O1276,Listas!$A$2:$A$9,0)),""))</f>
        <v/>
      </c>
      <c r="Q1276" s="25" t="str">
        <f aca="false">IF(OR(O1276="",O1276="Sin información"),"",IFERROR(INDEX(Listas!$C$2:$C$9,MATCH(O1276,Listas!$A$2:$A$9,0)),""))</f>
        <v/>
      </c>
      <c r="R1276" s="22"/>
      <c r="S1276" s="22"/>
      <c r="T1276" s="25" t="str">
        <f aca="false">IF(S1276="","",IFERROR(INDEX(Empleadores!$B$2:$B$601,MATCH(S1276,Empleadores!$A$2:$A$601,0)),"No encontrado"))</f>
        <v/>
      </c>
      <c r="U1276" s="25" t="str">
        <f aca="false">IF(C1276="","",IF(V1276="","No",IF(Config!$C$4-V1276&lt;=Config!$C$15,"Sí","No")))</f>
        <v/>
      </c>
      <c r="V1276" s="23"/>
      <c r="W1276" s="22"/>
      <c r="X1276" s="22"/>
      <c r="Y1276" s="22"/>
      <c r="Z1276" s="27"/>
      <c r="AA1276" s="22"/>
      <c r="AB1276" s="22"/>
    </row>
    <row r="1277" customFormat="false" ht="15" hidden="false" customHeight="false" outlineLevel="0" collapsed="false">
      <c r="A1277" s="22"/>
      <c r="B1277" s="22"/>
      <c r="C1277" s="22"/>
      <c r="D1277" s="22"/>
      <c r="E1277" s="22"/>
      <c r="F1277" s="22"/>
      <c r="G1277" s="23"/>
      <c r="H1277" s="24" t="str">
        <f aca="false">IF(G1277="","",ROUND((Config!$C$4-G1277)/365.25,2))</f>
        <v/>
      </c>
      <c r="I1277" s="25" t="str">
        <f aca="false">IF(H1277="","",IF(H1277&lt;=1,"Tramo 1",IF(H1277&lt;=3,"Tramo 2",IF(H1277&lt;=5,"Tramo 3","Tramo 4"))))</f>
        <v/>
      </c>
      <c r="J1277" s="22"/>
      <c r="K1277" s="22"/>
      <c r="L1277" s="22"/>
      <c r="M1277" s="26"/>
      <c r="N1277" s="22"/>
      <c r="O1277" s="22"/>
      <c r="P1277" s="25" t="str">
        <f aca="false">IF(OR(O1277="",O1277="Sin información"),"",IFERROR(INDEX(Listas!$B$2:$B$9,MATCH(O1277,Listas!$A$2:$A$9,0)),""))</f>
        <v/>
      </c>
      <c r="Q1277" s="25" t="str">
        <f aca="false">IF(OR(O1277="",O1277="Sin información"),"",IFERROR(INDEX(Listas!$C$2:$C$9,MATCH(O1277,Listas!$A$2:$A$9,0)),""))</f>
        <v/>
      </c>
      <c r="R1277" s="22"/>
      <c r="S1277" s="22"/>
      <c r="T1277" s="25" t="str">
        <f aca="false">IF(S1277="","",IFERROR(INDEX(Empleadores!$B$2:$B$601,MATCH(S1277,Empleadores!$A$2:$A$601,0)),"No encontrado"))</f>
        <v/>
      </c>
      <c r="U1277" s="25" t="str">
        <f aca="false">IF(C1277="","",IF(V1277="","No",IF(Config!$C$4-V1277&lt;=Config!$C$15,"Sí","No")))</f>
        <v/>
      </c>
      <c r="V1277" s="23"/>
      <c r="W1277" s="22"/>
      <c r="X1277" s="22"/>
      <c r="Y1277" s="22"/>
      <c r="Z1277" s="27"/>
      <c r="AA1277" s="22"/>
      <c r="AB1277" s="22"/>
    </row>
    <row r="1278" customFormat="false" ht="15" hidden="false" customHeight="false" outlineLevel="0" collapsed="false">
      <c r="A1278" s="22"/>
      <c r="B1278" s="22"/>
      <c r="C1278" s="22"/>
      <c r="D1278" s="22"/>
      <c r="E1278" s="22"/>
      <c r="F1278" s="22"/>
      <c r="G1278" s="23"/>
      <c r="H1278" s="24" t="str">
        <f aca="false">IF(G1278="","",ROUND((Config!$C$4-G1278)/365.25,2))</f>
        <v/>
      </c>
      <c r="I1278" s="25" t="str">
        <f aca="false">IF(H1278="","",IF(H1278&lt;=1,"Tramo 1",IF(H1278&lt;=3,"Tramo 2",IF(H1278&lt;=5,"Tramo 3","Tramo 4"))))</f>
        <v/>
      </c>
      <c r="J1278" s="22"/>
      <c r="K1278" s="22"/>
      <c r="L1278" s="22"/>
      <c r="M1278" s="26"/>
      <c r="N1278" s="22"/>
      <c r="O1278" s="22"/>
      <c r="P1278" s="25" t="str">
        <f aca="false">IF(OR(O1278="",O1278="Sin información"),"",IFERROR(INDEX(Listas!$B$2:$B$9,MATCH(O1278,Listas!$A$2:$A$9,0)),""))</f>
        <v/>
      </c>
      <c r="Q1278" s="25" t="str">
        <f aca="false">IF(OR(O1278="",O1278="Sin información"),"",IFERROR(INDEX(Listas!$C$2:$C$9,MATCH(O1278,Listas!$A$2:$A$9,0)),""))</f>
        <v/>
      </c>
      <c r="R1278" s="22"/>
      <c r="S1278" s="22"/>
      <c r="T1278" s="25" t="str">
        <f aca="false">IF(S1278="","",IFERROR(INDEX(Empleadores!$B$2:$B$601,MATCH(S1278,Empleadores!$A$2:$A$601,0)),"No encontrado"))</f>
        <v/>
      </c>
      <c r="U1278" s="25" t="str">
        <f aca="false">IF(C1278="","",IF(V1278="","No",IF(Config!$C$4-V1278&lt;=Config!$C$15,"Sí","No")))</f>
        <v/>
      </c>
      <c r="V1278" s="23"/>
      <c r="W1278" s="22"/>
      <c r="X1278" s="22"/>
      <c r="Y1278" s="22"/>
      <c r="Z1278" s="27"/>
      <c r="AA1278" s="22"/>
      <c r="AB1278" s="22"/>
    </row>
    <row r="1279" customFormat="false" ht="15" hidden="false" customHeight="false" outlineLevel="0" collapsed="false">
      <c r="A1279" s="22"/>
      <c r="B1279" s="22"/>
      <c r="C1279" s="22"/>
      <c r="D1279" s="22"/>
      <c r="E1279" s="22"/>
      <c r="F1279" s="22"/>
      <c r="G1279" s="23"/>
      <c r="H1279" s="24" t="str">
        <f aca="false">IF(G1279="","",ROUND((Config!$C$4-G1279)/365.25,2))</f>
        <v/>
      </c>
      <c r="I1279" s="25" t="str">
        <f aca="false">IF(H1279="","",IF(H1279&lt;=1,"Tramo 1",IF(H1279&lt;=3,"Tramo 2",IF(H1279&lt;=5,"Tramo 3","Tramo 4"))))</f>
        <v/>
      </c>
      <c r="J1279" s="22"/>
      <c r="K1279" s="22"/>
      <c r="L1279" s="22"/>
      <c r="M1279" s="26"/>
      <c r="N1279" s="22"/>
      <c r="O1279" s="22"/>
      <c r="P1279" s="25" t="str">
        <f aca="false">IF(OR(O1279="",O1279="Sin información"),"",IFERROR(INDEX(Listas!$B$2:$B$9,MATCH(O1279,Listas!$A$2:$A$9,0)),""))</f>
        <v/>
      </c>
      <c r="Q1279" s="25" t="str">
        <f aca="false">IF(OR(O1279="",O1279="Sin información"),"",IFERROR(INDEX(Listas!$C$2:$C$9,MATCH(O1279,Listas!$A$2:$A$9,0)),""))</f>
        <v/>
      </c>
      <c r="R1279" s="22"/>
      <c r="S1279" s="22"/>
      <c r="T1279" s="25" t="str">
        <f aca="false">IF(S1279="","",IFERROR(INDEX(Empleadores!$B$2:$B$601,MATCH(S1279,Empleadores!$A$2:$A$601,0)),"No encontrado"))</f>
        <v/>
      </c>
      <c r="U1279" s="25" t="str">
        <f aca="false">IF(C1279="","",IF(V1279="","No",IF(Config!$C$4-V1279&lt;=Config!$C$15,"Sí","No")))</f>
        <v/>
      </c>
      <c r="V1279" s="23"/>
      <c r="W1279" s="22"/>
      <c r="X1279" s="22"/>
      <c r="Y1279" s="22"/>
      <c r="Z1279" s="27"/>
      <c r="AA1279" s="22"/>
      <c r="AB1279" s="22"/>
    </row>
    <row r="1280" customFormat="false" ht="15" hidden="false" customHeight="false" outlineLevel="0" collapsed="false">
      <c r="A1280" s="22"/>
      <c r="B1280" s="22"/>
      <c r="C1280" s="22"/>
      <c r="D1280" s="22"/>
      <c r="E1280" s="22"/>
      <c r="F1280" s="22"/>
      <c r="G1280" s="23"/>
      <c r="H1280" s="24" t="str">
        <f aca="false">IF(G1280="","",ROUND((Config!$C$4-G1280)/365.25,2))</f>
        <v/>
      </c>
      <c r="I1280" s="25" t="str">
        <f aca="false">IF(H1280="","",IF(H1280&lt;=1,"Tramo 1",IF(H1280&lt;=3,"Tramo 2",IF(H1280&lt;=5,"Tramo 3","Tramo 4"))))</f>
        <v/>
      </c>
      <c r="J1280" s="22"/>
      <c r="K1280" s="22"/>
      <c r="L1280" s="22"/>
      <c r="M1280" s="26"/>
      <c r="N1280" s="22"/>
      <c r="O1280" s="22"/>
      <c r="P1280" s="25" t="str">
        <f aca="false">IF(OR(O1280="",O1280="Sin información"),"",IFERROR(INDEX(Listas!$B$2:$B$9,MATCH(O1280,Listas!$A$2:$A$9,0)),""))</f>
        <v/>
      </c>
      <c r="Q1280" s="25" t="str">
        <f aca="false">IF(OR(O1280="",O1280="Sin información"),"",IFERROR(INDEX(Listas!$C$2:$C$9,MATCH(O1280,Listas!$A$2:$A$9,0)),""))</f>
        <v/>
      </c>
      <c r="R1280" s="22"/>
      <c r="S1280" s="22"/>
      <c r="T1280" s="25" t="str">
        <f aca="false">IF(S1280="","",IFERROR(INDEX(Empleadores!$B$2:$B$601,MATCH(S1280,Empleadores!$A$2:$A$601,0)),"No encontrado"))</f>
        <v/>
      </c>
      <c r="U1280" s="25" t="str">
        <f aca="false">IF(C1280="","",IF(V1280="","No",IF(Config!$C$4-V1280&lt;=Config!$C$15,"Sí","No")))</f>
        <v/>
      </c>
      <c r="V1280" s="23"/>
      <c r="W1280" s="22"/>
      <c r="X1280" s="22"/>
      <c r="Y1280" s="22"/>
      <c r="Z1280" s="27"/>
      <c r="AA1280" s="22"/>
      <c r="AB1280" s="22"/>
    </row>
    <row r="1281" customFormat="false" ht="15" hidden="false" customHeight="false" outlineLevel="0" collapsed="false">
      <c r="A1281" s="22"/>
      <c r="B1281" s="22"/>
      <c r="C1281" s="22"/>
      <c r="D1281" s="22"/>
      <c r="E1281" s="22"/>
      <c r="F1281" s="22"/>
      <c r="G1281" s="23"/>
      <c r="H1281" s="24" t="str">
        <f aca="false">IF(G1281="","",ROUND((Config!$C$4-G1281)/365.25,2))</f>
        <v/>
      </c>
      <c r="I1281" s="25" t="str">
        <f aca="false">IF(H1281="","",IF(H1281&lt;=1,"Tramo 1",IF(H1281&lt;=3,"Tramo 2",IF(H1281&lt;=5,"Tramo 3","Tramo 4"))))</f>
        <v/>
      </c>
      <c r="J1281" s="22"/>
      <c r="K1281" s="22"/>
      <c r="L1281" s="22"/>
      <c r="M1281" s="26"/>
      <c r="N1281" s="22"/>
      <c r="O1281" s="22"/>
      <c r="P1281" s="25" t="str">
        <f aca="false">IF(OR(O1281="",O1281="Sin información"),"",IFERROR(INDEX(Listas!$B$2:$B$9,MATCH(O1281,Listas!$A$2:$A$9,0)),""))</f>
        <v/>
      </c>
      <c r="Q1281" s="25" t="str">
        <f aca="false">IF(OR(O1281="",O1281="Sin información"),"",IFERROR(INDEX(Listas!$C$2:$C$9,MATCH(O1281,Listas!$A$2:$A$9,0)),""))</f>
        <v/>
      </c>
      <c r="R1281" s="22"/>
      <c r="S1281" s="22"/>
      <c r="T1281" s="25" t="str">
        <f aca="false">IF(S1281="","",IFERROR(INDEX(Empleadores!$B$2:$B$601,MATCH(S1281,Empleadores!$A$2:$A$601,0)),"No encontrado"))</f>
        <v/>
      </c>
      <c r="U1281" s="25" t="str">
        <f aca="false">IF(C1281="","",IF(V1281="","No",IF(Config!$C$4-V1281&lt;=Config!$C$15,"Sí","No")))</f>
        <v/>
      </c>
      <c r="V1281" s="23"/>
      <c r="W1281" s="22"/>
      <c r="X1281" s="22"/>
      <c r="Y1281" s="22"/>
      <c r="Z1281" s="27"/>
      <c r="AA1281" s="22"/>
      <c r="AB1281" s="22"/>
    </row>
    <row r="1282" customFormat="false" ht="15" hidden="false" customHeight="false" outlineLevel="0" collapsed="false">
      <c r="A1282" s="22"/>
      <c r="B1282" s="22"/>
      <c r="C1282" s="22"/>
      <c r="D1282" s="22"/>
      <c r="E1282" s="22"/>
      <c r="F1282" s="22"/>
      <c r="G1282" s="23"/>
      <c r="H1282" s="24" t="str">
        <f aca="false">IF(G1282="","",ROUND((Config!$C$4-G1282)/365.25,2))</f>
        <v/>
      </c>
      <c r="I1282" s="25" t="str">
        <f aca="false">IF(H1282="","",IF(H1282&lt;=1,"Tramo 1",IF(H1282&lt;=3,"Tramo 2",IF(H1282&lt;=5,"Tramo 3","Tramo 4"))))</f>
        <v/>
      </c>
      <c r="J1282" s="22"/>
      <c r="K1282" s="22"/>
      <c r="L1282" s="22"/>
      <c r="M1282" s="26"/>
      <c r="N1282" s="22"/>
      <c r="O1282" s="22"/>
      <c r="P1282" s="25" t="str">
        <f aca="false">IF(OR(O1282="",O1282="Sin información"),"",IFERROR(INDEX(Listas!$B$2:$B$9,MATCH(O1282,Listas!$A$2:$A$9,0)),""))</f>
        <v/>
      </c>
      <c r="Q1282" s="25" t="str">
        <f aca="false">IF(OR(O1282="",O1282="Sin información"),"",IFERROR(INDEX(Listas!$C$2:$C$9,MATCH(O1282,Listas!$A$2:$A$9,0)),""))</f>
        <v/>
      </c>
      <c r="R1282" s="22"/>
      <c r="S1282" s="22"/>
      <c r="T1282" s="25" t="str">
        <f aca="false">IF(S1282="","",IFERROR(INDEX(Empleadores!$B$2:$B$601,MATCH(S1282,Empleadores!$A$2:$A$601,0)),"No encontrado"))</f>
        <v/>
      </c>
      <c r="U1282" s="25" t="str">
        <f aca="false">IF(C1282="","",IF(V1282="","No",IF(Config!$C$4-V1282&lt;=Config!$C$15,"Sí","No")))</f>
        <v/>
      </c>
      <c r="V1282" s="23"/>
      <c r="W1282" s="22"/>
      <c r="X1282" s="22"/>
      <c r="Y1282" s="22"/>
      <c r="Z1282" s="27"/>
      <c r="AA1282" s="22"/>
      <c r="AB1282" s="22"/>
    </row>
    <row r="1283" customFormat="false" ht="15" hidden="false" customHeight="false" outlineLevel="0" collapsed="false">
      <c r="A1283" s="22"/>
      <c r="B1283" s="22"/>
      <c r="C1283" s="22"/>
      <c r="D1283" s="22"/>
      <c r="E1283" s="22"/>
      <c r="F1283" s="22"/>
      <c r="G1283" s="23"/>
      <c r="H1283" s="24" t="str">
        <f aca="false">IF(G1283="","",ROUND((Config!$C$4-G1283)/365.25,2))</f>
        <v/>
      </c>
      <c r="I1283" s="25" t="str">
        <f aca="false">IF(H1283="","",IF(H1283&lt;=1,"Tramo 1",IF(H1283&lt;=3,"Tramo 2",IF(H1283&lt;=5,"Tramo 3","Tramo 4"))))</f>
        <v/>
      </c>
      <c r="J1283" s="22"/>
      <c r="K1283" s="22"/>
      <c r="L1283" s="22"/>
      <c r="M1283" s="26"/>
      <c r="N1283" s="22"/>
      <c r="O1283" s="22"/>
      <c r="P1283" s="25" t="str">
        <f aca="false">IF(OR(O1283="",O1283="Sin información"),"",IFERROR(INDEX(Listas!$B$2:$B$9,MATCH(O1283,Listas!$A$2:$A$9,0)),""))</f>
        <v/>
      </c>
      <c r="Q1283" s="25" t="str">
        <f aca="false">IF(OR(O1283="",O1283="Sin información"),"",IFERROR(INDEX(Listas!$C$2:$C$9,MATCH(O1283,Listas!$A$2:$A$9,0)),""))</f>
        <v/>
      </c>
      <c r="R1283" s="22"/>
      <c r="S1283" s="22"/>
      <c r="T1283" s="25" t="str">
        <f aca="false">IF(S1283="","",IFERROR(INDEX(Empleadores!$B$2:$B$601,MATCH(S1283,Empleadores!$A$2:$A$601,0)),"No encontrado"))</f>
        <v/>
      </c>
      <c r="U1283" s="25" t="str">
        <f aca="false">IF(C1283="","",IF(V1283="","No",IF(Config!$C$4-V1283&lt;=Config!$C$15,"Sí","No")))</f>
        <v/>
      </c>
      <c r="V1283" s="23"/>
      <c r="W1283" s="22"/>
      <c r="X1283" s="22"/>
      <c r="Y1283" s="22"/>
      <c r="Z1283" s="27"/>
      <c r="AA1283" s="22"/>
      <c r="AB1283" s="22"/>
    </row>
    <row r="1284" customFormat="false" ht="15" hidden="false" customHeight="false" outlineLevel="0" collapsed="false">
      <c r="A1284" s="22"/>
      <c r="B1284" s="22"/>
      <c r="C1284" s="22"/>
      <c r="D1284" s="22"/>
      <c r="E1284" s="22"/>
      <c r="F1284" s="22"/>
      <c r="G1284" s="23"/>
      <c r="H1284" s="24" t="str">
        <f aca="false">IF(G1284="","",ROUND((Config!$C$4-G1284)/365.25,2))</f>
        <v/>
      </c>
      <c r="I1284" s="25" t="str">
        <f aca="false">IF(H1284="","",IF(H1284&lt;=1,"Tramo 1",IF(H1284&lt;=3,"Tramo 2",IF(H1284&lt;=5,"Tramo 3","Tramo 4"))))</f>
        <v/>
      </c>
      <c r="J1284" s="22"/>
      <c r="K1284" s="22"/>
      <c r="L1284" s="22"/>
      <c r="M1284" s="26"/>
      <c r="N1284" s="22"/>
      <c r="O1284" s="22"/>
      <c r="P1284" s="25" t="str">
        <f aca="false">IF(OR(O1284="",O1284="Sin información"),"",IFERROR(INDEX(Listas!$B$2:$B$9,MATCH(O1284,Listas!$A$2:$A$9,0)),""))</f>
        <v/>
      </c>
      <c r="Q1284" s="25" t="str">
        <f aca="false">IF(OR(O1284="",O1284="Sin información"),"",IFERROR(INDEX(Listas!$C$2:$C$9,MATCH(O1284,Listas!$A$2:$A$9,0)),""))</f>
        <v/>
      </c>
      <c r="R1284" s="22"/>
      <c r="S1284" s="22"/>
      <c r="T1284" s="25" t="str">
        <f aca="false">IF(S1284="","",IFERROR(INDEX(Empleadores!$B$2:$B$601,MATCH(S1284,Empleadores!$A$2:$A$601,0)),"No encontrado"))</f>
        <v/>
      </c>
      <c r="U1284" s="25" t="str">
        <f aca="false">IF(C1284="","",IF(V1284="","No",IF(Config!$C$4-V1284&lt;=Config!$C$15,"Sí","No")))</f>
        <v/>
      </c>
      <c r="V1284" s="23"/>
      <c r="W1284" s="22"/>
      <c r="X1284" s="22"/>
      <c r="Y1284" s="22"/>
      <c r="Z1284" s="27"/>
      <c r="AA1284" s="22"/>
      <c r="AB1284" s="22"/>
    </row>
    <row r="1285" customFormat="false" ht="15" hidden="false" customHeight="false" outlineLevel="0" collapsed="false">
      <c r="A1285" s="22"/>
      <c r="B1285" s="22"/>
      <c r="C1285" s="22"/>
      <c r="D1285" s="22"/>
      <c r="E1285" s="22"/>
      <c r="F1285" s="22"/>
      <c r="G1285" s="23"/>
      <c r="H1285" s="24" t="str">
        <f aca="false">IF(G1285="","",ROUND((Config!$C$4-G1285)/365.25,2))</f>
        <v/>
      </c>
      <c r="I1285" s="25" t="str">
        <f aca="false">IF(H1285="","",IF(H1285&lt;=1,"Tramo 1",IF(H1285&lt;=3,"Tramo 2",IF(H1285&lt;=5,"Tramo 3","Tramo 4"))))</f>
        <v/>
      </c>
      <c r="J1285" s="22"/>
      <c r="K1285" s="22"/>
      <c r="L1285" s="22"/>
      <c r="M1285" s="26"/>
      <c r="N1285" s="22"/>
      <c r="O1285" s="22"/>
      <c r="P1285" s="25" t="str">
        <f aca="false">IF(OR(O1285="",O1285="Sin información"),"",IFERROR(INDEX(Listas!$B$2:$B$9,MATCH(O1285,Listas!$A$2:$A$9,0)),""))</f>
        <v/>
      </c>
      <c r="Q1285" s="25" t="str">
        <f aca="false">IF(OR(O1285="",O1285="Sin información"),"",IFERROR(INDEX(Listas!$C$2:$C$9,MATCH(O1285,Listas!$A$2:$A$9,0)),""))</f>
        <v/>
      </c>
      <c r="R1285" s="22"/>
      <c r="S1285" s="22"/>
      <c r="T1285" s="25" t="str">
        <f aca="false">IF(S1285="","",IFERROR(INDEX(Empleadores!$B$2:$B$601,MATCH(S1285,Empleadores!$A$2:$A$601,0)),"No encontrado"))</f>
        <v/>
      </c>
      <c r="U1285" s="25" t="str">
        <f aca="false">IF(C1285="","",IF(V1285="","No",IF(Config!$C$4-V1285&lt;=Config!$C$15,"Sí","No")))</f>
        <v/>
      </c>
      <c r="V1285" s="23"/>
      <c r="W1285" s="22"/>
      <c r="X1285" s="22"/>
      <c r="Y1285" s="22"/>
      <c r="Z1285" s="27"/>
      <c r="AA1285" s="22"/>
      <c r="AB1285" s="22"/>
    </row>
    <row r="1286" customFormat="false" ht="15" hidden="false" customHeight="false" outlineLevel="0" collapsed="false">
      <c r="A1286" s="22"/>
      <c r="B1286" s="22"/>
      <c r="C1286" s="22"/>
      <c r="D1286" s="22"/>
      <c r="E1286" s="22"/>
      <c r="F1286" s="22"/>
      <c r="G1286" s="23"/>
      <c r="H1286" s="24" t="str">
        <f aca="false">IF(G1286="","",ROUND((Config!$C$4-G1286)/365.25,2))</f>
        <v/>
      </c>
      <c r="I1286" s="25" t="str">
        <f aca="false">IF(H1286="","",IF(H1286&lt;=1,"Tramo 1",IF(H1286&lt;=3,"Tramo 2",IF(H1286&lt;=5,"Tramo 3","Tramo 4"))))</f>
        <v/>
      </c>
      <c r="J1286" s="22"/>
      <c r="K1286" s="22"/>
      <c r="L1286" s="22"/>
      <c r="M1286" s="26"/>
      <c r="N1286" s="22"/>
      <c r="O1286" s="22"/>
      <c r="P1286" s="25" t="str">
        <f aca="false">IF(OR(O1286="",O1286="Sin información"),"",IFERROR(INDEX(Listas!$B$2:$B$9,MATCH(O1286,Listas!$A$2:$A$9,0)),""))</f>
        <v/>
      </c>
      <c r="Q1286" s="25" t="str">
        <f aca="false">IF(OR(O1286="",O1286="Sin información"),"",IFERROR(INDEX(Listas!$C$2:$C$9,MATCH(O1286,Listas!$A$2:$A$9,0)),""))</f>
        <v/>
      </c>
      <c r="R1286" s="22"/>
      <c r="S1286" s="22"/>
      <c r="T1286" s="25" t="str">
        <f aca="false">IF(S1286="","",IFERROR(INDEX(Empleadores!$B$2:$B$601,MATCH(S1286,Empleadores!$A$2:$A$601,0)),"No encontrado"))</f>
        <v/>
      </c>
      <c r="U1286" s="25" t="str">
        <f aca="false">IF(C1286="","",IF(V1286="","No",IF(Config!$C$4-V1286&lt;=Config!$C$15,"Sí","No")))</f>
        <v/>
      </c>
      <c r="V1286" s="23"/>
      <c r="W1286" s="22"/>
      <c r="X1286" s="22"/>
      <c r="Y1286" s="22"/>
      <c r="Z1286" s="27"/>
      <c r="AA1286" s="22"/>
      <c r="AB1286" s="22"/>
    </row>
    <row r="1287" customFormat="false" ht="15" hidden="false" customHeight="false" outlineLevel="0" collapsed="false">
      <c r="A1287" s="22"/>
      <c r="B1287" s="22"/>
      <c r="C1287" s="22"/>
      <c r="D1287" s="22"/>
      <c r="E1287" s="22"/>
      <c r="F1287" s="22"/>
      <c r="G1287" s="23"/>
      <c r="H1287" s="24" t="str">
        <f aca="false">IF(G1287="","",ROUND((Config!$C$4-G1287)/365.25,2))</f>
        <v/>
      </c>
      <c r="I1287" s="25" t="str">
        <f aca="false">IF(H1287="","",IF(H1287&lt;=1,"Tramo 1",IF(H1287&lt;=3,"Tramo 2",IF(H1287&lt;=5,"Tramo 3","Tramo 4"))))</f>
        <v/>
      </c>
      <c r="J1287" s="22"/>
      <c r="K1287" s="22"/>
      <c r="L1287" s="22"/>
      <c r="M1287" s="26"/>
      <c r="N1287" s="22"/>
      <c r="O1287" s="22"/>
      <c r="P1287" s="25" t="str">
        <f aca="false">IF(OR(O1287="",O1287="Sin información"),"",IFERROR(INDEX(Listas!$B$2:$B$9,MATCH(O1287,Listas!$A$2:$A$9,0)),""))</f>
        <v/>
      </c>
      <c r="Q1287" s="25" t="str">
        <f aca="false">IF(OR(O1287="",O1287="Sin información"),"",IFERROR(INDEX(Listas!$C$2:$C$9,MATCH(O1287,Listas!$A$2:$A$9,0)),""))</f>
        <v/>
      </c>
      <c r="R1287" s="22"/>
      <c r="S1287" s="22"/>
      <c r="T1287" s="25" t="str">
        <f aca="false">IF(S1287="","",IFERROR(INDEX(Empleadores!$B$2:$B$601,MATCH(S1287,Empleadores!$A$2:$A$601,0)),"No encontrado"))</f>
        <v/>
      </c>
      <c r="U1287" s="25" t="str">
        <f aca="false">IF(C1287="","",IF(V1287="","No",IF(Config!$C$4-V1287&lt;=Config!$C$15,"Sí","No")))</f>
        <v/>
      </c>
      <c r="V1287" s="23"/>
      <c r="W1287" s="22"/>
      <c r="X1287" s="22"/>
      <c r="Y1287" s="22"/>
      <c r="Z1287" s="27"/>
      <c r="AA1287" s="22"/>
      <c r="AB1287" s="22"/>
    </row>
    <row r="1288" customFormat="false" ht="15" hidden="false" customHeight="false" outlineLevel="0" collapsed="false">
      <c r="A1288" s="22"/>
      <c r="B1288" s="22"/>
      <c r="C1288" s="22"/>
      <c r="D1288" s="22"/>
      <c r="E1288" s="22"/>
      <c r="F1288" s="22"/>
      <c r="G1288" s="23"/>
      <c r="H1288" s="24" t="str">
        <f aca="false">IF(G1288="","",ROUND((Config!$C$4-G1288)/365.25,2))</f>
        <v/>
      </c>
      <c r="I1288" s="25" t="str">
        <f aca="false">IF(H1288="","",IF(H1288&lt;=1,"Tramo 1",IF(H1288&lt;=3,"Tramo 2",IF(H1288&lt;=5,"Tramo 3","Tramo 4"))))</f>
        <v/>
      </c>
      <c r="J1288" s="22"/>
      <c r="K1288" s="22"/>
      <c r="L1288" s="22"/>
      <c r="M1288" s="26"/>
      <c r="N1288" s="22"/>
      <c r="O1288" s="22"/>
      <c r="P1288" s="25" t="str">
        <f aca="false">IF(OR(O1288="",O1288="Sin información"),"",IFERROR(INDEX(Listas!$B$2:$B$9,MATCH(O1288,Listas!$A$2:$A$9,0)),""))</f>
        <v/>
      </c>
      <c r="Q1288" s="25" t="str">
        <f aca="false">IF(OR(O1288="",O1288="Sin información"),"",IFERROR(INDEX(Listas!$C$2:$C$9,MATCH(O1288,Listas!$A$2:$A$9,0)),""))</f>
        <v/>
      </c>
      <c r="R1288" s="22"/>
      <c r="S1288" s="22"/>
      <c r="T1288" s="25" t="str">
        <f aca="false">IF(S1288="","",IFERROR(INDEX(Empleadores!$B$2:$B$601,MATCH(S1288,Empleadores!$A$2:$A$601,0)),"No encontrado"))</f>
        <v/>
      </c>
      <c r="U1288" s="25" t="str">
        <f aca="false">IF(C1288="","",IF(V1288="","No",IF(Config!$C$4-V1288&lt;=Config!$C$15,"Sí","No")))</f>
        <v/>
      </c>
      <c r="V1288" s="23"/>
      <c r="W1288" s="22"/>
      <c r="X1288" s="22"/>
      <c r="Y1288" s="22"/>
      <c r="Z1288" s="27"/>
      <c r="AA1288" s="22"/>
      <c r="AB1288" s="22"/>
    </row>
    <row r="1289" customFormat="false" ht="15" hidden="false" customHeight="false" outlineLevel="0" collapsed="false">
      <c r="A1289" s="22"/>
      <c r="B1289" s="22"/>
      <c r="C1289" s="22"/>
      <c r="D1289" s="22"/>
      <c r="E1289" s="22"/>
      <c r="F1289" s="22"/>
      <c r="G1289" s="23"/>
      <c r="H1289" s="24" t="str">
        <f aca="false">IF(G1289="","",ROUND((Config!$C$4-G1289)/365.25,2))</f>
        <v/>
      </c>
      <c r="I1289" s="25" t="str">
        <f aca="false">IF(H1289="","",IF(H1289&lt;=1,"Tramo 1",IF(H1289&lt;=3,"Tramo 2",IF(H1289&lt;=5,"Tramo 3","Tramo 4"))))</f>
        <v/>
      </c>
      <c r="J1289" s="22"/>
      <c r="K1289" s="22"/>
      <c r="L1289" s="22"/>
      <c r="M1289" s="26"/>
      <c r="N1289" s="22"/>
      <c r="O1289" s="22"/>
      <c r="P1289" s="25" t="str">
        <f aca="false">IF(OR(O1289="",O1289="Sin información"),"",IFERROR(INDEX(Listas!$B$2:$B$9,MATCH(O1289,Listas!$A$2:$A$9,0)),""))</f>
        <v/>
      </c>
      <c r="Q1289" s="25" t="str">
        <f aca="false">IF(OR(O1289="",O1289="Sin información"),"",IFERROR(INDEX(Listas!$C$2:$C$9,MATCH(O1289,Listas!$A$2:$A$9,0)),""))</f>
        <v/>
      </c>
      <c r="R1289" s="22"/>
      <c r="S1289" s="22"/>
      <c r="T1289" s="25" t="str">
        <f aca="false">IF(S1289="","",IFERROR(INDEX(Empleadores!$B$2:$B$601,MATCH(S1289,Empleadores!$A$2:$A$601,0)),"No encontrado"))</f>
        <v/>
      </c>
      <c r="U1289" s="25" t="str">
        <f aca="false">IF(C1289="","",IF(V1289="","No",IF(Config!$C$4-V1289&lt;=Config!$C$15,"Sí","No")))</f>
        <v/>
      </c>
      <c r="V1289" s="23"/>
      <c r="W1289" s="22"/>
      <c r="X1289" s="22"/>
      <c r="Y1289" s="22"/>
      <c r="Z1289" s="27"/>
      <c r="AA1289" s="22"/>
      <c r="AB1289" s="22"/>
    </row>
    <row r="1290" customFormat="false" ht="15" hidden="false" customHeight="false" outlineLevel="0" collapsed="false">
      <c r="A1290" s="22"/>
      <c r="B1290" s="22"/>
      <c r="C1290" s="22"/>
      <c r="D1290" s="22"/>
      <c r="E1290" s="22"/>
      <c r="F1290" s="22"/>
      <c r="G1290" s="23"/>
      <c r="H1290" s="24" t="str">
        <f aca="false">IF(G1290="","",ROUND((Config!$C$4-G1290)/365.25,2))</f>
        <v/>
      </c>
      <c r="I1290" s="25" t="str">
        <f aca="false">IF(H1290="","",IF(H1290&lt;=1,"Tramo 1",IF(H1290&lt;=3,"Tramo 2",IF(H1290&lt;=5,"Tramo 3","Tramo 4"))))</f>
        <v/>
      </c>
      <c r="J1290" s="22"/>
      <c r="K1290" s="22"/>
      <c r="L1290" s="22"/>
      <c r="M1290" s="26"/>
      <c r="N1290" s="22"/>
      <c r="O1290" s="22"/>
      <c r="P1290" s="25" t="str">
        <f aca="false">IF(OR(O1290="",O1290="Sin información"),"",IFERROR(INDEX(Listas!$B$2:$B$9,MATCH(O1290,Listas!$A$2:$A$9,0)),""))</f>
        <v/>
      </c>
      <c r="Q1290" s="25" t="str">
        <f aca="false">IF(OR(O1290="",O1290="Sin información"),"",IFERROR(INDEX(Listas!$C$2:$C$9,MATCH(O1290,Listas!$A$2:$A$9,0)),""))</f>
        <v/>
      </c>
      <c r="R1290" s="22"/>
      <c r="S1290" s="22"/>
      <c r="T1290" s="25" t="str">
        <f aca="false">IF(S1290="","",IFERROR(INDEX(Empleadores!$B$2:$B$601,MATCH(S1290,Empleadores!$A$2:$A$601,0)),"No encontrado"))</f>
        <v/>
      </c>
      <c r="U1290" s="25" t="str">
        <f aca="false">IF(C1290="","",IF(V1290="","No",IF(Config!$C$4-V1290&lt;=Config!$C$15,"Sí","No")))</f>
        <v/>
      </c>
      <c r="V1290" s="23"/>
      <c r="W1290" s="22"/>
      <c r="X1290" s="22"/>
      <c r="Y1290" s="22"/>
      <c r="Z1290" s="27"/>
      <c r="AA1290" s="22"/>
      <c r="AB1290" s="22"/>
    </row>
    <row r="1291" customFormat="false" ht="15" hidden="false" customHeight="false" outlineLevel="0" collapsed="false">
      <c r="A1291" s="22"/>
      <c r="B1291" s="22"/>
      <c r="C1291" s="22"/>
      <c r="D1291" s="22"/>
      <c r="E1291" s="22"/>
      <c r="F1291" s="22"/>
      <c r="G1291" s="23"/>
      <c r="H1291" s="24" t="str">
        <f aca="false">IF(G1291="","",ROUND((Config!$C$4-G1291)/365.25,2))</f>
        <v/>
      </c>
      <c r="I1291" s="25" t="str">
        <f aca="false">IF(H1291="","",IF(H1291&lt;=1,"Tramo 1",IF(H1291&lt;=3,"Tramo 2",IF(H1291&lt;=5,"Tramo 3","Tramo 4"))))</f>
        <v/>
      </c>
      <c r="J1291" s="22"/>
      <c r="K1291" s="22"/>
      <c r="L1291" s="22"/>
      <c r="M1291" s="26"/>
      <c r="N1291" s="22"/>
      <c r="O1291" s="22"/>
      <c r="P1291" s="25" t="str">
        <f aca="false">IF(OR(O1291="",O1291="Sin información"),"",IFERROR(INDEX(Listas!$B$2:$B$9,MATCH(O1291,Listas!$A$2:$A$9,0)),""))</f>
        <v/>
      </c>
      <c r="Q1291" s="25" t="str">
        <f aca="false">IF(OR(O1291="",O1291="Sin información"),"",IFERROR(INDEX(Listas!$C$2:$C$9,MATCH(O1291,Listas!$A$2:$A$9,0)),""))</f>
        <v/>
      </c>
      <c r="R1291" s="22"/>
      <c r="S1291" s="22"/>
      <c r="T1291" s="25" t="str">
        <f aca="false">IF(S1291="","",IFERROR(INDEX(Empleadores!$B$2:$B$601,MATCH(S1291,Empleadores!$A$2:$A$601,0)),"No encontrado"))</f>
        <v/>
      </c>
      <c r="U1291" s="25" t="str">
        <f aca="false">IF(C1291="","",IF(V1291="","No",IF(Config!$C$4-V1291&lt;=Config!$C$15,"Sí","No")))</f>
        <v/>
      </c>
      <c r="V1291" s="23"/>
      <c r="W1291" s="22"/>
      <c r="X1291" s="22"/>
      <c r="Y1291" s="22"/>
      <c r="Z1291" s="27"/>
      <c r="AA1291" s="22"/>
      <c r="AB1291" s="22"/>
    </row>
    <row r="1292" customFormat="false" ht="15" hidden="false" customHeight="false" outlineLevel="0" collapsed="false">
      <c r="A1292" s="22"/>
      <c r="B1292" s="22"/>
      <c r="C1292" s="22"/>
      <c r="D1292" s="22"/>
      <c r="E1292" s="22"/>
      <c r="F1292" s="22"/>
      <c r="G1292" s="23"/>
      <c r="H1292" s="24" t="str">
        <f aca="false">IF(G1292="","",ROUND((Config!$C$4-G1292)/365.25,2))</f>
        <v/>
      </c>
      <c r="I1292" s="25" t="str">
        <f aca="false">IF(H1292="","",IF(H1292&lt;=1,"Tramo 1",IF(H1292&lt;=3,"Tramo 2",IF(H1292&lt;=5,"Tramo 3","Tramo 4"))))</f>
        <v/>
      </c>
      <c r="J1292" s="22"/>
      <c r="K1292" s="22"/>
      <c r="L1292" s="22"/>
      <c r="M1292" s="26"/>
      <c r="N1292" s="22"/>
      <c r="O1292" s="22"/>
      <c r="P1292" s="25" t="str">
        <f aca="false">IF(OR(O1292="",O1292="Sin información"),"",IFERROR(INDEX(Listas!$B$2:$B$9,MATCH(O1292,Listas!$A$2:$A$9,0)),""))</f>
        <v/>
      </c>
      <c r="Q1292" s="25" t="str">
        <f aca="false">IF(OR(O1292="",O1292="Sin información"),"",IFERROR(INDEX(Listas!$C$2:$C$9,MATCH(O1292,Listas!$A$2:$A$9,0)),""))</f>
        <v/>
      </c>
      <c r="R1292" s="22"/>
      <c r="S1292" s="22"/>
      <c r="T1292" s="25" t="str">
        <f aca="false">IF(S1292="","",IFERROR(INDEX(Empleadores!$B$2:$B$601,MATCH(S1292,Empleadores!$A$2:$A$601,0)),"No encontrado"))</f>
        <v/>
      </c>
      <c r="U1292" s="25" t="str">
        <f aca="false">IF(C1292="","",IF(V1292="","No",IF(Config!$C$4-V1292&lt;=Config!$C$15,"Sí","No")))</f>
        <v/>
      </c>
      <c r="V1292" s="23"/>
      <c r="W1292" s="22"/>
      <c r="X1292" s="22"/>
      <c r="Y1292" s="22"/>
      <c r="Z1292" s="27"/>
      <c r="AA1292" s="22"/>
      <c r="AB1292" s="22"/>
    </row>
    <row r="1293" customFormat="false" ht="15" hidden="false" customHeight="false" outlineLevel="0" collapsed="false">
      <c r="A1293" s="22"/>
      <c r="B1293" s="22"/>
      <c r="C1293" s="22"/>
      <c r="D1293" s="22"/>
      <c r="E1293" s="22"/>
      <c r="F1293" s="22"/>
      <c r="G1293" s="23"/>
      <c r="H1293" s="24" t="str">
        <f aca="false">IF(G1293="","",ROUND((Config!$C$4-G1293)/365.25,2))</f>
        <v/>
      </c>
      <c r="I1293" s="25" t="str">
        <f aca="false">IF(H1293="","",IF(H1293&lt;=1,"Tramo 1",IF(H1293&lt;=3,"Tramo 2",IF(H1293&lt;=5,"Tramo 3","Tramo 4"))))</f>
        <v/>
      </c>
      <c r="J1293" s="22"/>
      <c r="K1293" s="22"/>
      <c r="L1293" s="22"/>
      <c r="M1293" s="26"/>
      <c r="N1293" s="22"/>
      <c r="O1293" s="22"/>
      <c r="P1293" s="25" t="str">
        <f aca="false">IF(OR(O1293="",O1293="Sin información"),"",IFERROR(INDEX(Listas!$B$2:$B$9,MATCH(O1293,Listas!$A$2:$A$9,0)),""))</f>
        <v/>
      </c>
      <c r="Q1293" s="25" t="str">
        <f aca="false">IF(OR(O1293="",O1293="Sin información"),"",IFERROR(INDEX(Listas!$C$2:$C$9,MATCH(O1293,Listas!$A$2:$A$9,0)),""))</f>
        <v/>
      </c>
      <c r="R1293" s="22"/>
      <c r="S1293" s="22"/>
      <c r="T1293" s="25" t="str">
        <f aca="false">IF(S1293="","",IFERROR(INDEX(Empleadores!$B$2:$B$601,MATCH(S1293,Empleadores!$A$2:$A$601,0)),"No encontrado"))</f>
        <v/>
      </c>
      <c r="U1293" s="25" t="str">
        <f aca="false">IF(C1293="","",IF(V1293="","No",IF(Config!$C$4-V1293&lt;=Config!$C$15,"Sí","No")))</f>
        <v/>
      </c>
      <c r="V1293" s="23"/>
      <c r="W1293" s="22"/>
      <c r="X1293" s="22"/>
      <c r="Y1293" s="22"/>
      <c r="Z1293" s="27"/>
      <c r="AA1293" s="22"/>
      <c r="AB1293" s="22"/>
    </row>
    <row r="1294" customFormat="false" ht="15" hidden="false" customHeight="false" outlineLevel="0" collapsed="false">
      <c r="A1294" s="22"/>
      <c r="B1294" s="22"/>
      <c r="C1294" s="22"/>
      <c r="D1294" s="22"/>
      <c r="E1294" s="22"/>
      <c r="F1294" s="22"/>
      <c r="G1294" s="23"/>
      <c r="H1294" s="24" t="str">
        <f aca="false">IF(G1294="","",ROUND((Config!$C$4-G1294)/365.25,2))</f>
        <v/>
      </c>
      <c r="I1294" s="25" t="str">
        <f aca="false">IF(H1294="","",IF(H1294&lt;=1,"Tramo 1",IF(H1294&lt;=3,"Tramo 2",IF(H1294&lt;=5,"Tramo 3","Tramo 4"))))</f>
        <v/>
      </c>
      <c r="J1294" s="22"/>
      <c r="K1294" s="22"/>
      <c r="L1294" s="22"/>
      <c r="M1294" s="26"/>
      <c r="N1294" s="22"/>
      <c r="O1294" s="22"/>
      <c r="P1294" s="25" t="str">
        <f aca="false">IF(OR(O1294="",O1294="Sin información"),"",IFERROR(INDEX(Listas!$B$2:$B$9,MATCH(O1294,Listas!$A$2:$A$9,0)),""))</f>
        <v/>
      </c>
      <c r="Q1294" s="25" t="str">
        <f aca="false">IF(OR(O1294="",O1294="Sin información"),"",IFERROR(INDEX(Listas!$C$2:$C$9,MATCH(O1294,Listas!$A$2:$A$9,0)),""))</f>
        <v/>
      </c>
      <c r="R1294" s="22"/>
      <c r="S1294" s="22"/>
      <c r="T1294" s="25" t="str">
        <f aca="false">IF(S1294="","",IFERROR(INDEX(Empleadores!$B$2:$B$601,MATCH(S1294,Empleadores!$A$2:$A$601,0)),"No encontrado"))</f>
        <v/>
      </c>
      <c r="U1294" s="25" t="str">
        <f aca="false">IF(C1294="","",IF(V1294="","No",IF(Config!$C$4-V1294&lt;=Config!$C$15,"Sí","No")))</f>
        <v/>
      </c>
      <c r="V1294" s="23"/>
      <c r="W1294" s="22"/>
      <c r="X1294" s="22"/>
      <c r="Y1294" s="22"/>
      <c r="Z1294" s="27"/>
      <c r="AA1294" s="22"/>
      <c r="AB1294" s="22"/>
    </row>
    <row r="1295" customFormat="false" ht="15" hidden="false" customHeight="false" outlineLevel="0" collapsed="false">
      <c r="A1295" s="22"/>
      <c r="B1295" s="22"/>
      <c r="C1295" s="22"/>
      <c r="D1295" s="22"/>
      <c r="E1295" s="22"/>
      <c r="F1295" s="22"/>
      <c r="G1295" s="23"/>
      <c r="H1295" s="24" t="str">
        <f aca="false">IF(G1295="","",ROUND((Config!$C$4-G1295)/365.25,2))</f>
        <v/>
      </c>
      <c r="I1295" s="25" t="str">
        <f aca="false">IF(H1295="","",IF(H1295&lt;=1,"Tramo 1",IF(H1295&lt;=3,"Tramo 2",IF(H1295&lt;=5,"Tramo 3","Tramo 4"))))</f>
        <v/>
      </c>
      <c r="J1295" s="22"/>
      <c r="K1295" s="22"/>
      <c r="L1295" s="22"/>
      <c r="M1295" s="26"/>
      <c r="N1295" s="22"/>
      <c r="O1295" s="22"/>
      <c r="P1295" s="25" t="str">
        <f aca="false">IF(OR(O1295="",O1295="Sin información"),"",IFERROR(INDEX(Listas!$B$2:$B$9,MATCH(O1295,Listas!$A$2:$A$9,0)),""))</f>
        <v/>
      </c>
      <c r="Q1295" s="25" t="str">
        <f aca="false">IF(OR(O1295="",O1295="Sin información"),"",IFERROR(INDEX(Listas!$C$2:$C$9,MATCH(O1295,Listas!$A$2:$A$9,0)),""))</f>
        <v/>
      </c>
      <c r="R1295" s="22"/>
      <c r="S1295" s="22"/>
      <c r="T1295" s="25" t="str">
        <f aca="false">IF(S1295="","",IFERROR(INDEX(Empleadores!$B$2:$B$601,MATCH(S1295,Empleadores!$A$2:$A$601,0)),"No encontrado"))</f>
        <v/>
      </c>
      <c r="U1295" s="25" t="str">
        <f aca="false">IF(C1295="","",IF(V1295="","No",IF(Config!$C$4-V1295&lt;=Config!$C$15,"Sí","No")))</f>
        <v/>
      </c>
      <c r="V1295" s="23"/>
      <c r="W1295" s="22"/>
      <c r="X1295" s="22"/>
      <c r="Y1295" s="22"/>
      <c r="Z1295" s="27"/>
      <c r="AA1295" s="22"/>
      <c r="AB1295" s="22"/>
    </row>
    <row r="1296" customFormat="false" ht="15" hidden="false" customHeight="false" outlineLevel="0" collapsed="false">
      <c r="A1296" s="22"/>
      <c r="B1296" s="22"/>
      <c r="C1296" s="22"/>
      <c r="D1296" s="22"/>
      <c r="E1296" s="22"/>
      <c r="F1296" s="22"/>
      <c r="G1296" s="23"/>
      <c r="H1296" s="24" t="str">
        <f aca="false">IF(G1296="","",ROUND((Config!$C$4-G1296)/365.25,2))</f>
        <v/>
      </c>
      <c r="I1296" s="25" t="str">
        <f aca="false">IF(H1296="","",IF(H1296&lt;=1,"Tramo 1",IF(H1296&lt;=3,"Tramo 2",IF(H1296&lt;=5,"Tramo 3","Tramo 4"))))</f>
        <v/>
      </c>
      <c r="J1296" s="22"/>
      <c r="K1296" s="22"/>
      <c r="L1296" s="22"/>
      <c r="M1296" s="26"/>
      <c r="N1296" s="22"/>
      <c r="O1296" s="22"/>
      <c r="P1296" s="25" t="str">
        <f aca="false">IF(OR(O1296="",O1296="Sin información"),"",IFERROR(INDEX(Listas!$B$2:$B$9,MATCH(O1296,Listas!$A$2:$A$9,0)),""))</f>
        <v/>
      </c>
      <c r="Q1296" s="25" t="str">
        <f aca="false">IF(OR(O1296="",O1296="Sin información"),"",IFERROR(INDEX(Listas!$C$2:$C$9,MATCH(O1296,Listas!$A$2:$A$9,0)),""))</f>
        <v/>
      </c>
      <c r="R1296" s="22"/>
      <c r="S1296" s="22"/>
      <c r="T1296" s="25" t="str">
        <f aca="false">IF(S1296="","",IFERROR(INDEX(Empleadores!$B$2:$B$601,MATCH(S1296,Empleadores!$A$2:$A$601,0)),"No encontrado"))</f>
        <v/>
      </c>
      <c r="U1296" s="25" t="str">
        <f aca="false">IF(C1296="","",IF(V1296="","No",IF(Config!$C$4-V1296&lt;=Config!$C$15,"Sí","No")))</f>
        <v/>
      </c>
      <c r="V1296" s="23"/>
      <c r="W1296" s="22"/>
      <c r="X1296" s="22"/>
      <c r="Y1296" s="22"/>
      <c r="Z1296" s="27"/>
      <c r="AA1296" s="22"/>
      <c r="AB1296" s="22"/>
    </row>
    <row r="1297" customFormat="false" ht="15" hidden="false" customHeight="false" outlineLevel="0" collapsed="false">
      <c r="A1297" s="22"/>
      <c r="B1297" s="22"/>
      <c r="C1297" s="22"/>
      <c r="D1297" s="22"/>
      <c r="E1297" s="22"/>
      <c r="F1297" s="22"/>
      <c r="G1297" s="23"/>
      <c r="H1297" s="24" t="str">
        <f aca="false">IF(G1297="","",ROUND((Config!$C$4-G1297)/365.25,2))</f>
        <v/>
      </c>
      <c r="I1297" s="25" t="str">
        <f aca="false">IF(H1297="","",IF(H1297&lt;=1,"Tramo 1",IF(H1297&lt;=3,"Tramo 2",IF(H1297&lt;=5,"Tramo 3","Tramo 4"))))</f>
        <v/>
      </c>
      <c r="J1297" s="22"/>
      <c r="K1297" s="22"/>
      <c r="L1297" s="22"/>
      <c r="M1297" s="26"/>
      <c r="N1297" s="22"/>
      <c r="O1297" s="22"/>
      <c r="P1297" s="25" t="str">
        <f aca="false">IF(OR(O1297="",O1297="Sin información"),"",IFERROR(INDEX(Listas!$B$2:$B$9,MATCH(O1297,Listas!$A$2:$A$9,0)),""))</f>
        <v/>
      </c>
      <c r="Q1297" s="25" t="str">
        <f aca="false">IF(OR(O1297="",O1297="Sin información"),"",IFERROR(INDEX(Listas!$C$2:$C$9,MATCH(O1297,Listas!$A$2:$A$9,0)),""))</f>
        <v/>
      </c>
      <c r="R1297" s="22"/>
      <c r="S1297" s="22"/>
      <c r="T1297" s="25" t="str">
        <f aca="false">IF(S1297="","",IFERROR(INDEX(Empleadores!$B$2:$B$601,MATCH(S1297,Empleadores!$A$2:$A$601,0)),"No encontrado"))</f>
        <v/>
      </c>
      <c r="U1297" s="25" t="str">
        <f aca="false">IF(C1297="","",IF(V1297="","No",IF(Config!$C$4-V1297&lt;=Config!$C$15,"Sí","No")))</f>
        <v/>
      </c>
      <c r="V1297" s="23"/>
      <c r="W1297" s="22"/>
      <c r="X1297" s="22"/>
      <c r="Y1297" s="22"/>
      <c r="Z1297" s="27"/>
      <c r="AA1297" s="22"/>
      <c r="AB1297" s="22"/>
    </row>
    <row r="1298" customFormat="false" ht="15" hidden="false" customHeight="false" outlineLevel="0" collapsed="false">
      <c r="A1298" s="22"/>
      <c r="B1298" s="22"/>
      <c r="C1298" s="22"/>
      <c r="D1298" s="22"/>
      <c r="E1298" s="22"/>
      <c r="F1298" s="22"/>
      <c r="G1298" s="23"/>
      <c r="H1298" s="24" t="str">
        <f aca="false">IF(G1298="","",ROUND((Config!$C$4-G1298)/365.25,2))</f>
        <v/>
      </c>
      <c r="I1298" s="25" t="str">
        <f aca="false">IF(H1298="","",IF(H1298&lt;=1,"Tramo 1",IF(H1298&lt;=3,"Tramo 2",IF(H1298&lt;=5,"Tramo 3","Tramo 4"))))</f>
        <v/>
      </c>
      <c r="J1298" s="22"/>
      <c r="K1298" s="22"/>
      <c r="L1298" s="22"/>
      <c r="M1298" s="26"/>
      <c r="N1298" s="22"/>
      <c r="O1298" s="22"/>
      <c r="P1298" s="25" t="str">
        <f aca="false">IF(OR(O1298="",O1298="Sin información"),"",IFERROR(INDEX(Listas!$B$2:$B$9,MATCH(O1298,Listas!$A$2:$A$9,0)),""))</f>
        <v/>
      </c>
      <c r="Q1298" s="25" t="str">
        <f aca="false">IF(OR(O1298="",O1298="Sin información"),"",IFERROR(INDEX(Listas!$C$2:$C$9,MATCH(O1298,Listas!$A$2:$A$9,0)),""))</f>
        <v/>
      </c>
      <c r="R1298" s="22"/>
      <c r="S1298" s="22"/>
      <c r="T1298" s="25" t="str">
        <f aca="false">IF(S1298="","",IFERROR(INDEX(Empleadores!$B$2:$B$601,MATCH(S1298,Empleadores!$A$2:$A$601,0)),"No encontrado"))</f>
        <v/>
      </c>
      <c r="U1298" s="25" t="str">
        <f aca="false">IF(C1298="","",IF(V1298="","No",IF(Config!$C$4-V1298&lt;=Config!$C$15,"Sí","No")))</f>
        <v/>
      </c>
      <c r="V1298" s="23"/>
      <c r="W1298" s="22"/>
      <c r="X1298" s="22"/>
      <c r="Y1298" s="22"/>
      <c r="Z1298" s="27"/>
      <c r="AA1298" s="22"/>
      <c r="AB1298" s="22"/>
    </row>
    <row r="1299" customFormat="false" ht="15" hidden="false" customHeight="false" outlineLevel="0" collapsed="false">
      <c r="A1299" s="22"/>
      <c r="B1299" s="22"/>
      <c r="C1299" s="22"/>
      <c r="D1299" s="22"/>
      <c r="E1299" s="22"/>
      <c r="F1299" s="22"/>
      <c r="G1299" s="23"/>
      <c r="H1299" s="24" t="str">
        <f aca="false">IF(G1299="","",ROUND((Config!$C$4-G1299)/365.25,2))</f>
        <v/>
      </c>
      <c r="I1299" s="25" t="str">
        <f aca="false">IF(H1299="","",IF(H1299&lt;=1,"Tramo 1",IF(H1299&lt;=3,"Tramo 2",IF(H1299&lt;=5,"Tramo 3","Tramo 4"))))</f>
        <v/>
      </c>
      <c r="J1299" s="22"/>
      <c r="K1299" s="22"/>
      <c r="L1299" s="22"/>
      <c r="M1299" s="26"/>
      <c r="N1299" s="22"/>
      <c r="O1299" s="22"/>
      <c r="P1299" s="25" t="str">
        <f aca="false">IF(OR(O1299="",O1299="Sin información"),"",IFERROR(INDEX(Listas!$B$2:$B$9,MATCH(O1299,Listas!$A$2:$A$9,0)),""))</f>
        <v/>
      </c>
      <c r="Q1299" s="25" t="str">
        <f aca="false">IF(OR(O1299="",O1299="Sin información"),"",IFERROR(INDEX(Listas!$C$2:$C$9,MATCH(O1299,Listas!$A$2:$A$9,0)),""))</f>
        <v/>
      </c>
      <c r="R1299" s="22"/>
      <c r="S1299" s="22"/>
      <c r="T1299" s="25" t="str">
        <f aca="false">IF(S1299="","",IFERROR(INDEX(Empleadores!$B$2:$B$601,MATCH(S1299,Empleadores!$A$2:$A$601,0)),"No encontrado"))</f>
        <v/>
      </c>
      <c r="U1299" s="25" t="str">
        <f aca="false">IF(C1299="","",IF(V1299="","No",IF(Config!$C$4-V1299&lt;=Config!$C$15,"Sí","No")))</f>
        <v/>
      </c>
      <c r="V1299" s="23"/>
      <c r="W1299" s="22"/>
      <c r="X1299" s="22"/>
      <c r="Y1299" s="22"/>
      <c r="Z1299" s="27"/>
      <c r="AA1299" s="22"/>
      <c r="AB1299" s="22"/>
    </row>
    <row r="1300" customFormat="false" ht="15" hidden="false" customHeight="false" outlineLevel="0" collapsed="false">
      <c r="A1300" s="22"/>
      <c r="B1300" s="22"/>
      <c r="C1300" s="22"/>
      <c r="D1300" s="22"/>
      <c r="E1300" s="22"/>
      <c r="F1300" s="22"/>
      <c r="G1300" s="23"/>
      <c r="H1300" s="24" t="str">
        <f aca="false">IF(G1300="","",ROUND((Config!$C$4-G1300)/365.25,2))</f>
        <v/>
      </c>
      <c r="I1300" s="25" t="str">
        <f aca="false">IF(H1300="","",IF(H1300&lt;=1,"Tramo 1",IF(H1300&lt;=3,"Tramo 2",IF(H1300&lt;=5,"Tramo 3","Tramo 4"))))</f>
        <v/>
      </c>
      <c r="J1300" s="22"/>
      <c r="K1300" s="22"/>
      <c r="L1300" s="22"/>
      <c r="M1300" s="26"/>
      <c r="N1300" s="22"/>
      <c r="O1300" s="22"/>
      <c r="P1300" s="25" t="str">
        <f aca="false">IF(OR(O1300="",O1300="Sin información"),"",IFERROR(INDEX(Listas!$B$2:$B$9,MATCH(O1300,Listas!$A$2:$A$9,0)),""))</f>
        <v/>
      </c>
      <c r="Q1300" s="25" t="str">
        <f aca="false">IF(OR(O1300="",O1300="Sin información"),"",IFERROR(INDEX(Listas!$C$2:$C$9,MATCH(O1300,Listas!$A$2:$A$9,0)),""))</f>
        <v/>
      </c>
      <c r="R1300" s="22"/>
      <c r="S1300" s="22"/>
      <c r="T1300" s="25" t="str">
        <f aca="false">IF(S1300="","",IFERROR(INDEX(Empleadores!$B$2:$B$601,MATCH(S1300,Empleadores!$A$2:$A$601,0)),"No encontrado"))</f>
        <v/>
      </c>
      <c r="U1300" s="25" t="str">
        <f aca="false">IF(C1300="","",IF(V1300="","No",IF(Config!$C$4-V1300&lt;=Config!$C$15,"Sí","No")))</f>
        <v/>
      </c>
      <c r="V1300" s="23"/>
      <c r="W1300" s="22"/>
      <c r="X1300" s="22"/>
      <c r="Y1300" s="22"/>
      <c r="Z1300" s="27"/>
      <c r="AA1300" s="22"/>
      <c r="AB1300" s="22"/>
    </row>
    <row r="1301" customFormat="false" ht="15" hidden="false" customHeight="false" outlineLevel="0" collapsed="false">
      <c r="A1301" s="22"/>
      <c r="B1301" s="22"/>
      <c r="C1301" s="22"/>
      <c r="D1301" s="22"/>
      <c r="E1301" s="22"/>
      <c r="F1301" s="22"/>
      <c r="G1301" s="23"/>
      <c r="H1301" s="24" t="str">
        <f aca="false">IF(G1301="","",ROUND((Config!$C$4-G1301)/365.25,2))</f>
        <v/>
      </c>
      <c r="I1301" s="25" t="str">
        <f aca="false">IF(H1301="","",IF(H1301&lt;=1,"Tramo 1",IF(H1301&lt;=3,"Tramo 2",IF(H1301&lt;=5,"Tramo 3","Tramo 4"))))</f>
        <v/>
      </c>
      <c r="J1301" s="22"/>
      <c r="K1301" s="22"/>
      <c r="L1301" s="22"/>
      <c r="M1301" s="26"/>
      <c r="N1301" s="22"/>
      <c r="O1301" s="22"/>
      <c r="P1301" s="25" t="str">
        <f aca="false">IF(OR(O1301="",O1301="Sin información"),"",IFERROR(INDEX(Listas!$B$2:$B$9,MATCH(O1301,Listas!$A$2:$A$9,0)),""))</f>
        <v/>
      </c>
      <c r="Q1301" s="25" t="str">
        <f aca="false">IF(OR(O1301="",O1301="Sin información"),"",IFERROR(INDEX(Listas!$C$2:$C$9,MATCH(O1301,Listas!$A$2:$A$9,0)),""))</f>
        <v/>
      </c>
      <c r="R1301" s="22"/>
      <c r="S1301" s="22"/>
      <c r="T1301" s="25" t="str">
        <f aca="false">IF(S1301="","",IFERROR(INDEX(Empleadores!$B$2:$B$601,MATCH(S1301,Empleadores!$A$2:$A$601,0)),"No encontrado"))</f>
        <v/>
      </c>
      <c r="U1301" s="25" t="str">
        <f aca="false">IF(C1301="","",IF(V1301="","No",IF(Config!$C$4-V1301&lt;=Config!$C$15,"Sí","No")))</f>
        <v/>
      </c>
      <c r="V1301" s="23"/>
      <c r="W1301" s="22"/>
      <c r="X1301" s="22"/>
      <c r="Y1301" s="22"/>
      <c r="Z1301" s="27"/>
      <c r="AA1301" s="22"/>
      <c r="AB1301" s="22"/>
    </row>
    <row r="1302" customFormat="false" ht="15" hidden="false" customHeight="false" outlineLevel="0" collapsed="false">
      <c r="A1302" s="22"/>
      <c r="B1302" s="22"/>
      <c r="C1302" s="22"/>
      <c r="D1302" s="22"/>
      <c r="E1302" s="22"/>
      <c r="F1302" s="22"/>
      <c r="G1302" s="23"/>
      <c r="H1302" s="24" t="str">
        <f aca="false">IF(G1302="","",ROUND((Config!$C$4-G1302)/365.25,2))</f>
        <v/>
      </c>
      <c r="I1302" s="25" t="str">
        <f aca="false">IF(H1302="","",IF(H1302&lt;=1,"Tramo 1",IF(H1302&lt;=3,"Tramo 2",IF(H1302&lt;=5,"Tramo 3","Tramo 4"))))</f>
        <v/>
      </c>
      <c r="J1302" s="22"/>
      <c r="K1302" s="22"/>
      <c r="L1302" s="22"/>
      <c r="M1302" s="26"/>
      <c r="N1302" s="22"/>
      <c r="O1302" s="22"/>
      <c r="P1302" s="25" t="str">
        <f aca="false">IF(OR(O1302="",O1302="Sin información"),"",IFERROR(INDEX(Listas!$B$2:$B$9,MATCH(O1302,Listas!$A$2:$A$9,0)),""))</f>
        <v/>
      </c>
      <c r="Q1302" s="25" t="str">
        <f aca="false">IF(OR(O1302="",O1302="Sin información"),"",IFERROR(INDEX(Listas!$C$2:$C$9,MATCH(O1302,Listas!$A$2:$A$9,0)),""))</f>
        <v/>
      </c>
      <c r="R1302" s="22"/>
      <c r="S1302" s="22"/>
      <c r="T1302" s="25" t="str">
        <f aca="false">IF(S1302="","",IFERROR(INDEX(Empleadores!$B$2:$B$601,MATCH(S1302,Empleadores!$A$2:$A$601,0)),"No encontrado"))</f>
        <v/>
      </c>
      <c r="U1302" s="25" t="str">
        <f aca="false">IF(C1302="","",IF(V1302="","No",IF(Config!$C$4-V1302&lt;=Config!$C$15,"Sí","No")))</f>
        <v/>
      </c>
      <c r="V1302" s="23"/>
      <c r="W1302" s="22"/>
      <c r="X1302" s="22"/>
      <c r="Y1302" s="22"/>
      <c r="Z1302" s="27"/>
      <c r="AA1302" s="22"/>
      <c r="AB1302" s="22"/>
    </row>
    <row r="1303" customFormat="false" ht="15" hidden="false" customHeight="false" outlineLevel="0" collapsed="false">
      <c r="A1303" s="22"/>
      <c r="B1303" s="22"/>
      <c r="C1303" s="22"/>
      <c r="D1303" s="22"/>
      <c r="E1303" s="22"/>
      <c r="F1303" s="22"/>
      <c r="G1303" s="23"/>
      <c r="H1303" s="24" t="str">
        <f aca="false">IF(G1303="","",ROUND((Config!$C$4-G1303)/365.25,2))</f>
        <v/>
      </c>
      <c r="I1303" s="25" t="str">
        <f aca="false">IF(H1303="","",IF(H1303&lt;=1,"Tramo 1",IF(H1303&lt;=3,"Tramo 2",IF(H1303&lt;=5,"Tramo 3","Tramo 4"))))</f>
        <v/>
      </c>
      <c r="J1303" s="22"/>
      <c r="K1303" s="22"/>
      <c r="L1303" s="22"/>
      <c r="M1303" s="26"/>
      <c r="N1303" s="22"/>
      <c r="O1303" s="22"/>
      <c r="P1303" s="25" t="str">
        <f aca="false">IF(OR(O1303="",O1303="Sin información"),"",IFERROR(INDEX(Listas!$B$2:$B$9,MATCH(O1303,Listas!$A$2:$A$9,0)),""))</f>
        <v/>
      </c>
      <c r="Q1303" s="25" t="str">
        <f aca="false">IF(OR(O1303="",O1303="Sin información"),"",IFERROR(INDEX(Listas!$C$2:$C$9,MATCH(O1303,Listas!$A$2:$A$9,0)),""))</f>
        <v/>
      </c>
      <c r="R1303" s="22"/>
      <c r="S1303" s="22"/>
      <c r="T1303" s="25" t="str">
        <f aca="false">IF(S1303="","",IFERROR(INDEX(Empleadores!$B$2:$B$601,MATCH(S1303,Empleadores!$A$2:$A$601,0)),"No encontrado"))</f>
        <v/>
      </c>
      <c r="U1303" s="25" t="str">
        <f aca="false">IF(C1303="","",IF(V1303="","No",IF(Config!$C$4-V1303&lt;=Config!$C$15,"Sí","No")))</f>
        <v/>
      </c>
      <c r="V1303" s="23"/>
      <c r="W1303" s="22"/>
      <c r="X1303" s="22"/>
      <c r="Y1303" s="22"/>
      <c r="Z1303" s="27"/>
      <c r="AA1303" s="22"/>
      <c r="AB1303" s="22"/>
    </row>
    <row r="1304" customFormat="false" ht="15" hidden="false" customHeight="false" outlineLevel="0" collapsed="false">
      <c r="A1304" s="22"/>
      <c r="B1304" s="22"/>
      <c r="C1304" s="22"/>
      <c r="D1304" s="22"/>
      <c r="E1304" s="22"/>
      <c r="F1304" s="22"/>
      <c r="G1304" s="23"/>
      <c r="H1304" s="24" t="str">
        <f aca="false">IF(G1304="","",ROUND((Config!$C$4-G1304)/365.25,2))</f>
        <v/>
      </c>
      <c r="I1304" s="25" t="str">
        <f aca="false">IF(H1304="","",IF(H1304&lt;=1,"Tramo 1",IF(H1304&lt;=3,"Tramo 2",IF(H1304&lt;=5,"Tramo 3","Tramo 4"))))</f>
        <v/>
      </c>
      <c r="J1304" s="22"/>
      <c r="K1304" s="22"/>
      <c r="L1304" s="22"/>
      <c r="M1304" s="26"/>
      <c r="N1304" s="22"/>
      <c r="O1304" s="22"/>
      <c r="P1304" s="25" t="str">
        <f aca="false">IF(OR(O1304="",O1304="Sin información"),"",IFERROR(INDEX(Listas!$B$2:$B$9,MATCH(O1304,Listas!$A$2:$A$9,0)),""))</f>
        <v/>
      </c>
      <c r="Q1304" s="25" t="str">
        <f aca="false">IF(OR(O1304="",O1304="Sin información"),"",IFERROR(INDEX(Listas!$C$2:$C$9,MATCH(O1304,Listas!$A$2:$A$9,0)),""))</f>
        <v/>
      </c>
      <c r="R1304" s="22"/>
      <c r="S1304" s="22"/>
      <c r="T1304" s="25" t="str">
        <f aca="false">IF(S1304="","",IFERROR(INDEX(Empleadores!$B$2:$B$601,MATCH(S1304,Empleadores!$A$2:$A$601,0)),"No encontrado"))</f>
        <v/>
      </c>
      <c r="U1304" s="25" t="str">
        <f aca="false">IF(C1304="","",IF(V1304="","No",IF(Config!$C$4-V1304&lt;=Config!$C$15,"Sí","No")))</f>
        <v/>
      </c>
      <c r="V1304" s="23"/>
      <c r="W1304" s="22"/>
      <c r="X1304" s="22"/>
      <c r="Y1304" s="22"/>
      <c r="Z1304" s="27"/>
      <c r="AA1304" s="22"/>
      <c r="AB1304" s="22"/>
    </row>
    <row r="1305" customFormat="false" ht="15" hidden="false" customHeight="false" outlineLevel="0" collapsed="false">
      <c r="A1305" s="22"/>
      <c r="B1305" s="22"/>
      <c r="C1305" s="22"/>
      <c r="D1305" s="22"/>
      <c r="E1305" s="22"/>
      <c r="F1305" s="22"/>
      <c r="G1305" s="23"/>
      <c r="H1305" s="24" t="str">
        <f aca="false">IF(G1305="","",ROUND((Config!$C$4-G1305)/365.25,2))</f>
        <v/>
      </c>
      <c r="I1305" s="25" t="str">
        <f aca="false">IF(H1305="","",IF(H1305&lt;=1,"Tramo 1",IF(H1305&lt;=3,"Tramo 2",IF(H1305&lt;=5,"Tramo 3","Tramo 4"))))</f>
        <v/>
      </c>
      <c r="J1305" s="22"/>
      <c r="K1305" s="22"/>
      <c r="L1305" s="22"/>
      <c r="M1305" s="26"/>
      <c r="N1305" s="22"/>
      <c r="O1305" s="22"/>
      <c r="P1305" s="25" t="str">
        <f aca="false">IF(OR(O1305="",O1305="Sin información"),"",IFERROR(INDEX(Listas!$B$2:$B$9,MATCH(O1305,Listas!$A$2:$A$9,0)),""))</f>
        <v/>
      </c>
      <c r="Q1305" s="25" t="str">
        <f aca="false">IF(OR(O1305="",O1305="Sin información"),"",IFERROR(INDEX(Listas!$C$2:$C$9,MATCH(O1305,Listas!$A$2:$A$9,0)),""))</f>
        <v/>
      </c>
      <c r="R1305" s="22"/>
      <c r="S1305" s="22"/>
      <c r="T1305" s="25" t="str">
        <f aca="false">IF(S1305="","",IFERROR(INDEX(Empleadores!$B$2:$B$601,MATCH(S1305,Empleadores!$A$2:$A$601,0)),"No encontrado"))</f>
        <v/>
      </c>
      <c r="U1305" s="25" t="str">
        <f aca="false">IF(C1305="","",IF(V1305="","No",IF(Config!$C$4-V1305&lt;=Config!$C$15,"Sí","No")))</f>
        <v/>
      </c>
      <c r="V1305" s="23"/>
      <c r="W1305" s="22"/>
      <c r="X1305" s="22"/>
      <c r="Y1305" s="22"/>
      <c r="Z1305" s="27"/>
      <c r="AA1305" s="22"/>
      <c r="AB1305" s="22"/>
    </row>
    <row r="1306" customFormat="false" ht="15" hidden="false" customHeight="false" outlineLevel="0" collapsed="false">
      <c r="A1306" s="22"/>
      <c r="B1306" s="22"/>
      <c r="C1306" s="22"/>
      <c r="D1306" s="22"/>
      <c r="E1306" s="22"/>
      <c r="F1306" s="22"/>
      <c r="G1306" s="23"/>
      <c r="H1306" s="24" t="str">
        <f aca="false">IF(G1306="","",ROUND((Config!$C$4-G1306)/365.25,2))</f>
        <v/>
      </c>
      <c r="I1306" s="25" t="str">
        <f aca="false">IF(H1306="","",IF(H1306&lt;=1,"Tramo 1",IF(H1306&lt;=3,"Tramo 2",IF(H1306&lt;=5,"Tramo 3","Tramo 4"))))</f>
        <v/>
      </c>
      <c r="J1306" s="22"/>
      <c r="K1306" s="22"/>
      <c r="L1306" s="22"/>
      <c r="M1306" s="26"/>
      <c r="N1306" s="22"/>
      <c r="O1306" s="22"/>
      <c r="P1306" s="25" t="str">
        <f aca="false">IF(OR(O1306="",O1306="Sin información"),"",IFERROR(INDEX(Listas!$B$2:$B$9,MATCH(O1306,Listas!$A$2:$A$9,0)),""))</f>
        <v/>
      </c>
      <c r="Q1306" s="25" t="str">
        <f aca="false">IF(OR(O1306="",O1306="Sin información"),"",IFERROR(INDEX(Listas!$C$2:$C$9,MATCH(O1306,Listas!$A$2:$A$9,0)),""))</f>
        <v/>
      </c>
      <c r="R1306" s="22"/>
      <c r="S1306" s="22"/>
      <c r="T1306" s="25" t="str">
        <f aca="false">IF(S1306="","",IFERROR(INDEX(Empleadores!$B$2:$B$601,MATCH(S1306,Empleadores!$A$2:$A$601,0)),"No encontrado"))</f>
        <v/>
      </c>
      <c r="U1306" s="25" t="str">
        <f aca="false">IF(C1306="","",IF(V1306="","No",IF(Config!$C$4-V1306&lt;=Config!$C$15,"Sí","No")))</f>
        <v/>
      </c>
      <c r="V1306" s="23"/>
      <c r="W1306" s="22"/>
      <c r="X1306" s="22"/>
      <c r="Y1306" s="22"/>
      <c r="Z1306" s="27"/>
      <c r="AA1306" s="22"/>
      <c r="AB1306" s="22"/>
    </row>
    <row r="1307" customFormat="false" ht="15" hidden="false" customHeight="false" outlineLevel="0" collapsed="false">
      <c r="A1307" s="22"/>
      <c r="B1307" s="22"/>
      <c r="C1307" s="22"/>
      <c r="D1307" s="22"/>
      <c r="E1307" s="22"/>
      <c r="F1307" s="22"/>
      <c r="G1307" s="23"/>
      <c r="H1307" s="24" t="str">
        <f aca="false">IF(G1307="","",ROUND((Config!$C$4-G1307)/365.25,2))</f>
        <v/>
      </c>
      <c r="I1307" s="25" t="str">
        <f aca="false">IF(H1307="","",IF(H1307&lt;=1,"Tramo 1",IF(H1307&lt;=3,"Tramo 2",IF(H1307&lt;=5,"Tramo 3","Tramo 4"))))</f>
        <v/>
      </c>
      <c r="J1307" s="22"/>
      <c r="K1307" s="22"/>
      <c r="L1307" s="22"/>
      <c r="M1307" s="26"/>
      <c r="N1307" s="22"/>
      <c r="O1307" s="22"/>
      <c r="P1307" s="25" t="str">
        <f aca="false">IF(OR(O1307="",O1307="Sin información"),"",IFERROR(INDEX(Listas!$B$2:$B$9,MATCH(O1307,Listas!$A$2:$A$9,0)),""))</f>
        <v/>
      </c>
      <c r="Q1307" s="25" t="str">
        <f aca="false">IF(OR(O1307="",O1307="Sin información"),"",IFERROR(INDEX(Listas!$C$2:$C$9,MATCH(O1307,Listas!$A$2:$A$9,0)),""))</f>
        <v/>
      </c>
      <c r="R1307" s="22"/>
      <c r="S1307" s="22"/>
      <c r="T1307" s="25" t="str">
        <f aca="false">IF(S1307="","",IFERROR(INDEX(Empleadores!$B$2:$B$601,MATCH(S1307,Empleadores!$A$2:$A$601,0)),"No encontrado"))</f>
        <v/>
      </c>
      <c r="U1307" s="25" t="str">
        <f aca="false">IF(C1307="","",IF(V1307="","No",IF(Config!$C$4-V1307&lt;=Config!$C$15,"Sí","No")))</f>
        <v/>
      </c>
      <c r="V1307" s="23"/>
      <c r="W1307" s="22"/>
      <c r="X1307" s="22"/>
      <c r="Y1307" s="22"/>
      <c r="Z1307" s="27"/>
      <c r="AA1307" s="22"/>
      <c r="AB1307" s="22"/>
    </row>
    <row r="1308" customFormat="false" ht="15" hidden="false" customHeight="false" outlineLevel="0" collapsed="false">
      <c r="A1308" s="22"/>
      <c r="B1308" s="22"/>
      <c r="C1308" s="22"/>
      <c r="D1308" s="22"/>
      <c r="E1308" s="22"/>
      <c r="F1308" s="22"/>
      <c r="G1308" s="23"/>
      <c r="H1308" s="24" t="str">
        <f aca="false">IF(G1308="","",ROUND((Config!$C$4-G1308)/365.25,2))</f>
        <v/>
      </c>
      <c r="I1308" s="25" t="str">
        <f aca="false">IF(H1308="","",IF(H1308&lt;=1,"Tramo 1",IF(H1308&lt;=3,"Tramo 2",IF(H1308&lt;=5,"Tramo 3","Tramo 4"))))</f>
        <v/>
      </c>
      <c r="J1308" s="22"/>
      <c r="K1308" s="22"/>
      <c r="L1308" s="22"/>
      <c r="M1308" s="26"/>
      <c r="N1308" s="22"/>
      <c r="O1308" s="22"/>
      <c r="P1308" s="25" t="str">
        <f aca="false">IF(OR(O1308="",O1308="Sin información"),"",IFERROR(INDEX(Listas!$B$2:$B$9,MATCH(O1308,Listas!$A$2:$A$9,0)),""))</f>
        <v/>
      </c>
      <c r="Q1308" s="25" t="str">
        <f aca="false">IF(OR(O1308="",O1308="Sin información"),"",IFERROR(INDEX(Listas!$C$2:$C$9,MATCH(O1308,Listas!$A$2:$A$9,0)),""))</f>
        <v/>
      </c>
      <c r="R1308" s="22"/>
      <c r="S1308" s="22"/>
      <c r="T1308" s="25" t="str">
        <f aca="false">IF(S1308="","",IFERROR(INDEX(Empleadores!$B$2:$B$601,MATCH(S1308,Empleadores!$A$2:$A$601,0)),"No encontrado"))</f>
        <v/>
      </c>
      <c r="U1308" s="25" t="str">
        <f aca="false">IF(C1308="","",IF(V1308="","No",IF(Config!$C$4-V1308&lt;=Config!$C$15,"Sí","No")))</f>
        <v/>
      </c>
      <c r="V1308" s="23"/>
      <c r="W1308" s="22"/>
      <c r="X1308" s="22"/>
      <c r="Y1308" s="22"/>
      <c r="Z1308" s="27"/>
      <c r="AA1308" s="22"/>
      <c r="AB1308" s="22"/>
    </row>
    <row r="1309" customFormat="false" ht="15" hidden="false" customHeight="false" outlineLevel="0" collapsed="false">
      <c r="A1309" s="22"/>
      <c r="B1309" s="22"/>
      <c r="C1309" s="22"/>
      <c r="D1309" s="22"/>
      <c r="E1309" s="22"/>
      <c r="F1309" s="22"/>
      <c r="G1309" s="23"/>
      <c r="H1309" s="24" t="str">
        <f aca="false">IF(G1309="","",ROUND((Config!$C$4-G1309)/365.25,2))</f>
        <v/>
      </c>
      <c r="I1309" s="25" t="str">
        <f aca="false">IF(H1309="","",IF(H1309&lt;=1,"Tramo 1",IF(H1309&lt;=3,"Tramo 2",IF(H1309&lt;=5,"Tramo 3","Tramo 4"))))</f>
        <v/>
      </c>
      <c r="J1309" s="22"/>
      <c r="K1309" s="22"/>
      <c r="L1309" s="22"/>
      <c r="M1309" s="26"/>
      <c r="N1309" s="22"/>
      <c r="O1309" s="22"/>
      <c r="P1309" s="25" t="str">
        <f aca="false">IF(OR(O1309="",O1309="Sin información"),"",IFERROR(INDEX(Listas!$B$2:$B$9,MATCH(O1309,Listas!$A$2:$A$9,0)),""))</f>
        <v/>
      </c>
      <c r="Q1309" s="25" t="str">
        <f aca="false">IF(OR(O1309="",O1309="Sin información"),"",IFERROR(INDEX(Listas!$C$2:$C$9,MATCH(O1309,Listas!$A$2:$A$9,0)),""))</f>
        <v/>
      </c>
      <c r="R1309" s="22"/>
      <c r="S1309" s="22"/>
      <c r="T1309" s="25" t="str">
        <f aca="false">IF(S1309="","",IFERROR(INDEX(Empleadores!$B$2:$B$601,MATCH(S1309,Empleadores!$A$2:$A$601,0)),"No encontrado"))</f>
        <v/>
      </c>
      <c r="U1309" s="25" t="str">
        <f aca="false">IF(C1309="","",IF(V1309="","No",IF(Config!$C$4-V1309&lt;=Config!$C$15,"Sí","No")))</f>
        <v/>
      </c>
      <c r="V1309" s="23"/>
      <c r="W1309" s="22"/>
      <c r="X1309" s="22"/>
      <c r="Y1309" s="22"/>
      <c r="Z1309" s="27"/>
      <c r="AA1309" s="22"/>
      <c r="AB1309" s="22"/>
    </row>
    <row r="1310" customFormat="false" ht="15" hidden="false" customHeight="false" outlineLevel="0" collapsed="false">
      <c r="A1310" s="22"/>
      <c r="B1310" s="22"/>
      <c r="C1310" s="22"/>
      <c r="D1310" s="22"/>
      <c r="E1310" s="22"/>
      <c r="F1310" s="22"/>
      <c r="G1310" s="23"/>
      <c r="H1310" s="24" t="str">
        <f aca="false">IF(G1310="","",ROUND((Config!$C$4-G1310)/365.25,2))</f>
        <v/>
      </c>
      <c r="I1310" s="25" t="str">
        <f aca="false">IF(H1310="","",IF(H1310&lt;=1,"Tramo 1",IF(H1310&lt;=3,"Tramo 2",IF(H1310&lt;=5,"Tramo 3","Tramo 4"))))</f>
        <v/>
      </c>
      <c r="J1310" s="22"/>
      <c r="K1310" s="22"/>
      <c r="L1310" s="22"/>
      <c r="M1310" s="26"/>
      <c r="N1310" s="22"/>
      <c r="O1310" s="22"/>
      <c r="P1310" s="25" t="str">
        <f aca="false">IF(OR(O1310="",O1310="Sin información"),"",IFERROR(INDEX(Listas!$B$2:$B$9,MATCH(O1310,Listas!$A$2:$A$9,0)),""))</f>
        <v/>
      </c>
      <c r="Q1310" s="25" t="str">
        <f aca="false">IF(OR(O1310="",O1310="Sin información"),"",IFERROR(INDEX(Listas!$C$2:$C$9,MATCH(O1310,Listas!$A$2:$A$9,0)),""))</f>
        <v/>
      </c>
      <c r="R1310" s="22"/>
      <c r="S1310" s="22"/>
      <c r="T1310" s="25" t="str">
        <f aca="false">IF(S1310="","",IFERROR(INDEX(Empleadores!$B$2:$B$601,MATCH(S1310,Empleadores!$A$2:$A$601,0)),"No encontrado"))</f>
        <v/>
      </c>
      <c r="U1310" s="25" t="str">
        <f aca="false">IF(C1310="","",IF(V1310="","No",IF(Config!$C$4-V1310&lt;=Config!$C$15,"Sí","No")))</f>
        <v/>
      </c>
      <c r="V1310" s="23"/>
      <c r="W1310" s="22"/>
      <c r="X1310" s="22"/>
      <c r="Y1310" s="22"/>
      <c r="Z1310" s="27"/>
      <c r="AA1310" s="22"/>
      <c r="AB1310" s="22"/>
    </row>
    <row r="1311" customFormat="false" ht="15" hidden="false" customHeight="false" outlineLevel="0" collapsed="false">
      <c r="A1311" s="22"/>
      <c r="B1311" s="22"/>
      <c r="C1311" s="22"/>
      <c r="D1311" s="22"/>
      <c r="E1311" s="22"/>
      <c r="F1311" s="22"/>
      <c r="G1311" s="23"/>
      <c r="H1311" s="24" t="str">
        <f aca="false">IF(G1311="","",ROUND((Config!$C$4-G1311)/365.25,2))</f>
        <v/>
      </c>
      <c r="I1311" s="25" t="str">
        <f aca="false">IF(H1311="","",IF(H1311&lt;=1,"Tramo 1",IF(H1311&lt;=3,"Tramo 2",IF(H1311&lt;=5,"Tramo 3","Tramo 4"))))</f>
        <v/>
      </c>
      <c r="J1311" s="22"/>
      <c r="K1311" s="22"/>
      <c r="L1311" s="22"/>
      <c r="M1311" s="26"/>
      <c r="N1311" s="22"/>
      <c r="O1311" s="22"/>
      <c r="P1311" s="25" t="str">
        <f aca="false">IF(OR(O1311="",O1311="Sin información"),"",IFERROR(INDEX(Listas!$B$2:$B$9,MATCH(O1311,Listas!$A$2:$A$9,0)),""))</f>
        <v/>
      </c>
      <c r="Q1311" s="25" t="str">
        <f aca="false">IF(OR(O1311="",O1311="Sin información"),"",IFERROR(INDEX(Listas!$C$2:$C$9,MATCH(O1311,Listas!$A$2:$A$9,0)),""))</f>
        <v/>
      </c>
      <c r="R1311" s="22"/>
      <c r="S1311" s="22"/>
      <c r="T1311" s="25" t="str">
        <f aca="false">IF(S1311="","",IFERROR(INDEX(Empleadores!$B$2:$B$601,MATCH(S1311,Empleadores!$A$2:$A$601,0)),"No encontrado"))</f>
        <v/>
      </c>
      <c r="U1311" s="25" t="str">
        <f aca="false">IF(C1311="","",IF(V1311="","No",IF(Config!$C$4-V1311&lt;=Config!$C$15,"Sí","No")))</f>
        <v/>
      </c>
      <c r="V1311" s="23"/>
      <c r="W1311" s="22"/>
      <c r="X1311" s="22"/>
      <c r="Y1311" s="22"/>
      <c r="Z1311" s="27"/>
      <c r="AA1311" s="22"/>
      <c r="AB1311" s="22"/>
    </row>
    <row r="1312" customFormat="false" ht="15" hidden="false" customHeight="false" outlineLevel="0" collapsed="false">
      <c r="A1312" s="22"/>
      <c r="B1312" s="22"/>
      <c r="C1312" s="22"/>
      <c r="D1312" s="22"/>
      <c r="E1312" s="22"/>
      <c r="F1312" s="22"/>
      <c r="G1312" s="23"/>
      <c r="H1312" s="24" t="str">
        <f aca="false">IF(G1312="","",ROUND((Config!$C$4-G1312)/365.25,2))</f>
        <v/>
      </c>
      <c r="I1312" s="25" t="str">
        <f aca="false">IF(H1312="","",IF(H1312&lt;=1,"Tramo 1",IF(H1312&lt;=3,"Tramo 2",IF(H1312&lt;=5,"Tramo 3","Tramo 4"))))</f>
        <v/>
      </c>
      <c r="J1312" s="22"/>
      <c r="K1312" s="22"/>
      <c r="L1312" s="22"/>
      <c r="M1312" s="26"/>
      <c r="N1312" s="22"/>
      <c r="O1312" s="22"/>
      <c r="P1312" s="25" t="str">
        <f aca="false">IF(OR(O1312="",O1312="Sin información"),"",IFERROR(INDEX(Listas!$B$2:$B$9,MATCH(O1312,Listas!$A$2:$A$9,0)),""))</f>
        <v/>
      </c>
      <c r="Q1312" s="25" t="str">
        <f aca="false">IF(OR(O1312="",O1312="Sin información"),"",IFERROR(INDEX(Listas!$C$2:$C$9,MATCH(O1312,Listas!$A$2:$A$9,0)),""))</f>
        <v/>
      </c>
      <c r="R1312" s="22"/>
      <c r="S1312" s="22"/>
      <c r="T1312" s="25" t="str">
        <f aca="false">IF(S1312="","",IFERROR(INDEX(Empleadores!$B$2:$B$601,MATCH(S1312,Empleadores!$A$2:$A$601,0)),"No encontrado"))</f>
        <v/>
      </c>
      <c r="U1312" s="25" t="str">
        <f aca="false">IF(C1312="","",IF(V1312="","No",IF(Config!$C$4-V1312&lt;=Config!$C$15,"Sí","No")))</f>
        <v/>
      </c>
      <c r="V1312" s="23"/>
      <c r="W1312" s="22"/>
      <c r="X1312" s="22"/>
      <c r="Y1312" s="22"/>
      <c r="Z1312" s="27"/>
      <c r="AA1312" s="22"/>
      <c r="AB1312" s="22"/>
    </row>
    <row r="1313" customFormat="false" ht="15" hidden="false" customHeight="false" outlineLevel="0" collapsed="false">
      <c r="A1313" s="22"/>
      <c r="B1313" s="22"/>
      <c r="C1313" s="22"/>
      <c r="D1313" s="22"/>
      <c r="E1313" s="22"/>
      <c r="F1313" s="22"/>
      <c r="G1313" s="23"/>
      <c r="H1313" s="24" t="str">
        <f aca="false">IF(G1313="","",ROUND((Config!$C$4-G1313)/365.25,2))</f>
        <v/>
      </c>
      <c r="I1313" s="25" t="str">
        <f aca="false">IF(H1313="","",IF(H1313&lt;=1,"Tramo 1",IF(H1313&lt;=3,"Tramo 2",IF(H1313&lt;=5,"Tramo 3","Tramo 4"))))</f>
        <v/>
      </c>
      <c r="J1313" s="22"/>
      <c r="K1313" s="22"/>
      <c r="L1313" s="22"/>
      <c r="M1313" s="26"/>
      <c r="N1313" s="22"/>
      <c r="O1313" s="22"/>
      <c r="P1313" s="25" t="str">
        <f aca="false">IF(OR(O1313="",O1313="Sin información"),"",IFERROR(INDEX(Listas!$B$2:$B$9,MATCH(O1313,Listas!$A$2:$A$9,0)),""))</f>
        <v/>
      </c>
      <c r="Q1313" s="25" t="str">
        <f aca="false">IF(OR(O1313="",O1313="Sin información"),"",IFERROR(INDEX(Listas!$C$2:$C$9,MATCH(O1313,Listas!$A$2:$A$9,0)),""))</f>
        <v/>
      </c>
      <c r="R1313" s="22"/>
      <c r="S1313" s="22"/>
      <c r="T1313" s="25" t="str">
        <f aca="false">IF(S1313="","",IFERROR(INDEX(Empleadores!$B$2:$B$601,MATCH(S1313,Empleadores!$A$2:$A$601,0)),"No encontrado"))</f>
        <v/>
      </c>
      <c r="U1313" s="25" t="str">
        <f aca="false">IF(C1313="","",IF(V1313="","No",IF(Config!$C$4-V1313&lt;=Config!$C$15,"Sí","No")))</f>
        <v/>
      </c>
      <c r="V1313" s="23"/>
      <c r="W1313" s="22"/>
      <c r="X1313" s="22"/>
      <c r="Y1313" s="22"/>
      <c r="Z1313" s="27"/>
      <c r="AA1313" s="22"/>
      <c r="AB1313" s="22"/>
    </row>
    <row r="1314" customFormat="false" ht="15" hidden="false" customHeight="false" outlineLevel="0" collapsed="false">
      <c r="A1314" s="22"/>
      <c r="B1314" s="22"/>
      <c r="C1314" s="22"/>
      <c r="D1314" s="22"/>
      <c r="E1314" s="22"/>
      <c r="F1314" s="22"/>
      <c r="G1314" s="23"/>
      <c r="H1314" s="24" t="str">
        <f aca="false">IF(G1314="","",ROUND((Config!$C$4-G1314)/365.25,2))</f>
        <v/>
      </c>
      <c r="I1314" s="25" t="str">
        <f aca="false">IF(H1314="","",IF(H1314&lt;=1,"Tramo 1",IF(H1314&lt;=3,"Tramo 2",IF(H1314&lt;=5,"Tramo 3","Tramo 4"))))</f>
        <v/>
      </c>
      <c r="J1314" s="22"/>
      <c r="K1314" s="22"/>
      <c r="L1314" s="22"/>
      <c r="M1314" s="26"/>
      <c r="N1314" s="22"/>
      <c r="O1314" s="22"/>
      <c r="P1314" s="25" t="str">
        <f aca="false">IF(OR(O1314="",O1314="Sin información"),"",IFERROR(INDEX(Listas!$B$2:$B$9,MATCH(O1314,Listas!$A$2:$A$9,0)),""))</f>
        <v/>
      </c>
      <c r="Q1314" s="25" t="str">
        <f aca="false">IF(OR(O1314="",O1314="Sin información"),"",IFERROR(INDEX(Listas!$C$2:$C$9,MATCH(O1314,Listas!$A$2:$A$9,0)),""))</f>
        <v/>
      </c>
      <c r="R1314" s="22"/>
      <c r="S1314" s="22"/>
      <c r="T1314" s="25" t="str">
        <f aca="false">IF(S1314="","",IFERROR(INDEX(Empleadores!$B$2:$B$601,MATCH(S1314,Empleadores!$A$2:$A$601,0)),"No encontrado"))</f>
        <v/>
      </c>
      <c r="U1314" s="25" t="str">
        <f aca="false">IF(C1314="","",IF(V1314="","No",IF(Config!$C$4-V1314&lt;=Config!$C$15,"Sí","No")))</f>
        <v/>
      </c>
      <c r="V1314" s="23"/>
      <c r="W1314" s="22"/>
      <c r="X1314" s="22"/>
      <c r="Y1314" s="22"/>
      <c r="Z1314" s="27"/>
      <c r="AA1314" s="22"/>
      <c r="AB1314" s="22"/>
    </row>
    <row r="1315" customFormat="false" ht="15" hidden="false" customHeight="false" outlineLevel="0" collapsed="false">
      <c r="A1315" s="22"/>
      <c r="B1315" s="22"/>
      <c r="C1315" s="22"/>
      <c r="D1315" s="22"/>
      <c r="E1315" s="22"/>
      <c r="F1315" s="22"/>
      <c r="G1315" s="23"/>
      <c r="H1315" s="24" t="str">
        <f aca="false">IF(G1315="","",ROUND((Config!$C$4-G1315)/365.25,2))</f>
        <v/>
      </c>
      <c r="I1315" s="25" t="str">
        <f aca="false">IF(H1315="","",IF(H1315&lt;=1,"Tramo 1",IF(H1315&lt;=3,"Tramo 2",IF(H1315&lt;=5,"Tramo 3","Tramo 4"))))</f>
        <v/>
      </c>
      <c r="J1315" s="22"/>
      <c r="K1315" s="22"/>
      <c r="L1315" s="22"/>
      <c r="M1315" s="26"/>
      <c r="N1315" s="22"/>
      <c r="O1315" s="22"/>
      <c r="P1315" s="25" t="str">
        <f aca="false">IF(OR(O1315="",O1315="Sin información"),"",IFERROR(INDEX(Listas!$B$2:$B$9,MATCH(O1315,Listas!$A$2:$A$9,0)),""))</f>
        <v/>
      </c>
      <c r="Q1315" s="25" t="str">
        <f aca="false">IF(OR(O1315="",O1315="Sin información"),"",IFERROR(INDEX(Listas!$C$2:$C$9,MATCH(O1315,Listas!$A$2:$A$9,0)),""))</f>
        <v/>
      </c>
      <c r="R1315" s="22"/>
      <c r="S1315" s="22"/>
      <c r="T1315" s="25" t="str">
        <f aca="false">IF(S1315="","",IFERROR(INDEX(Empleadores!$B$2:$B$601,MATCH(S1315,Empleadores!$A$2:$A$601,0)),"No encontrado"))</f>
        <v/>
      </c>
      <c r="U1315" s="25" t="str">
        <f aca="false">IF(C1315="","",IF(V1315="","No",IF(Config!$C$4-V1315&lt;=Config!$C$15,"Sí","No")))</f>
        <v/>
      </c>
      <c r="V1315" s="23"/>
      <c r="W1315" s="22"/>
      <c r="X1315" s="22"/>
      <c r="Y1315" s="22"/>
      <c r="Z1315" s="27"/>
      <c r="AA1315" s="22"/>
      <c r="AB1315" s="22"/>
    </row>
    <row r="1316" customFormat="false" ht="15" hidden="false" customHeight="false" outlineLevel="0" collapsed="false">
      <c r="A1316" s="22"/>
      <c r="B1316" s="22"/>
      <c r="C1316" s="22"/>
      <c r="D1316" s="22"/>
      <c r="E1316" s="22"/>
      <c r="F1316" s="22"/>
      <c r="G1316" s="23"/>
      <c r="H1316" s="24" t="str">
        <f aca="false">IF(G1316="","",ROUND((Config!$C$4-G1316)/365.25,2))</f>
        <v/>
      </c>
      <c r="I1316" s="25" t="str">
        <f aca="false">IF(H1316="","",IF(H1316&lt;=1,"Tramo 1",IF(H1316&lt;=3,"Tramo 2",IF(H1316&lt;=5,"Tramo 3","Tramo 4"))))</f>
        <v/>
      </c>
      <c r="J1316" s="22"/>
      <c r="K1316" s="22"/>
      <c r="L1316" s="22"/>
      <c r="M1316" s="26"/>
      <c r="N1316" s="22"/>
      <c r="O1316" s="22"/>
      <c r="P1316" s="25" t="str">
        <f aca="false">IF(OR(O1316="",O1316="Sin información"),"",IFERROR(INDEX(Listas!$B$2:$B$9,MATCH(O1316,Listas!$A$2:$A$9,0)),""))</f>
        <v/>
      </c>
      <c r="Q1316" s="25" t="str">
        <f aca="false">IF(OR(O1316="",O1316="Sin información"),"",IFERROR(INDEX(Listas!$C$2:$C$9,MATCH(O1316,Listas!$A$2:$A$9,0)),""))</f>
        <v/>
      </c>
      <c r="R1316" s="22"/>
      <c r="S1316" s="22"/>
      <c r="T1316" s="25" t="str">
        <f aca="false">IF(S1316="","",IFERROR(INDEX(Empleadores!$B$2:$B$601,MATCH(S1316,Empleadores!$A$2:$A$601,0)),"No encontrado"))</f>
        <v/>
      </c>
      <c r="U1316" s="25" t="str">
        <f aca="false">IF(C1316="","",IF(V1316="","No",IF(Config!$C$4-V1316&lt;=Config!$C$15,"Sí","No")))</f>
        <v/>
      </c>
      <c r="V1316" s="23"/>
      <c r="W1316" s="22"/>
      <c r="X1316" s="22"/>
      <c r="Y1316" s="22"/>
      <c r="Z1316" s="27"/>
      <c r="AA1316" s="22"/>
      <c r="AB1316" s="22"/>
    </row>
    <row r="1317" customFormat="false" ht="15" hidden="false" customHeight="false" outlineLevel="0" collapsed="false">
      <c r="A1317" s="22"/>
      <c r="B1317" s="22"/>
      <c r="C1317" s="22"/>
      <c r="D1317" s="22"/>
      <c r="E1317" s="22"/>
      <c r="F1317" s="22"/>
      <c r="G1317" s="23"/>
      <c r="H1317" s="24" t="str">
        <f aca="false">IF(G1317="","",ROUND((Config!$C$4-G1317)/365.25,2))</f>
        <v/>
      </c>
      <c r="I1317" s="25" t="str">
        <f aca="false">IF(H1317="","",IF(H1317&lt;=1,"Tramo 1",IF(H1317&lt;=3,"Tramo 2",IF(H1317&lt;=5,"Tramo 3","Tramo 4"))))</f>
        <v/>
      </c>
      <c r="J1317" s="22"/>
      <c r="K1317" s="22"/>
      <c r="L1317" s="22"/>
      <c r="M1317" s="26"/>
      <c r="N1317" s="22"/>
      <c r="O1317" s="22"/>
      <c r="P1317" s="25" t="str">
        <f aca="false">IF(OR(O1317="",O1317="Sin información"),"",IFERROR(INDEX(Listas!$B$2:$B$9,MATCH(O1317,Listas!$A$2:$A$9,0)),""))</f>
        <v/>
      </c>
      <c r="Q1317" s="25" t="str">
        <f aca="false">IF(OR(O1317="",O1317="Sin información"),"",IFERROR(INDEX(Listas!$C$2:$C$9,MATCH(O1317,Listas!$A$2:$A$9,0)),""))</f>
        <v/>
      </c>
      <c r="R1317" s="22"/>
      <c r="S1317" s="22"/>
      <c r="T1317" s="25" t="str">
        <f aca="false">IF(S1317="","",IFERROR(INDEX(Empleadores!$B$2:$B$601,MATCH(S1317,Empleadores!$A$2:$A$601,0)),"No encontrado"))</f>
        <v/>
      </c>
      <c r="U1317" s="25" t="str">
        <f aca="false">IF(C1317="","",IF(V1317="","No",IF(Config!$C$4-V1317&lt;=Config!$C$15,"Sí","No")))</f>
        <v/>
      </c>
      <c r="V1317" s="23"/>
      <c r="W1317" s="22"/>
      <c r="X1317" s="22"/>
      <c r="Y1317" s="22"/>
      <c r="Z1317" s="27"/>
      <c r="AA1317" s="22"/>
      <c r="AB1317" s="22"/>
    </row>
    <row r="1318" customFormat="false" ht="15" hidden="false" customHeight="false" outlineLevel="0" collapsed="false">
      <c r="A1318" s="22"/>
      <c r="B1318" s="22"/>
      <c r="C1318" s="22"/>
      <c r="D1318" s="22"/>
      <c r="E1318" s="22"/>
      <c r="F1318" s="22"/>
      <c r="G1318" s="23"/>
      <c r="H1318" s="24" t="str">
        <f aca="false">IF(G1318="","",ROUND((Config!$C$4-G1318)/365.25,2))</f>
        <v/>
      </c>
      <c r="I1318" s="25" t="str">
        <f aca="false">IF(H1318="","",IF(H1318&lt;=1,"Tramo 1",IF(H1318&lt;=3,"Tramo 2",IF(H1318&lt;=5,"Tramo 3","Tramo 4"))))</f>
        <v/>
      </c>
      <c r="J1318" s="22"/>
      <c r="K1318" s="22"/>
      <c r="L1318" s="22"/>
      <c r="M1318" s="26"/>
      <c r="N1318" s="22"/>
      <c r="O1318" s="22"/>
      <c r="P1318" s="25" t="str">
        <f aca="false">IF(OR(O1318="",O1318="Sin información"),"",IFERROR(INDEX(Listas!$B$2:$B$9,MATCH(O1318,Listas!$A$2:$A$9,0)),""))</f>
        <v/>
      </c>
      <c r="Q1318" s="25" t="str">
        <f aca="false">IF(OR(O1318="",O1318="Sin información"),"",IFERROR(INDEX(Listas!$C$2:$C$9,MATCH(O1318,Listas!$A$2:$A$9,0)),""))</f>
        <v/>
      </c>
      <c r="R1318" s="22"/>
      <c r="S1318" s="22"/>
      <c r="T1318" s="25" t="str">
        <f aca="false">IF(S1318="","",IFERROR(INDEX(Empleadores!$B$2:$B$601,MATCH(S1318,Empleadores!$A$2:$A$601,0)),"No encontrado"))</f>
        <v/>
      </c>
      <c r="U1318" s="25" t="str">
        <f aca="false">IF(C1318="","",IF(V1318="","No",IF(Config!$C$4-V1318&lt;=Config!$C$15,"Sí","No")))</f>
        <v/>
      </c>
      <c r="V1318" s="23"/>
      <c r="W1318" s="22"/>
      <c r="X1318" s="22"/>
      <c r="Y1318" s="22"/>
      <c r="Z1318" s="27"/>
      <c r="AA1318" s="22"/>
      <c r="AB1318" s="22"/>
    </row>
    <row r="1319" customFormat="false" ht="15" hidden="false" customHeight="false" outlineLevel="0" collapsed="false">
      <c r="A1319" s="22"/>
      <c r="B1319" s="22"/>
      <c r="C1319" s="22"/>
      <c r="D1319" s="22"/>
      <c r="E1319" s="22"/>
      <c r="F1319" s="22"/>
      <c r="G1319" s="23"/>
      <c r="H1319" s="24" t="str">
        <f aca="false">IF(G1319="","",ROUND((Config!$C$4-G1319)/365.25,2))</f>
        <v/>
      </c>
      <c r="I1319" s="25" t="str">
        <f aca="false">IF(H1319="","",IF(H1319&lt;=1,"Tramo 1",IF(H1319&lt;=3,"Tramo 2",IF(H1319&lt;=5,"Tramo 3","Tramo 4"))))</f>
        <v/>
      </c>
      <c r="J1319" s="22"/>
      <c r="K1319" s="22"/>
      <c r="L1319" s="22"/>
      <c r="M1319" s="26"/>
      <c r="N1319" s="22"/>
      <c r="O1319" s="22"/>
      <c r="P1319" s="25" t="str">
        <f aca="false">IF(OR(O1319="",O1319="Sin información"),"",IFERROR(INDEX(Listas!$B$2:$B$9,MATCH(O1319,Listas!$A$2:$A$9,0)),""))</f>
        <v/>
      </c>
      <c r="Q1319" s="25" t="str">
        <f aca="false">IF(OR(O1319="",O1319="Sin información"),"",IFERROR(INDEX(Listas!$C$2:$C$9,MATCH(O1319,Listas!$A$2:$A$9,0)),""))</f>
        <v/>
      </c>
      <c r="R1319" s="22"/>
      <c r="S1319" s="22"/>
      <c r="T1319" s="25" t="str">
        <f aca="false">IF(S1319="","",IFERROR(INDEX(Empleadores!$B$2:$B$601,MATCH(S1319,Empleadores!$A$2:$A$601,0)),"No encontrado"))</f>
        <v/>
      </c>
      <c r="U1319" s="25" t="str">
        <f aca="false">IF(C1319="","",IF(V1319="","No",IF(Config!$C$4-V1319&lt;=Config!$C$15,"Sí","No")))</f>
        <v/>
      </c>
      <c r="V1319" s="23"/>
      <c r="W1319" s="22"/>
      <c r="X1319" s="22"/>
      <c r="Y1319" s="22"/>
      <c r="Z1319" s="27"/>
      <c r="AA1319" s="22"/>
      <c r="AB1319" s="22"/>
    </row>
    <row r="1320" customFormat="false" ht="15" hidden="false" customHeight="false" outlineLevel="0" collapsed="false">
      <c r="A1320" s="22"/>
      <c r="B1320" s="22"/>
      <c r="C1320" s="22"/>
      <c r="D1320" s="22"/>
      <c r="E1320" s="22"/>
      <c r="F1320" s="22"/>
      <c r="G1320" s="23"/>
      <c r="H1320" s="24" t="str">
        <f aca="false">IF(G1320="","",ROUND((Config!$C$4-G1320)/365.25,2))</f>
        <v/>
      </c>
      <c r="I1320" s="25" t="str">
        <f aca="false">IF(H1320="","",IF(H1320&lt;=1,"Tramo 1",IF(H1320&lt;=3,"Tramo 2",IF(H1320&lt;=5,"Tramo 3","Tramo 4"))))</f>
        <v/>
      </c>
      <c r="J1320" s="22"/>
      <c r="K1320" s="22"/>
      <c r="L1320" s="22"/>
      <c r="M1320" s="26"/>
      <c r="N1320" s="22"/>
      <c r="O1320" s="22"/>
      <c r="P1320" s="25" t="str">
        <f aca="false">IF(OR(O1320="",O1320="Sin información"),"",IFERROR(INDEX(Listas!$B$2:$B$9,MATCH(O1320,Listas!$A$2:$A$9,0)),""))</f>
        <v/>
      </c>
      <c r="Q1320" s="25" t="str">
        <f aca="false">IF(OR(O1320="",O1320="Sin información"),"",IFERROR(INDEX(Listas!$C$2:$C$9,MATCH(O1320,Listas!$A$2:$A$9,0)),""))</f>
        <v/>
      </c>
      <c r="R1320" s="22"/>
      <c r="S1320" s="22"/>
      <c r="T1320" s="25" t="str">
        <f aca="false">IF(S1320="","",IFERROR(INDEX(Empleadores!$B$2:$B$601,MATCH(S1320,Empleadores!$A$2:$A$601,0)),"No encontrado"))</f>
        <v/>
      </c>
      <c r="U1320" s="25" t="str">
        <f aca="false">IF(C1320="","",IF(V1320="","No",IF(Config!$C$4-V1320&lt;=Config!$C$15,"Sí","No")))</f>
        <v/>
      </c>
      <c r="V1320" s="23"/>
      <c r="W1320" s="22"/>
      <c r="X1320" s="22"/>
      <c r="Y1320" s="22"/>
      <c r="Z1320" s="27"/>
      <c r="AA1320" s="22"/>
      <c r="AB1320" s="22"/>
    </row>
    <row r="1321" customFormat="false" ht="15" hidden="false" customHeight="false" outlineLevel="0" collapsed="false">
      <c r="A1321" s="22"/>
      <c r="B1321" s="22"/>
      <c r="C1321" s="22"/>
      <c r="D1321" s="22"/>
      <c r="E1321" s="22"/>
      <c r="F1321" s="22"/>
      <c r="G1321" s="23"/>
      <c r="H1321" s="24" t="str">
        <f aca="false">IF(G1321="","",ROUND((Config!$C$4-G1321)/365.25,2))</f>
        <v/>
      </c>
      <c r="I1321" s="25" t="str">
        <f aca="false">IF(H1321="","",IF(H1321&lt;=1,"Tramo 1",IF(H1321&lt;=3,"Tramo 2",IF(H1321&lt;=5,"Tramo 3","Tramo 4"))))</f>
        <v/>
      </c>
      <c r="J1321" s="22"/>
      <c r="K1321" s="22"/>
      <c r="L1321" s="22"/>
      <c r="M1321" s="26"/>
      <c r="N1321" s="22"/>
      <c r="O1321" s="22"/>
      <c r="P1321" s="25" t="str">
        <f aca="false">IF(OR(O1321="",O1321="Sin información"),"",IFERROR(INDEX(Listas!$B$2:$B$9,MATCH(O1321,Listas!$A$2:$A$9,0)),""))</f>
        <v/>
      </c>
      <c r="Q1321" s="25" t="str">
        <f aca="false">IF(OR(O1321="",O1321="Sin información"),"",IFERROR(INDEX(Listas!$C$2:$C$9,MATCH(O1321,Listas!$A$2:$A$9,0)),""))</f>
        <v/>
      </c>
      <c r="R1321" s="22"/>
      <c r="S1321" s="22"/>
      <c r="T1321" s="25" t="str">
        <f aca="false">IF(S1321="","",IFERROR(INDEX(Empleadores!$B$2:$B$601,MATCH(S1321,Empleadores!$A$2:$A$601,0)),"No encontrado"))</f>
        <v/>
      </c>
      <c r="U1321" s="25" t="str">
        <f aca="false">IF(C1321="","",IF(V1321="","No",IF(Config!$C$4-V1321&lt;=Config!$C$15,"Sí","No")))</f>
        <v/>
      </c>
      <c r="V1321" s="23"/>
      <c r="W1321" s="22"/>
      <c r="X1321" s="22"/>
      <c r="Y1321" s="22"/>
      <c r="Z1321" s="27"/>
      <c r="AA1321" s="22"/>
      <c r="AB1321" s="22"/>
    </row>
    <row r="1322" customFormat="false" ht="15" hidden="false" customHeight="false" outlineLevel="0" collapsed="false">
      <c r="A1322" s="22"/>
      <c r="B1322" s="22"/>
      <c r="C1322" s="22"/>
      <c r="D1322" s="22"/>
      <c r="E1322" s="22"/>
      <c r="F1322" s="22"/>
      <c r="G1322" s="23"/>
      <c r="H1322" s="24" t="str">
        <f aca="false">IF(G1322="","",ROUND((Config!$C$4-G1322)/365.25,2))</f>
        <v/>
      </c>
      <c r="I1322" s="25" t="str">
        <f aca="false">IF(H1322="","",IF(H1322&lt;=1,"Tramo 1",IF(H1322&lt;=3,"Tramo 2",IF(H1322&lt;=5,"Tramo 3","Tramo 4"))))</f>
        <v/>
      </c>
      <c r="J1322" s="22"/>
      <c r="K1322" s="22"/>
      <c r="L1322" s="22"/>
      <c r="M1322" s="26"/>
      <c r="N1322" s="22"/>
      <c r="O1322" s="22"/>
      <c r="P1322" s="25" t="str">
        <f aca="false">IF(OR(O1322="",O1322="Sin información"),"",IFERROR(INDEX(Listas!$B$2:$B$9,MATCH(O1322,Listas!$A$2:$A$9,0)),""))</f>
        <v/>
      </c>
      <c r="Q1322" s="25" t="str">
        <f aca="false">IF(OR(O1322="",O1322="Sin información"),"",IFERROR(INDEX(Listas!$C$2:$C$9,MATCH(O1322,Listas!$A$2:$A$9,0)),""))</f>
        <v/>
      </c>
      <c r="R1322" s="22"/>
      <c r="S1322" s="22"/>
      <c r="T1322" s="25" t="str">
        <f aca="false">IF(S1322="","",IFERROR(INDEX(Empleadores!$B$2:$B$601,MATCH(S1322,Empleadores!$A$2:$A$601,0)),"No encontrado"))</f>
        <v/>
      </c>
      <c r="U1322" s="25" t="str">
        <f aca="false">IF(C1322="","",IF(V1322="","No",IF(Config!$C$4-V1322&lt;=Config!$C$15,"Sí","No")))</f>
        <v/>
      </c>
      <c r="V1322" s="23"/>
      <c r="W1322" s="22"/>
      <c r="X1322" s="22"/>
      <c r="Y1322" s="22"/>
      <c r="Z1322" s="27"/>
      <c r="AA1322" s="22"/>
      <c r="AB1322" s="22"/>
    </row>
    <row r="1323" customFormat="false" ht="15" hidden="false" customHeight="false" outlineLevel="0" collapsed="false">
      <c r="A1323" s="22"/>
      <c r="B1323" s="22"/>
      <c r="C1323" s="22"/>
      <c r="D1323" s="22"/>
      <c r="E1323" s="22"/>
      <c r="F1323" s="22"/>
      <c r="G1323" s="23"/>
      <c r="H1323" s="24" t="str">
        <f aca="false">IF(G1323="","",ROUND((Config!$C$4-G1323)/365.25,2))</f>
        <v/>
      </c>
      <c r="I1323" s="25" t="str">
        <f aca="false">IF(H1323="","",IF(H1323&lt;=1,"Tramo 1",IF(H1323&lt;=3,"Tramo 2",IF(H1323&lt;=5,"Tramo 3","Tramo 4"))))</f>
        <v/>
      </c>
      <c r="J1323" s="22"/>
      <c r="K1323" s="22"/>
      <c r="L1323" s="22"/>
      <c r="M1323" s="26"/>
      <c r="N1323" s="22"/>
      <c r="O1323" s="22"/>
      <c r="P1323" s="25" t="str">
        <f aca="false">IF(OR(O1323="",O1323="Sin información"),"",IFERROR(INDEX(Listas!$B$2:$B$9,MATCH(O1323,Listas!$A$2:$A$9,0)),""))</f>
        <v/>
      </c>
      <c r="Q1323" s="25" t="str">
        <f aca="false">IF(OR(O1323="",O1323="Sin información"),"",IFERROR(INDEX(Listas!$C$2:$C$9,MATCH(O1323,Listas!$A$2:$A$9,0)),""))</f>
        <v/>
      </c>
      <c r="R1323" s="22"/>
      <c r="S1323" s="22"/>
      <c r="T1323" s="25" t="str">
        <f aca="false">IF(S1323="","",IFERROR(INDEX(Empleadores!$B$2:$B$601,MATCH(S1323,Empleadores!$A$2:$A$601,0)),"No encontrado"))</f>
        <v/>
      </c>
      <c r="U1323" s="25" t="str">
        <f aca="false">IF(C1323="","",IF(V1323="","No",IF(Config!$C$4-V1323&lt;=Config!$C$15,"Sí","No")))</f>
        <v/>
      </c>
      <c r="V1323" s="23"/>
      <c r="W1323" s="22"/>
      <c r="X1323" s="22"/>
      <c r="Y1323" s="22"/>
      <c r="Z1323" s="27"/>
      <c r="AA1323" s="22"/>
      <c r="AB1323" s="22"/>
    </row>
    <row r="1324" customFormat="false" ht="15" hidden="false" customHeight="false" outlineLevel="0" collapsed="false">
      <c r="A1324" s="22"/>
      <c r="B1324" s="22"/>
      <c r="C1324" s="22"/>
      <c r="D1324" s="22"/>
      <c r="E1324" s="22"/>
      <c r="F1324" s="22"/>
      <c r="G1324" s="23"/>
      <c r="H1324" s="24" t="str">
        <f aca="false">IF(G1324="","",ROUND((Config!$C$4-G1324)/365.25,2))</f>
        <v/>
      </c>
      <c r="I1324" s="25" t="str">
        <f aca="false">IF(H1324="","",IF(H1324&lt;=1,"Tramo 1",IF(H1324&lt;=3,"Tramo 2",IF(H1324&lt;=5,"Tramo 3","Tramo 4"))))</f>
        <v/>
      </c>
      <c r="J1324" s="22"/>
      <c r="K1324" s="22"/>
      <c r="L1324" s="22"/>
      <c r="M1324" s="26"/>
      <c r="N1324" s="22"/>
      <c r="O1324" s="22"/>
      <c r="P1324" s="25" t="str">
        <f aca="false">IF(OR(O1324="",O1324="Sin información"),"",IFERROR(INDEX(Listas!$B$2:$B$9,MATCH(O1324,Listas!$A$2:$A$9,0)),""))</f>
        <v/>
      </c>
      <c r="Q1324" s="25" t="str">
        <f aca="false">IF(OR(O1324="",O1324="Sin información"),"",IFERROR(INDEX(Listas!$C$2:$C$9,MATCH(O1324,Listas!$A$2:$A$9,0)),""))</f>
        <v/>
      </c>
      <c r="R1324" s="22"/>
      <c r="S1324" s="22"/>
      <c r="T1324" s="25" t="str">
        <f aca="false">IF(S1324="","",IFERROR(INDEX(Empleadores!$B$2:$B$601,MATCH(S1324,Empleadores!$A$2:$A$601,0)),"No encontrado"))</f>
        <v/>
      </c>
      <c r="U1324" s="25" t="str">
        <f aca="false">IF(C1324="","",IF(V1324="","No",IF(Config!$C$4-V1324&lt;=Config!$C$15,"Sí","No")))</f>
        <v/>
      </c>
      <c r="V1324" s="23"/>
      <c r="W1324" s="22"/>
      <c r="X1324" s="22"/>
      <c r="Y1324" s="22"/>
      <c r="Z1324" s="27"/>
      <c r="AA1324" s="22"/>
      <c r="AB1324" s="22"/>
    </row>
    <row r="1325" customFormat="false" ht="15" hidden="false" customHeight="false" outlineLevel="0" collapsed="false">
      <c r="A1325" s="22"/>
      <c r="B1325" s="22"/>
      <c r="C1325" s="22"/>
      <c r="D1325" s="22"/>
      <c r="E1325" s="22"/>
      <c r="F1325" s="22"/>
      <c r="G1325" s="23"/>
      <c r="H1325" s="24" t="str">
        <f aca="false">IF(G1325="","",ROUND((Config!$C$4-G1325)/365.25,2))</f>
        <v/>
      </c>
      <c r="I1325" s="25" t="str">
        <f aca="false">IF(H1325="","",IF(H1325&lt;=1,"Tramo 1",IF(H1325&lt;=3,"Tramo 2",IF(H1325&lt;=5,"Tramo 3","Tramo 4"))))</f>
        <v/>
      </c>
      <c r="J1325" s="22"/>
      <c r="K1325" s="22"/>
      <c r="L1325" s="22"/>
      <c r="M1325" s="26"/>
      <c r="N1325" s="22"/>
      <c r="O1325" s="22"/>
      <c r="P1325" s="25" t="str">
        <f aca="false">IF(OR(O1325="",O1325="Sin información"),"",IFERROR(INDEX(Listas!$B$2:$B$9,MATCH(O1325,Listas!$A$2:$A$9,0)),""))</f>
        <v/>
      </c>
      <c r="Q1325" s="25" t="str">
        <f aca="false">IF(OR(O1325="",O1325="Sin información"),"",IFERROR(INDEX(Listas!$C$2:$C$9,MATCH(O1325,Listas!$A$2:$A$9,0)),""))</f>
        <v/>
      </c>
      <c r="R1325" s="22"/>
      <c r="S1325" s="22"/>
      <c r="T1325" s="25" t="str">
        <f aca="false">IF(S1325="","",IFERROR(INDEX(Empleadores!$B$2:$B$601,MATCH(S1325,Empleadores!$A$2:$A$601,0)),"No encontrado"))</f>
        <v/>
      </c>
      <c r="U1325" s="25" t="str">
        <f aca="false">IF(C1325="","",IF(V1325="","No",IF(Config!$C$4-V1325&lt;=Config!$C$15,"Sí","No")))</f>
        <v/>
      </c>
      <c r="V1325" s="23"/>
      <c r="W1325" s="22"/>
      <c r="X1325" s="22"/>
      <c r="Y1325" s="22"/>
      <c r="Z1325" s="27"/>
      <c r="AA1325" s="22"/>
      <c r="AB1325" s="22"/>
    </row>
    <row r="1326" customFormat="false" ht="15" hidden="false" customHeight="false" outlineLevel="0" collapsed="false">
      <c r="A1326" s="22"/>
      <c r="B1326" s="22"/>
      <c r="C1326" s="22"/>
      <c r="D1326" s="22"/>
      <c r="E1326" s="22"/>
      <c r="F1326" s="22"/>
      <c r="G1326" s="23"/>
      <c r="H1326" s="24" t="str">
        <f aca="false">IF(G1326="","",ROUND((Config!$C$4-G1326)/365.25,2))</f>
        <v/>
      </c>
      <c r="I1326" s="25" t="str">
        <f aca="false">IF(H1326="","",IF(H1326&lt;=1,"Tramo 1",IF(H1326&lt;=3,"Tramo 2",IF(H1326&lt;=5,"Tramo 3","Tramo 4"))))</f>
        <v/>
      </c>
      <c r="J1326" s="22"/>
      <c r="K1326" s="22"/>
      <c r="L1326" s="22"/>
      <c r="M1326" s="26"/>
      <c r="N1326" s="22"/>
      <c r="O1326" s="22"/>
      <c r="P1326" s="25" t="str">
        <f aca="false">IF(OR(O1326="",O1326="Sin información"),"",IFERROR(INDEX(Listas!$B$2:$B$9,MATCH(O1326,Listas!$A$2:$A$9,0)),""))</f>
        <v/>
      </c>
      <c r="Q1326" s="25" t="str">
        <f aca="false">IF(OR(O1326="",O1326="Sin información"),"",IFERROR(INDEX(Listas!$C$2:$C$9,MATCH(O1326,Listas!$A$2:$A$9,0)),""))</f>
        <v/>
      </c>
      <c r="R1326" s="22"/>
      <c r="S1326" s="22"/>
      <c r="T1326" s="25" t="str">
        <f aca="false">IF(S1326="","",IFERROR(INDEX(Empleadores!$B$2:$B$601,MATCH(S1326,Empleadores!$A$2:$A$601,0)),"No encontrado"))</f>
        <v/>
      </c>
      <c r="U1326" s="25" t="str">
        <f aca="false">IF(C1326="","",IF(V1326="","No",IF(Config!$C$4-V1326&lt;=Config!$C$15,"Sí","No")))</f>
        <v/>
      </c>
      <c r="V1326" s="23"/>
      <c r="W1326" s="22"/>
      <c r="X1326" s="22"/>
      <c r="Y1326" s="22"/>
      <c r="Z1326" s="27"/>
      <c r="AA1326" s="22"/>
      <c r="AB1326" s="22"/>
    </row>
    <row r="1327" customFormat="false" ht="15" hidden="false" customHeight="false" outlineLevel="0" collapsed="false">
      <c r="A1327" s="22"/>
      <c r="B1327" s="22"/>
      <c r="C1327" s="22"/>
      <c r="D1327" s="22"/>
      <c r="E1327" s="22"/>
      <c r="F1327" s="22"/>
      <c r="G1327" s="23"/>
      <c r="H1327" s="24" t="str">
        <f aca="false">IF(G1327="","",ROUND((Config!$C$4-G1327)/365.25,2))</f>
        <v/>
      </c>
      <c r="I1327" s="25" t="str">
        <f aca="false">IF(H1327="","",IF(H1327&lt;=1,"Tramo 1",IF(H1327&lt;=3,"Tramo 2",IF(H1327&lt;=5,"Tramo 3","Tramo 4"))))</f>
        <v/>
      </c>
      <c r="J1327" s="22"/>
      <c r="K1327" s="22"/>
      <c r="L1327" s="22"/>
      <c r="M1327" s="26"/>
      <c r="N1327" s="22"/>
      <c r="O1327" s="22"/>
      <c r="P1327" s="25" t="str">
        <f aca="false">IF(OR(O1327="",O1327="Sin información"),"",IFERROR(INDEX(Listas!$B$2:$B$9,MATCH(O1327,Listas!$A$2:$A$9,0)),""))</f>
        <v/>
      </c>
      <c r="Q1327" s="25" t="str">
        <f aca="false">IF(OR(O1327="",O1327="Sin información"),"",IFERROR(INDEX(Listas!$C$2:$C$9,MATCH(O1327,Listas!$A$2:$A$9,0)),""))</f>
        <v/>
      </c>
      <c r="R1327" s="22"/>
      <c r="S1327" s="22"/>
      <c r="T1327" s="25" t="str">
        <f aca="false">IF(S1327="","",IFERROR(INDEX(Empleadores!$B$2:$B$601,MATCH(S1327,Empleadores!$A$2:$A$601,0)),"No encontrado"))</f>
        <v/>
      </c>
      <c r="U1327" s="25" t="str">
        <f aca="false">IF(C1327="","",IF(V1327="","No",IF(Config!$C$4-V1327&lt;=Config!$C$15,"Sí","No")))</f>
        <v/>
      </c>
      <c r="V1327" s="23"/>
      <c r="W1327" s="22"/>
      <c r="X1327" s="22"/>
      <c r="Y1327" s="22"/>
      <c r="Z1327" s="27"/>
      <c r="AA1327" s="22"/>
      <c r="AB1327" s="22"/>
    </row>
    <row r="1328" customFormat="false" ht="15" hidden="false" customHeight="false" outlineLevel="0" collapsed="false">
      <c r="A1328" s="22"/>
      <c r="B1328" s="22"/>
      <c r="C1328" s="22"/>
      <c r="D1328" s="22"/>
      <c r="E1328" s="22"/>
      <c r="F1328" s="22"/>
      <c r="G1328" s="23"/>
      <c r="H1328" s="24" t="str">
        <f aca="false">IF(G1328="","",ROUND((Config!$C$4-G1328)/365.25,2))</f>
        <v/>
      </c>
      <c r="I1328" s="25" t="str">
        <f aca="false">IF(H1328="","",IF(H1328&lt;=1,"Tramo 1",IF(H1328&lt;=3,"Tramo 2",IF(H1328&lt;=5,"Tramo 3","Tramo 4"))))</f>
        <v/>
      </c>
      <c r="J1328" s="22"/>
      <c r="K1328" s="22"/>
      <c r="L1328" s="22"/>
      <c r="M1328" s="26"/>
      <c r="N1328" s="22"/>
      <c r="O1328" s="22"/>
      <c r="P1328" s="25" t="str">
        <f aca="false">IF(OR(O1328="",O1328="Sin información"),"",IFERROR(INDEX(Listas!$B$2:$B$9,MATCH(O1328,Listas!$A$2:$A$9,0)),""))</f>
        <v/>
      </c>
      <c r="Q1328" s="25" t="str">
        <f aca="false">IF(OR(O1328="",O1328="Sin información"),"",IFERROR(INDEX(Listas!$C$2:$C$9,MATCH(O1328,Listas!$A$2:$A$9,0)),""))</f>
        <v/>
      </c>
      <c r="R1328" s="22"/>
      <c r="S1328" s="22"/>
      <c r="T1328" s="25" t="str">
        <f aca="false">IF(S1328="","",IFERROR(INDEX(Empleadores!$B$2:$B$601,MATCH(S1328,Empleadores!$A$2:$A$601,0)),"No encontrado"))</f>
        <v/>
      </c>
      <c r="U1328" s="25" t="str">
        <f aca="false">IF(C1328="","",IF(V1328="","No",IF(Config!$C$4-V1328&lt;=Config!$C$15,"Sí","No")))</f>
        <v/>
      </c>
      <c r="V1328" s="23"/>
      <c r="W1328" s="22"/>
      <c r="X1328" s="22"/>
      <c r="Y1328" s="22"/>
      <c r="Z1328" s="27"/>
      <c r="AA1328" s="22"/>
      <c r="AB1328" s="22"/>
    </row>
    <row r="1329" customFormat="false" ht="15" hidden="false" customHeight="false" outlineLevel="0" collapsed="false">
      <c r="A1329" s="22"/>
      <c r="B1329" s="22"/>
      <c r="C1329" s="22"/>
      <c r="D1329" s="22"/>
      <c r="E1329" s="22"/>
      <c r="F1329" s="22"/>
      <c r="G1329" s="23"/>
      <c r="H1329" s="24" t="str">
        <f aca="false">IF(G1329="","",ROUND((Config!$C$4-G1329)/365.25,2))</f>
        <v/>
      </c>
      <c r="I1329" s="25" t="str">
        <f aca="false">IF(H1329="","",IF(H1329&lt;=1,"Tramo 1",IF(H1329&lt;=3,"Tramo 2",IF(H1329&lt;=5,"Tramo 3","Tramo 4"))))</f>
        <v/>
      </c>
      <c r="J1329" s="22"/>
      <c r="K1329" s="22"/>
      <c r="L1329" s="22"/>
      <c r="M1329" s="26"/>
      <c r="N1329" s="22"/>
      <c r="O1329" s="22"/>
      <c r="P1329" s="25" t="str">
        <f aca="false">IF(OR(O1329="",O1329="Sin información"),"",IFERROR(INDEX(Listas!$B$2:$B$9,MATCH(O1329,Listas!$A$2:$A$9,0)),""))</f>
        <v/>
      </c>
      <c r="Q1329" s="25" t="str">
        <f aca="false">IF(OR(O1329="",O1329="Sin información"),"",IFERROR(INDEX(Listas!$C$2:$C$9,MATCH(O1329,Listas!$A$2:$A$9,0)),""))</f>
        <v/>
      </c>
      <c r="R1329" s="22"/>
      <c r="S1329" s="22"/>
      <c r="T1329" s="25" t="str">
        <f aca="false">IF(S1329="","",IFERROR(INDEX(Empleadores!$B$2:$B$601,MATCH(S1329,Empleadores!$A$2:$A$601,0)),"No encontrado"))</f>
        <v/>
      </c>
      <c r="U1329" s="25" t="str">
        <f aca="false">IF(C1329="","",IF(V1329="","No",IF(Config!$C$4-V1329&lt;=Config!$C$15,"Sí","No")))</f>
        <v/>
      </c>
      <c r="V1329" s="23"/>
      <c r="W1329" s="22"/>
      <c r="X1329" s="22"/>
      <c r="Y1329" s="22"/>
      <c r="Z1329" s="27"/>
      <c r="AA1329" s="22"/>
      <c r="AB1329" s="22"/>
    </row>
    <row r="1330" customFormat="false" ht="15" hidden="false" customHeight="false" outlineLevel="0" collapsed="false">
      <c r="A1330" s="22"/>
      <c r="B1330" s="22"/>
      <c r="C1330" s="22"/>
      <c r="D1330" s="22"/>
      <c r="E1330" s="22"/>
      <c r="F1330" s="22"/>
      <c r="G1330" s="23"/>
      <c r="H1330" s="24" t="str">
        <f aca="false">IF(G1330="","",ROUND((Config!$C$4-G1330)/365.25,2))</f>
        <v/>
      </c>
      <c r="I1330" s="25" t="str">
        <f aca="false">IF(H1330="","",IF(H1330&lt;=1,"Tramo 1",IF(H1330&lt;=3,"Tramo 2",IF(H1330&lt;=5,"Tramo 3","Tramo 4"))))</f>
        <v/>
      </c>
      <c r="J1330" s="22"/>
      <c r="K1330" s="22"/>
      <c r="L1330" s="22"/>
      <c r="M1330" s="26"/>
      <c r="N1330" s="22"/>
      <c r="O1330" s="22"/>
      <c r="P1330" s="25" t="str">
        <f aca="false">IF(OR(O1330="",O1330="Sin información"),"",IFERROR(INDEX(Listas!$B$2:$B$9,MATCH(O1330,Listas!$A$2:$A$9,0)),""))</f>
        <v/>
      </c>
      <c r="Q1330" s="25" t="str">
        <f aca="false">IF(OR(O1330="",O1330="Sin información"),"",IFERROR(INDEX(Listas!$C$2:$C$9,MATCH(O1330,Listas!$A$2:$A$9,0)),""))</f>
        <v/>
      </c>
      <c r="R1330" s="22"/>
      <c r="S1330" s="22"/>
      <c r="T1330" s="25" t="str">
        <f aca="false">IF(S1330="","",IFERROR(INDEX(Empleadores!$B$2:$B$601,MATCH(S1330,Empleadores!$A$2:$A$601,0)),"No encontrado"))</f>
        <v/>
      </c>
      <c r="U1330" s="25" t="str">
        <f aca="false">IF(C1330="","",IF(V1330="","No",IF(Config!$C$4-V1330&lt;=Config!$C$15,"Sí","No")))</f>
        <v/>
      </c>
      <c r="V1330" s="23"/>
      <c r="W1330" s="22"/>
      <c r="X1330" s="22"/>
      <c r="Y1330" s="22"/>
      <c r="Z1330" s="27"/>
      <c r="AA1330" s="22"/>
      <c r="AB1330" s="22"/>
    </row>
    <row r="1331" customFormat="false" ht="15" hidden="false" customHeight="false" outlineLevel="0" collapsed="false">
      <c r="A1331" s="22"/>
      <c r="B1331" s="22"/>
      <c r="C1331" s="22"/>
      <c r="D1331" s="22"/>
      <c r="E1331" s="22"/>
      <c r="F1331" s="22"/>
      <c r="G1331" s="23"/>
      <c r="H1331" s="24" t="str">
        <f aca="false">IF(G1331="","",ROUND((Config!$C$4-G1331)/365.25,2))</f>
        <v/>
      </c>
      <c r="I1331" s="25" t="str">
        <f aca="false">IF(H1331="","",IF(H1331&lt;=1,"Tramo 1",IF(H1331&lt;=3,"Tramo 2",IF(H1331&lt;=5,"Tramo 3","Tramo 4"))))</f>
        <v/>
      </c>
      <c r="J1331" s="22"/>
      <c r="K1331" s="22"/>
      <c r="L1331" s="22"/>
      <c r="M1331" s="26"/>
      <c r="N1331" s="22"/>
      <c r="O1331" s="22"/>
      <c r="P1331" s="25" t="str">
        <f aca="false">IF(OR(O1331="",O1331="Sin información"),"",IFERROR(INDEX(Listas!$B$2:$B$9,MATCH(O1331,Listas!$A$2:$A$9,0)),""))</f>
        <v/>
      </c>
      <c r="Q1331" s="25" t="str">
        <f aca="false">IF(OR(O1331="",O1331="Sin información"),"",IFERROR(INDEX(Listas!$C$2:$C$9,MATCH(O1331,Listas!$A$2:$A$9,0)),""))</f>
        <v/>
      </c>
      <c r="R1331" s="22"/>
      <c r="S1331" s="22"/>
      <c r="T1331" s="25" t="str">
        <f aca="false">IF(S1331="","",IFERROR(INDEX(Empleadores!$B$2:$B$601,MATCH(S1331,Empleadores!$A$2:$A$601,0)),"No encontrado"))</f>
        <v/>
      </c>
      <c r="U1331" s="25" t="str">
        <f aca="false">IF(C1331="","",IF(V1331="","No",IF(Config!$C$4-V1331&lt;=Config!$C$15,"Sí","No")))</f>
        <v/>
      </c>
      <c r="V1331" s="23"/>
      <c r="W1331" s="22"/>
      <c r="X1331" s="22"/>
      <c r="Y1331" s="22"/>
      <c r="Z1331" s="27"/>
      <c r="AA1331" s="22"/>
      <c r="AB1331" s="22"/>
    </row>
    <row r="1332" customFormat="false" ht="15" hidden="false" customHeight="false" outlineLevel="0" collapsed="false">
      <c r="A1332" s="22"/>
      <c r="B1332" s="22"/>
      <c r="C1332" s="22"/>
      <c r="D1332" s="22"/>
      <c r="E1332" s="22"/>
      <c r="F1332" s="22"/>
      <c r="G1332" s="23"/>
      <c r="H1332" s="24" t="str">
        <f aca="false">IF(G1332="","",ROUND((Config!$C$4-G1332)/365.25,2))</f>
        <v/>
      </c>
      <c r="I1332" s="25" t="str">
        <f aca="false">IF(H1332="","",IF(H1332&lt;=1,"Tramo 1",IF(H1332&lt;=3,"Tramo 2",IF(H1332&lt;=5,"Tramo 3","Tramo 4"))))</f>
        <v/>
      </c>
      <c r="J1332" s="22"/>
      <c r="K1332" s="22"/>
      <c r="L1332" s="22"/>
      <c r="M1332" s="26"/>
      <c r="N1332" s="22"/>
      <c r="O1332" s="22"/>
      <c r="P1332" s="25" t="str">
        <f aca="false">IF(OR(O1332="",O1332="Sin información"),"",IFERROR(INDEX(Listas!$B$2:$B$9,MATCH(O1332,Listas!$A$2:$A$9,0)),""))</f>
        <v/>
      </c>
      <c r="Q1332" s="25" t="str">
        <f aca="false">IF(OR(O1332="",O1332="Sin información"),"",IFERROR(INDEX(Listas!$C$2:$C$9,MATCH(O1332,Listas!$A$2:$A$9,0)),""))</f>
        <v/>
      </c>
      <c r="R1332" s="22"/>
      <c r="S1332" s="22"/>
      <c r="T1332" s="25" t="str">
        <f aca="false">IF(S1332="","",IFERROR(INDEX(Empleadores!$B$2:$B$601,MATCH(S1332,Empleadores!$A$2:$A$601,0)),"No encontrado"))</f>
        <v/>
      </c>
      <c r="U1332" s="25" t="str">
        <f aca="false">IF(C1332="","",IF(V1332="","No",IF(Config!$C$4-V1332&lt;=Config!$C$15,"Sí","No")))</f>
        <v/>
      </c>
      <c r="V1332" s="23"/>
      <c r="W1332" s="22"/>
      <c r="X1332" s="22"/>
      <c r="Y1332" s="22"/>
      <c r="Z1332" s="27"/>
      <c r="AA1332" s="22"/>
      <c r="AB1332" s="22"/>
    </row>
    <row r="1333" customFormat="false" ht="15" hidden="false" customHeight="false" outlineLevel="0" collapsed="false">
      <c r="A1333" s="22"/>
      <c r="B1333" s="22"/>
      <c r="C1333" s="22"/>
      <c r="D1333" s="22"/>
      <c r="E1333" s="22"/>
      <c r="F1333" s="22"/>
      <c r="G1333" s="23"/>
      <c r="H1333" s="24" t="str">
        <f aca="false">IF(G1333="","",ROUND((Config!$C$4-G1333)/365.25,2))</f>
        <v/>
      </c>
      <c r="I1333" s="25" t="str">
        <f aca="false">IF(H1333="","",IF(H1333&lt;=1,"Tramo 1",IF(H1333&lt;=3,"Tramo 2",IF(H1333&lt;=5,"Tramo 3","Tramo 4"))))</f>
        <v/>
      </c>
      <c r="J1333" s="22"/>
      <c r="K1333" s="22"/>
      <c r="L1333" s="22"/>
      <c r="M1333" s="26"/>
      <c r="N1333" s="22"/>
      <c r="O1333" s="22"/>
      <c r="P1333" s="25" t="str">
        <f aca="false">IF(OR(O1333="",O1333="Sin información"),"",IFERROR(INDEX(Listas!$B$2:$B$9,MATCH(O1333,Listas!$A$2:$A$9,0)),""))</f>
        <v/>
      </c>
      <c r="Q1333" s="25" t="str">
        <f aca="false">IF(OR(O1333="",O1333="Sin información"),"",IFERROR(INDEX(Listas!$C$2:$C$9,MATCH(O1333,Listas!$A$2:$A$9,0)),""))</f>
        <v/>
      </c>
      <c r="R1333" s="22"/>
      <c r="S1333" s="22"/>
      <c r="T1333" s="25" t="str">
        <f aca="false">IF(S1333="","",IFERROR(INDEX(Empleadores!$B$2:$B$601,MATCH(S1333,Empleadores!$A$2:$A$601,0)),"No encontrado"))</f>
        <v/>
      </c>
      <c r="U1333" s="25" t="str">
        <f aca="false">IF(C1333="","",IF(V1333="","No",IF(Config!$C$4-V1333&lt;=Config!$C$15,"Sí","No")))</f>
        <v/>
      </c>
      <c r="V1333" s="23"/>
      <c r="W1333" s="22"/>
      <c r="X1333" s="22"/>
      <c r="Y1333" s="22"/>
      <c r="Z1333" s="27"/>
      <c r="AA1333" s="22"/>
      <c r="AB1333" s="22"/>
    </row>
    <row r="1334" customFormat="false" ht="15" hidden="false" customHeight="false" outlineLevel="0" collapsed="false">
      <c r="A1334" s="22"/>
      <c r="B1334" s="22"/>
      <c r="C1334" s="22"/>
      <c r="D1334" s="22"/>
      <c r="E1334" s="22"/>
      <c r="F1334" s="22"/>
      <c r="G1334" s="23"/>
      <c r="H1334" s="24" t="str">
        <f aca="false">IF(G1334="","",ROUND((Config!$C$4-G1334)/365.25,2))</f>
        <v/>
      </c>
      <c r="I1334" s="25" t="str">
        <f aca="false">IF(H1334="","",IF(H1334&lt;=1,"Tramo 1",IF(H1334&lt;=3,"Tramo 2",IF(H1334&lt;=5,"Tramo 3","Tramo 4"))))</f>
        <v/>
      </c>
      <c r="J1334" s="22"/>
      <c r="K1334" s="22"/>
      <c r="L1334" s="22"/>
      <c r="M1334" s="26"/>
      <c r="N1334" s="22"/>
      <c r="O1334" s="22"/>
      <c r="P1334" s="25" t="str">
        <f aca="false">IF(OR(O1334="",O1334="Sin información"),"",IFERROR(INDEX(Listas!$B$2:$B$9,MATCH(O1334,Listas!$A$2:$A$9,0)),""))</f>
        <v/>
      </c>
      <c r="Q1334" s="25" t="str">
        <f aca="false">IF(OR(O1334="",O1334="Sin información"),"",IFERROR(INDEX(Listas!$C$2:$C$9,MATCH(O1334,Listas!$A$2:$A$9,0)),""))</f>
        <v/>
      </c>
      <c r="R1334" s="22"/>
      <c r="S1334" s="22"/>
      <c r="T1334" s="25" t="str">
        <f aca="false">IF(S1334="","",IFERROR(INDEX(Empleadores!$B$2:$B$601,MATCH(S1334,Empleadores!$A$2:$A$601,0)),"No encontrado"))</f>
        <v/>
      </c>
      <c r="U1334" s="25" t="str">
        <f aca="false">IF(C1334="","",IF(V1334="","No",IF(Config!$C$4-V1334&lt;=Config!$C$15,"Sí","No")))</f>
        <v/>
      </c>
      <c r="V1334" s="23"/>
      <c r="W1334" s="22"/>
      <c r="X1334" s="22"/>
      <c r="Y1334" s="22"/>
      <c r="Z1334" s="27"/>
      <c r="AA1334" s="22"/>
      <c r="AB1334" s="22"/>
    </row>
    <row r="1335" customFormat="false" ht="15" hidden="false" customHeight="false" outlineLevel="0" collapsed="false">
      <c r="A1335" s="22"/>
      <c r="B1335" s="22"/>
      <c r="C1335" s="22"/>
      <c r="D1335" s="22"/>
      <c r="E1335" s="22"/>
      <c r="F1335" s="22"/>
      <c r="G1335" s="23"/>
      <c r="H1335" s="24" t="str">
        <f aca="false">IF(G1335="","",ROUND((Config!$C$4-G1335)/365.25,2))</f>
        <v/>
      </c>
      <c r="I1335" s="25" t="str">
        <f aca="false">IF(H1335="","",IF(H1335&lt;=1,"Tramo 1",IF(H1335&lt;=3,"Tramo 2",IF(H1335&lt;=5,"Tramo 3","Tramo 4"))))</f>
        <v/>
      </c>
      <c r="J1335" s="22"/>
      <c r="K1335" s="22"/>
      <c r="L1335" s="22"/>
      <c r="M1335" s="26"/>
      <c r="N1335" s="22"/>
      <c r="O1335" s="22"/>
      <c r="P1335" s="25" t="str">
        <f aca="false">IF(OR(O1335="",O1335="Sin información"),"",IFERROR(INDEX(Listas!$B$2:$B$9,MATCH(O1335,Listas!$A$2:$A$9,0)),""))</f>
        <v/>
      </c>
      <c r="Q1335" s="25" t="str">
        <f aca="false">IF(OR(O1335="",O1335="Sin información"),"",IFERROR(INDEX(Listas!$C$2:$C$9,MATCH(O1335,Listas!$A$2:$A$9,0)),""))</f>
        <v/>
      </c>
      <c r="R1335" s="22"/>
      <c r="S1335" s="22"/>
      <c r="T1335" s="25" t="str">
        <f aca="false">IF(S1335="","",IFERROR(INDEX(Empleadores!$B$2:$B$601,MATCH(S1335,Empleadores!$A$2:$A$601,0)),"No encontrado"))</f>
        <v/>
      </c>
      <c r="U1335" s="25" t="str">
        <f aca="false">IF(C1335="","",IF(V1335="","No",IF(Config!$C$4-V1335&lt;=Config!$C$15,"Sí","No")))</f>
        <v/>
      </c>
      <c r="V1335" s="23"/>
      <c r="W1335" s="22"/>
      <c r="X1335" s="22"/>
      <c r="Y1335" s="22"/>
      <c r="Z1335" s="27"/>
      <c r="AA1335" s="22"/>
      <c r="AB1335" s="22"/>
    </row>
    <row r="1336" customFormat="false" ht="15" hidden="false" customHeight="false" outlineLevel="0" collapsed="false">
      <c r="A1336" s="22"/>
      <c r="B1336" s="22"/>
      <c r="C1336" s="22"/>
      <c r="D1336" s="22"/>
      <c r="E1336" s="22"/>
      <c r="F1336" s="22"/>
      <c r="G1336" s="23"/>
      <c r="H1336" s="24" t="str">
        <f aca="false">IF(G1336="","",ROUND((Config!$C$4-G1336)/365.25,2))</f>
        <v/>
      </c>
      <c r="I1336" s="25" t="str">
        <f aca="false">IF(H1336="","",IF(H1336&lt;=1,"Tramo 1",IF(H1336&lt;=3,"Tramo 2",IF(H1336&lt;=5,"Tramo 3","Tramo 4"))))</f>
        <v/>
      </c>
      <c r="J1336" s="22"/>
      <c r="K1336" s="22"/>
      <c r="L1336" s="22"/>
      <c r="M1336" s="26"/>
      <c r="N1336" s="22"/>
      <c r="O1336" s="22"/>
      <c r="P1336" s="25" t="str">
        <f aca="false">IF(OR(O1336="",O1336="Sin información"),"",IFERROR(INDEX(Listas!$B$2:$B$9,MATCH(O1336,Listas!$A$2:$A$9,0)),""))</f>
        <v/>
      </c>
      <c r="Q1336" s="25" t="str">
        <f aca="false">IF(OR(O1336="",O1336="Sin información"),"",IFERROR(INDEX(Listas!$C$2:$C$9,MATCH(O1336,Listas!$A$2:$A$9,0)),""))</f>
        <v/>
      </c>
      <c r="R1336" s="22"/>
      <c r="S1336" s="22"/>
      <c r="T1336" s="25" t="str">
        <f aca="false">IF(S1336="","",IFERROR(INDEX(Empleadores!$B$2:$B$601,MATCH(S1336,Empleadores!$A$2:$A$601,0)),"No encontrado"))</f>
        <v/>
      </c>
      <c r="U1336" s="25" t="str">
        <f aca="false">IF(C1336="","",IF(V1336="","No",IF(Config!$C$4-V1336&lt;=Config!$C$15,"Sí","No")))</f>
        <v/>
      </c>
      <c r="V1336" s="23"/>
      <c r="W1336" s="22"/>
      <c r="X1336" s="22"/>
      <c r="Y1336" s="22"/>
      <c r="Z1336" s="27"/>
      <c r="AA1336" s="22"/>
      <c r="AB1336" s="22"/>
    </row>
    <row r="1337" customFormat="false" ht="15" hidden="false" customHeight="false" outlineLevel="0" collapsed="false">
      <c r="A1337" s="22"/>
      <c r="B1337" s="22"/>
      <c r="C1337" s="22"/>
      <c r="D1337" s="22"/>
      <c r="E1337" s="22"/>
      <c r="F1337" s="22"/>
      <c r="G1337" s="23"/>
      <c r="H1337" s="24" t="str">
        <f aca="false">IF(G1337="","",ROUND((Config!$C$4-G1337)/365.25,2))</f>
        <v/>
      </c>
      <c r="I1337" s="25" t="str">
        <f aca="false">IF(H1337="","",IF(H1337&lt;=1,"Tramo 1",IF(H1337&lt;=3,"Tramo 2",IF(H1337&lt;=5,"Tramo 3","Tramo 4"))))</f>
        <v/>
      </c>
      <c r="J1337" s="22"/>
      <c r="K1337" s="22"/>
      <c r="L1337" s="22"/>
      <c r="M1337" s="26"/>
      <c r="N1337" s="22"/>
      <c r="O1337" s="22"/>
      <c r="P1337" s="25" t="str">
        <f aca="false">IF(OR(O1337="",O1337="Sin información"),"",IFERROR(INDEX(Listas!$B$2:$B$9,MATCH(O1337,Listas!$A$2:$A$9,0)),""))</f>
        <v/>
      </c>
      <c r="Q1337" s="25" t="str">
        <f aca="false">IF(OR(O1337="",O1337="Sin información"),"",IFERROR(INDEX(Listas!$C$2:$C$9,MATCH(O1337,Listas!$A$2:$A$9,0)),""))</f>
        <v/>
      </c>
      <c r="R1337" s="22"/>
      <c r="S1337" s="22"/>
      <c r="T1337" s="25" t="str">
        <f aca="false">IF(S1337="","",IFERROR(INDEX(Empleadores!$B$2:$B$601,MATCH(S1337,Empleadores!$A$2:$A$601,0)),"No encontrado"))</f>
        <v/>
      </c>
      <c r="U1337" s="25" t="str">
        <f aca="false">IF(C1337="","",IF(V1337="","No",IF(Config!$C$4-V1337&lt;=Config!$C$15,"Sí","No")))</f>
        <v/>
      </c>
      <c r="V1337" s="23"/>
      <c r="W1337" s="22"/>
      <c r="X1337" s="22"/>
      <c r="Y1337" s="22"/>
      <c r="Z1337" s="27"/>
      <c r="AA1337" s="22"/>
      <c r="AB1337" s="22"/>
    </row>
    <row r="1338" customFormat="false" ht="15" hidden="false" customHeight="false" outlineLevel="0" collapsed="false">
      <c r="A1338" s="22"/>
      <c r="B1338" s="22"/>
      <c r="C1338" s="22"/>
      <c r="D1338" s="22"/>
      <c r="E1338" s="22"/>
      <c r="F1338" s="22"/>
      <c r="G1338" s="23"/>
      <c r="H1338" s="24" t="str">
        <f aca="false">IF(G1338="","",ROUND((Config!$C$4-G1338)/365.25,2))</f>
        <v/>
      </c>
      <c r="I1338" s="25" t="str">
        <f aca="false">IF(H1338="","",IF(H1338&lt;=1,"Tramo 1",IF(H1338&lt;=3,"Tramo 2",IF(H1338&lt;=5,"Tramo 3","Tramo 4"))))</f>
        <v/>
      </c>
      <c r="J1338" s="22"/>
      <c r="K1338" s="22"/>
      <c r="L1338" s="22"/>
      <c r="M1338" s="26"/>
      <c r="N1338" s="22"/>
      <c r="O1338" s="22"/>
      <c r="P1338" s="25" t="str">
        <f aca="false">IF(OR(O1338="",O1338="Sin información"),"",IFERROR(INDEX(Listas!$B$2:$B$9,MATCH(O1338,Listas!$A$2:$A$9,0)),""))</f>
        <v/>
      </c>
      <c r="Q1338" s="25" t="str">
        <f aca="false">IF(OR(O1338="",O1338="Sin información"),"",IFERROR(INDEX(Listas!$C$2:$C$9,MATCH(O1338,Listas!$A$2:$A$9,0)),""))</f>
        <v/>
      </c>
      <c r="R1338" s="22"/>
      <c r="S1338" s="22"/>
      <c r="T1338" s="25" t="str">
        <f aca="false">IF(S1338="","",IFERROR(INDEX(Empleadores!$B$2:$B$601,MATCH(S1338,Empleadores!$A$2:$A$601,0)),"No encontrado"))</f>
        <v/>
      </c>
      <c r="U1338" s="25" t="str">
        <f aca="false">IF(C1338="","",IF(V1338="","No",IF(Config!$C$4-V1338&lt;=Config!$C$15,"Sí","No")))</f>
        <v/>
      </c>
      <c r="V1338" s="23"/>
      <c r="W1338" s="22"/>
      <c r="X1338" s="22"/>
      <c r="Y1338" s="22"/>
      <c r="Z1338" s="27"/>
      <c r="AA1338" s="22"/>
      <c r="AB1338" s="22"/>
    </row>
    <row r="1339" customFormat="false" ht="15" hidden="false" customHeight="false" outlineLevel="0" collapsed="false">
      <c r="A1339" s="22"/>
      <c r="B1339" s="22"/>
      <c r="C1339" s="22"/>
      <c r="D1339" s="22"/>
      <c r="E1339" s="22"/>
      <c r="F1339" s="22"/>
      <c r="G1339" s="23"/>
      <c r="H1339" s="24" t="str">
        <f aca="false">IF(G1339="","",ROUND((Config!$C$4-G1339)/365.25,2))</f>
        <v/>
      </c>
      <c r="I1339" s="25" t="str">
        <f aca="false">IF(H1339="","",IF(H1339&lt;=1,"Tramo 1",IF(H1339&lt;=3,"Tramo 2",IF(H1339&lt;=5,"Tramo 3","Tramo 4"))))</f>
        <v/>
      </c>
      <c r="J1339" s="22"/>
      <c r="K1339" s="22"/>
      <c r="L1339" s="22"/>
      <c r="M1339" s="26"/>
      <c r="N1339" s="22"/>
      <c r="O1339" s="22"/>
      <c r="P1339" s="25" t="str">
        <f aca="false">IF(OR(O1339="",O1339="Sin información"),"",IFERROR(INDEX(Listas!$B$2:$B$9,MATCH(O1339,Listas!$A$2:$A$9,0)),""))</f>
        <v/>
      </c>
      <c r="Q1339" s="25" t="str">
        <f aca="false">IF(OR(O1339="",O1339="Sin información"),"",IFERROR(INDEX(Listas!$C$2:$C$9,MATCH(O1339,Listas!$A$2:$A$9,0)),""))</f>
        <v/>
      </c>
      <c r="R1339" s="22"/>
      <c r="S1339" s="22"/>
      <c r="T1339" s="25" t="str">
        <f aca="false">IF(S1339="","",IFERROR(INDEX(Empleadores!$B$2:$B$601,MATCH(S1339,Empleadores!$A$2:$A$601,0)),"No encontrado"))</f>
        <v/>
      </c>
      <c r="U1339" s="25" t="str">
        <f aca="false">IF(C1339="","",IF(V1339="","No",IF(Config!$C$4-V1339&lt;=Config!$C$15,"Sí","No")))</f>
        <v/>
      </c>
      <c r="V1339" s="23"/>
      <c r="W1339" s="22"/>
      <c r="X1339" s="22"/>
      <c r="Y1339" s="22"/>
      <c r="Z1339" s="27"/>
      <c r="AA1339" s="22"/>
      <c r="AB1339" s="22"/>
    </row>
    <row r="1340" customFormat="false" ht="15" hidden="false" customHeight="false" outlineLevel="0" collapsed="false">
      <c r="A1340" s="22"/>
      <c r="B1340" s="22"/>
      <c r="C1340" s="22"/>
      <c r="D1340" s="22"/>
      <c r="E1340" s="22"/>
      <c r="F1340" s="22"/>
      <c r="G1340" s="23"/>
      <c r="H1340" s="24" t="str">
        <f aca="false">IF(G1340="","",ROUND((Config!$C$4-G1340)/365.25,2))</f>
        <v/>
      </c>
      <c r="I1340" s="25" t="str">
        <f aca="false">IF(H1340="","",IF(H1340&lt;=1,"Tramo 1",IF(H1340&lt;=3,"Tramo 2",IF(H1340&lt;=5,"Tramo 3","Tramo 4"))))</f>
        <v/>
      </c>
      <c r="J1340" s="22"/>
      <c r="K1340" s="22"/>
      <c r="L1340" s="22"/>
      <c r="M1340" s="26"/>
      <c r="N1340" s="22"/>
      <c r="O1340" s="22"/>
      <c r="P1340" s="25" t="str">
        <f aca="false">IF(OR(O1340="",O1340="Sin información"),"",IFERROR(INDEX(Listas!$B$2:$B$9,MATCH(O1340,Listas!$A$2:$A$9,0)),""))</f>
        <v/>
      </c>
      <c r="Q1340" s="25" t="str">
        <f aca="false">IF(OR(O1340="",O1340="Sin información"),"",IFERROR(INDEX(Listas!$C$2:$C$9,MATCH(O1340,Listas!$A$2:$A$9,0)),""))</f>
        <v/>
      </c>
      <c r="R1340" s="22"/>
      <c r="S1340" s="22"/>
      <c r="T1340" s="25" t="str">
        <f aca="false">IF(S1340="","",IFERROR(INDEX(Empleadores!$B$2:$B$601,MATCH(S1340,Empleadores!$A$2:$A$601,0)),"No encontrado"))</f>
        <v/>
      </c>
      <c r="U1340" s="25" t="str">
        <f aca="false">IF(C1340="","",IF(V1340="","No",IF(Config!$C$4-V1340&lt;=Config!$C$15,"Sí","No")))</f>
        <v/>
      </c>
      <c r="V1340" s="23"/>
      <c r="W1340" s="22"/>
      <c r="X1340" s="22"/>
      <c r="Y1340" s="22"/>
      <c r="Z1340" s="27"/>
      <c r="AA1340" s="22"/>
      <c r="AB1340" s="22"/>
    </row>
    <row r="1341" customFormat="false" ht="15" hidden="false" customHeight="false" outlineLevel="0" collapsed="false">
      <c r="A1341" s="22"/>
      <c r="B1341" s="22"/>
      <c r="C1341" s="22"/>
      <c r="D1341" s="22"/>
      <c r="E1341" s="22"/>
      <c r="F1341" s="22"/>
      <c r="G1341" s="23"/>
      <c r="H1341" s="24" t="str">
        <f aca="false">IF(G1341="","",ROUND((Config!$C$4-G1341)/365.25,2))</f>
        <v/>
      </c>
      <c r="I1341" s="25" t="str">
        <f aca="false">IF(H1341="","",IF(H1341&lt;=1,"Tramo 1",IF(H1341&lt;=3,"Tramo 2",IF(H1341&lt;=5,"Tramo 3","Tramo 4"))))</f>
        <v/>
      </c>
      <c r="J1341" s="22"/>
      <c r="K1341" s="22"/>
      <c r="L1341" s="22"/>
      <c r="M1341" s="26"/>
      <c r="N1341" s="22"/>
      <c r="O1341" s="22"/>
      <c r="P1341" s="25" t="str">
        <f aca="false">IF(OR(O1341="",O1341="Sin información"),"",IFERROR(INDEX(Listas!$B$2:$B$9,MATCH(O1341,Listas!$A$2:$A$9,0)),""))</f>
        <v/>
      </c>
      <c r="Q1341" s="25" t="str">
        <f aca="false">IF(OR(O1341="",O1341="Sin información"),"",IFERROR(INDEX(Listas!$C$2:$C$9,MATCH(O1341,Listas!$A$2:$A$9,0)),""))</f>
        <v/>
      </c>
      <c r="R1341" s="22"/>
      <c r="S1341" s="22"/>
      <c r="T1341" s="25" t="str">
        <f aca="false">IF(S1341="","",IFERROR(INDEX(Empleadores!$B$2:$B$601,MATCH(S1341,Empleadores!$A$2:$A$601,0)),"No encontrado"))</f>
        <v/>
      </c>
      <c r="U1341" s="25" t="str">
        <f aca="false">IF(C1341="","",IF(V1341="","No",IF(Config!$C$4-V1341&lt;=Config!$C$15,"Sí","No")))</f>
        <v/>
      </c>
      <c r="V1341" s="23"/>
      <c r="W1341" s="22"/>
      <c r="X1341" s="22"/>
      <c r="Y1341" s="22"/>
      <c r="Z1341" s="27"/>
      <c r="AA1341" s="22"/>
      <c r="AB1341" s="22"/>
    </row>
    <row r="1342" customFormat="false" ht="15" hidden="false" customHeight="false" outlineLevel="0" collapsed="false">
      <c r="A1342" s="22"/>
      <c r="B1342" s="22"/>
      <c r="C1342" s="22"/>
      <c r="D1342" s="22"/>
      <c r="E1342" s="22"/>
      <c r="F1342" s="22"/>
      <c r="G1342" s="23"/>
      <c r="H1342" s="24" t="str">
        <f aca="false">IF(G1342="","",ROUND((Config!$C$4-G1342)/365.25,2))</f>
        <v/>
      </c>
      <c r="I1342" s="25" t="str">
        <f aca="false">IF(H1342="","",IF(H1342&lt;=1,"Tramo 1",IF(H1342&lt;=3,"Tramo 2",IF(H1342&lt;=5,"Tramo 3","Tramo 4"))))</f>
        <v/>
      </c>
      <c r="J1342" s="22"/>
      <c r="K1342" s="22"/>
      <c r="L1342" s="22"/>
      <c r="M1342" s="26"/>
      <c r="N1342" s="22"/>
      <c r="O1342" s="22"/>
      <c r="P1342" s="25" t="str">
        <f aca="false">IF(OR(O1342="",O1342="Sin información"),"",IFERROR(INDEX(Listas!$B$2:$B$9,MATCH(O1342,Listas!$A$2:$A$9,0)),""))</f>
        <v/>
      </c>
      <c r="Q1342" s="25" t="str">
        <f aca="false">IF(OR(O1342="",O1342="Sin información"),"",IFERROR(INDEX(Listas!$C$2:$C$9,MATCH(O1342,Listas!$A$2:$A$9,0)),""))</f>
        <v/>
      </c>
      <c r="R1342" s="22"/>
      <c r="S1342" s="22"/>
      <c r="T1342" s="25" t="str">
        <f aca="false">IF(S1342="","",IFERROR(INDEX(Empleadores!$B$2:$B$601,MATCH(S1342,Empleadores!$A$2:$A$601,0)),"No encontrado"))</f>
        <v/>
      </c>
      <c r="U1342" s="25" t="str">
        <f aca="false">IF(C1342="","",IF(V1342="","No",IF(Config!$C$4-V1342&lt;=Config!$C$15,"Sí","No")))</f>
        <v/>
      </c>
      <c r="V1342" s="23"/>
      <c r="W1342" s="22"/>
      <c r="X1342" s="22"/>
      <c r="Y1342" s="22"/>
      <c r="Z1342" s="27"/>
      <c r="AA1342" s="22"/>
      <c r="AB1342" s="22"/>
    </row>
    <row r="1343" customFormat="false" ht="15" hidden="false" customHeight="false" outlineLevel="0" collapsed="false">
      <c r="A1343" s="22"/>
      <c r="B1343" s="22"/>
      <c r="C1343" s="22"/>
      <c r="D1343" s="22"/>
      <c r="E1343" s="22"/>
      <c r="F1343" s="22"/>
      <c r="G1343" s="23"/>
      <c r="H1343" s="24" t="str">
        <f aca="false">IF(G1343="","",ROUND((Config!$C$4-G1343)/365.25,2))</f>
        <v/>
      </c>
      <c r="I1343" s="25" t="str">
        <f aca="false">IF(H1343="","",IF(H1343&lt;=1,"Tramo 1",IF(H1343&lt;=3,"Tramo 2",IF(H1343&lt;=5,"Tramo 3","Tramo 4"))))</f>
        <v/>
      </c>
      <c r="J1343" s="22"/>
      <c r="K1343" s="22"/>
      <c r="L1343" s="22"/>
      <c r="M1343" s="26"/>
      <c r="N1343" s="22"/>
      <c r="O1343" s="22"/>
      <c r="P1343" s="25" t="str">
        <f aca="false">IF(OR(O1343="",O1343="Sin información"),"",IFERROR(INDEX(Listas!$B$2:$B$9,MATCH(O1343,Listas!$A$2:$A$9,0)),""))</f>
        <v/>
      </c>
      <c r="Q1343" s="25" t="str">
        <f aca="false">IF(OR(O1343="",O1343="Sin información"),"",IFERROR(INDEX(Listas!$C$2:$C$9,MATCH(O1343,Listas!$A$2:$A$9,0)),""))</f>
        <v/>
      </c>
      <c r="R1343" s="22"/>
      <c r="S1343" s="22"/>
      <c r="T1343" s="25" t="str">
        <f aca="false">IF(S1343="","",IFERROR(INDEX(Empleadores!$B$2:$B$601,MATCH(S1343,Empleadores!$A$2:$A$601,0)),"No encontrado"))</f>
        <v/>
      </c>
      <c r="U1343" s="25" t="str">
        <f aca="false">IF(C1343="","",IF(V1343="","No",IF(Config!$C$4-V1343&lt;=Config!$C$15,"Sí","No")))</f>
        <v/>
      </c>
      <c r="V1343" s="23"/>
      <c r="W1343" s="22"/>
      <c r="X1343" s="22"/>
      <c r="Y1343" s="22"/>
      <c r="Z1343" s="27"/>
      <c r="AA1343" s="22"/>
      <c r="AB1343" s="22"/>
    </row>
    <row r="1344" customFormat="false" ht="15" hidden="false" customHeight="false" outlineLevel="0" collapsed="false">
      <c r="A1344" s="22"/>
      <c r="B1344" s="22"/>
      <c r="C1344" s="22"/>
      <c r="D1344" s="22"/>
      <c r="E1344" s="22"/>
      <c r="F1344" s="22"/>
      <c r="G1344" s="23"/>
      <c r="H1344" s="24" t="str">
        <f aca="false">IF(G1344="","",ROUND((Config!$C$4-G1344)/365.25,2))</f>
        <v/>
      </c>
      <c r="I1344" s="25" t="str">
        <f aca="false">IF(H1344="","",IF(H1344&lt;=1,"Tramo 1",IF(H1344&lt;=3,"Tramo 2",IF(H1344&lt;=5,"Tramo 3","Tramo 4"))))</f>
        <v/>
      </c>
      <c r="J1344" s="22"/>
      <c r="K1344" s="22"/>
      <c r="L1344" s="22"/>
      <c r="M1344" s="26"/>
      <c r="N1344" s="22"/>
      <c r="O1344" s="22"/>
      <c r="P1344" s="25" t="str">
        <f aca="false">IF(OR(O1344="",O1344="Sin información"),"",IFERROR(INDEX(Listas!$B$2:$B$9,MATCH(O1344,Listas!$A$2:$A$9,0)),""))</f>
        <v/>
      </c>
      <c r="Q1344" s="25" t="str">
        <f aca="false">IF(OR(O1344="",O1344="Sin información"),"",IFERROR(INDEX(Listas!$C$2:$C$9,MATCH(O1344,Listas!$A$2:$A$9,0)),""))</f>
        <v/>
      </c>
      <c r="R1344" s="22"/>
      <c r="S1344" s="22"/>
      <c r="T1344" s="25" t="str">
        <f aca="false">IF(S1344="","",IFERROR(INDEX(Empleadores!$B$2:$B$601,MATCH(S1344,Empleadores!$A$2:$A$601,0)),"No encontrado"))</f>
        <v/>
      </c>
      <c r="U1344" s="25" t="str">
        <f aca="false">IF(C1344="","",IF(V1344="","No",IF(Config!$C$4-V1344&lt;=Config!$C$15,"Sí","No")))</f>
        <v/>
      </c>
      <c r="V1344" s="23"/>
      <c r="W1344" s="22"/>
      <c r="X1344" s="22"/>
      <c r="Y1344" s="22"/>
      <c r="Z1344" s="27"/>
      <c r="AA1344" s="22"/>
      <c r="AB1344" s="22"/>
    </row>
    <row r="1345" customFormat="false" ht="15" hidden="false" customHeight="false" outlineLevel="0" collapsed="false">
      <c r="A1345" s="22"/>
      <c r="B1345" s="22"/>
      <c r="C1345" s="22"/>
      <c r="D1345" s="22"/>
      <c r="E1345" s="22"/>
      <c r="F1345" s="22"/>
      <c r="G1345" s="23"/>
      <c r="H1345" s="24" t="str">
        <f aca="false">IF(G1345="","",ROUND((Config!$C$4-G1345)/365.25,2))</f>
        <v/>
      </c>
      <c r="I1345" s="25" t="str">
        <f aca="false">IF(H1345="","",IF(H1345&lt;=1,"Tramo 1",IF(H1345&lt;=3,"Tramo 2",IF(H1345&lt;=5,"Tramo 3","Tramo 4"))))</f>
        <v/>
      </c>
      <c r="J1345" s="22"/>
      <c r="K1345" s="22"/>
      <c r="L1345" s="22"/>
      <c r="M1345" s="26"/>
      <c r="N1345" s="22"/>
      <c r="O1345" s="22"/>
      <c r="P1345" s="25" t="str">
        <f aca="false">IF(OR(O1345="",O1345="Sin información"),"",IFERROR(INDEX(Listas!$B$2:$B$9,MATCH(O1345,Listas!$A$2:$A$9,0)),""))</f>
        <v/>
      </c>
      <c r="Q1345" s="25" t="str">
        <f aca="false">IF(OR(O1345="",O1345="Sin información"),"",IFERROR(INDEX(Listas!$C$2:$C$9,MATCH(O1345,Listas!$A$2:$A$9,0)),""))</f>
        <v/>
      </c>
      <c r="R1345" s="22"/>
      <c r="S1345" s="22"/>
      <c r="T1345" s="25" t="str">
        <f aca="false">IF(S1345="","",IFERROR(INDEX(Empleadores!$B$2:$B$601,MATCH(S1345,Empleadores!$A$2:$A$601,0)),"No encontrado"))</f>
        <v/>
      </c>
      <c r="U1345" s="25" t="str">
        <f aca="false">IF(C1345="","",IF(V1345="","No",IF(Config!$C$4-V1345&lt;=Config!$C$15,"Sí","No")))</f>
        <v/>
      </c>
      <c r="V1345" s="23"/>
      <c r="W1345" s="22"/>
      <c r="X1345" s="22"/>
      <c r="Y1345" s="22"/>
      <c r="Z1345" s="27"/>
      <c r="AA1345" s="22"/>
      <c r="AB1345" s="22"/>
    </row>
    <row r="1346" customFormat="false" ht="15" hidden="false" customHeight="false" outlineLevel="0" collapsed="false">
      <c r="A1346" s="22"/>
      <c r="B1346" s="22"/>
      <c r="C1346" s="22"/>
      <c r="D1346" s="22"/>
      <c r="E1346" s="22"/>
      <c r="F1346" s="22"/>
      <c r="G1346" s="23"/>
      <c r="H1346" s="24" t="str">
        <f aca="false">IF(G1346="","",ROUND((Config!$C$4-G1346)/365.25,2))</f>
        <v/>
      </c>
      <c r="I1346" s="25" t="str">
        <f aca="false">IF(H1346="","",IF(H1346&lt;=1,"Tramo 1",IF(H1346&lt;=3,"Tramo 2",IF(H1346&lt;=5,"Tramo 3","Tramo 4"))))</f>
        <v/>
      </c>
      <c r="J1346" s="22"/>
      <c r="K1346" s="22"/>
      <c r="L1346" s="22"/>
      <c r="M1346" s="26"/>
      <c r="N1346" s="22"/>
      <c r="O1346" s="22"/>
      <c r="P1346" s="25" t="str">
        <f aca="false">IF(OR(O1346="",O1346="Sin información"),"",IFERROR(INDEX(Listas!$B$2:$B$9,MATCH(O1346,Listas!$A$2:$A$9,0)),""))</f>
        <v/>
      </c>
      <c r="Q1346" s="25" t="str">
        <f aca="false">IF(OR(O1346="",O1346="Sin información"),"",IFERROR(INDEX(Listas!$C$2:$C$9,MATCH(O1346,Listas!$A$2:$A$9,0)),""))</f>
        <v/>
      </c>
      <c r="R1346" s="22"/>
      <c r="S1346" s="22"/>
      <c r="T1346" s="25" t="str">
        <f aca="false">IF(S1346="","",IFERROR(INDEX(Empleadores!$B$2:$B$601,MATCH(S1346,Empleadores!$A$2:$A$601,0)),"No encontrado"))</f>
        <v/>
      </c>
      <c r="U1346" s="25" t="str">
        <f aca="false">IF(C1346="","",IF(V1346="","No",IF(Config!$C$4-V1346&lt;=Config!$C$15,"Sí","No")))</f>
        <v/>
      </c>
      <c r="V1346" s="23"/>
      <c r="W1346" s="22"/>
      <c r="X1346" s="22"/>
      <c r="Y1346" s="22"/>
      <c r="Z1346" s="27"/>
      <c r="AA1346" s="22"/>
      <c r="AB1346" s="22"/>
    </row>
    <row r="1347" customFormat="false" ht="15" hidden="false" customHeight="false" outlineLevel="0" collapsed="false">
      <c r="A1347" s="22"/>
      <c r="B1347" s="22"/>
      <c r="C1347" s="22"/>
      <c r="D1347" s="22"/>
      <c r="E1347" s="22"/>
      <c r="F1347" s="22"/>
      <c r="G1347" s="23"/>
      <c r="H1347" s="24" t="str">
        <f aca="false">IF(G1347="","",ROUND((Config!$C$4-G1347)/365.25,2))</f>
        <v/>
      </c>
      <c r="I1347" s="25" t="str">
        <f aca="false">IF(H1347="","",IF(H1347&lt;=1,"Tramo 1",IF(H1347&lt;=3,"Tramo 2",IF(H1347&lt;=5,"Tramo 3","Tramo 4"))))</f>
        <v/>
      </c>
      <c r="J1347" s="22"/>
      <c r="K1347" s="22"/>
      <c r="L1347" s="22"/>
      <c r="M1347" s="26"/>
      <c r="N1347" s="22"/>
      <c r="O1347" s="22"/>
      <c r="P1347" s="25" t="str">
        <f aca="false">IF(OR(O1347="",O1347="Sin información"),"",IFERROR(INDEX(Listas!$B$2:$B$9,MATCH(O1347,Listas!$A$2:$A$9,0)),""))</f>
        <v/>
      </c>
      <c r="Q1347" s="25" t="str">
        <f aca="false">IF(OR(O1347="",O1347="Sin información"),"",IFERROR(INDEX(Listas!$C$2:$C$9,MATCH(O1347,Listas!$A$2:$A$9,0)),""))</f>
        <v/>
      </c>
      <c r="R1347" s="22"/>
      <c r="S1347" s="22"/>
      <c r="T1347" s="25" t="str">
        <f aca="false">IF(S1347="","",IFERROR(INDEX(Empleadores!$B$2:$B$601,MATCH(S1347,Empleadores!$A$2:$A$601,0)),"No encontrado"))</f>
        <v/>
      </c>
      <c r="U1347" s="25" t="str">
        <f aca="false">IF(C1347="","",IF(V1347="","No",IF(Config!$C$4-V1347&lt;=Config!$C$15,"Sí","No")))</f>
        <v/>
      </c>
      <c r="V1347" s="23"/>
      <c r="W1347" s="22"/>
      <c r="X1347" s="22"/>
      <c r="Y1347" s="22"/>
      <c r="Z1347" s="27"/>
      <c r="AA1347" s="22"/>
      <c r="AB1347" s="22"/>
    </row>
    <row r="1348" customFormat="false" ht="15" hidden="false" customHeight="false" outlineLevel="0" collapsed="false">
      <c r="A1348" s="22"/>
      <c r="B1348" s="22"/>
      <c r="C1348" s="22"/>
      <c r="D1348" s="22"/>
      <c r="E1348" s="22"/>
      <c r="F1348" s="22"/>
      <c r="G1348" s="23"/>
      <c r="H1348" s="24" t="str">
        <f aca="false">IF(G1348="","",ROUND((Config!$C$4-G1348)/365.25,2))</f>
        <v/>
      </c>
      <c r="I1348" s="25" t="str">
        <f aca="false">IF(H1348="","",IF(H1348&lt;=1,"Tramo 1",IF(H1348&lt;=3,"Tramo 2",IF(H1348&lt;=5,"Tramo 3","Tramo 4"))))</f>
        <v/>
      </c>
      <c r="J1348" s="22"/>
      <c r="K1348" s="22"/>
      <c r="L1348" s="22"/>
      <c r="M1348" s="26"/>
      <c r="N1348" s="22"/>
      <c r="O1348" s="22"/>
      <c r="P1348" s="25" t="str">
        <f aca="false">IF(OR(O1348="",O1348="Sin información"),"",IFERROR(INDEX(Listas!$B$2:$B$9,MATCH(O1348,Listas!$A$2:$A$9,0)),""))</f>
        <v/>
      </c>
      <c r="Q1348" s="25" t="str">
        <f aca="false">IF(OR(O1348="",O1348="Sin información"),"",IFERROR(INDEX(Listas!$C$2:$C$9,MATCH(O1348,Listas!$A$2:$A$9,0)),""))</f>
        <v/>
      </c>
      <c r="R1348" s="22"/>
      <c r="S1348" s="22"/>
      <c r="T1348" s="25" t="str">
        <f aca="false">IF(S1348="","",IFERROR(INDEX(Empleadores!$B$2:$B$601,MATCH(S1348,Empleadores!$A$2:$A$601,0)),"No encontrado"))</f>
        <v/>
      </c>
      <c r="U1348" s="25" t="str">
        <f aca="false">IF(C1348="","",IF(V1348="","No",IF(Config!$C$4-V1348&lt;=Config!$C$15,"Sí","No")))</f>
        <v/>
      </c>
      <c r="V1348" s="23"/>
      <c r="W1348" s="22"/>
      <c r="X1348" s="22"/>
      <c r="Y1348" s="22"/>
      <c r="Z1348" s="27"/>
      <c r="AA1348" s="22"/>
      <c r="AB1348" s="22"/>
    </row>
    <row r="1349" customFormat="false" ht="15" hidden="false" customHeight="false" outlineLevel="0" collapsed="false">
      <c r="A1349" s="22"/>
      <c r="B1349" s="22"/>
      <c r="C1349" s="22"/>
      <c r="D1349" s="22"/>
      <c r="E1349" s="22"/>
      <c r="F1349" s="22"/>
      <c r="G1349" s="23"/>
      <c r="H1349" s="24" t="str">
        <f aca="false">IF(G1349="","",ROUND((Config!$C$4-G1349)/365.25,2))</f>
        <v/>
      </c>
      <c r="I1349" s="25" t="str">
        <f aca="false">IF(H1349="","",IF(H1349&lt;=1,"Tramo 1",IF(H1349&lt;=3,"Tramo 2",IF(H1349&lt;=5,"Tramo 3","Tramo 4"))))</f>
        <v/>
      </c>
      <c r="J1349" s="22"/>
      <c r="K1349" s="22"/>
      <c r="L1349" s="22"/>
      <c r="M1349" s="26"/>
      <c r="N1349" s="22"/>
      <c r="O1349" s="22"/>
      <c r="P1349" s="25" t="str">
        <f aca="false">IF(OR(O1349="",O1349="Sin información"),"",IFERROR(INDEX(Listas!$B$2:$B$9,MATCH(O1349,Listas!$A$2:$A$9,0)),""))</f>
        <v/>
      </c>
      <c r="Q1349" s="25" t="str">
        <f aca="false">IF(OR(O1349="",O1349="Sin información"),"",IFERROR(INDEX(Listas!$C$2:$C$9,MATCH(O1349,Listas!$A$2:$A$9,0)),""))</f>
        <v/>
      </c>
      <c r="R1349" s="22"/>
      <c r="S1349" s="22"/>
      <c r="T1349" s="25" t="str">
        <f aca="false">IF(S1349="","",IFERROR(INDEX(Empleadores!$B$2:$B$601,MATCH(S1349,Empleadores!$A$2:$A$601,0)),"No encontrado"))</f>
        <v/>
      </c>
      <c r="U1349" s="25" t="str">
        <f aca="false">IF(C1349="","",IF(V1349="","No",IF(Config!$C$4-V1349&lt;=Config!$C$15,"Sí","No")))</f>
        <v/>
      </c>
      <c r="V1349" s="23"/>
      <c r="W1349" s="22"/>
      <c r="X1349" s="22"/>
      <c r="Y1349" s="22"/>
      <c r="Z1349" s="27"/>
      <c r="AA1349" s="22"/>
      <c r="AB1349" s="22"/>
    </row>
    <row r="1350" customFormat="false" ht="15" hidden="false" customHeight="false" outlineLevel="0" collapsed="false">
      <c r="A1350" s="22"/>
      <c r="B1350" s="22"/>
      <c r="C1350" s="22"/>
      <c r="D1350" s="22"/>
      <c r="E1350" s="22"/>
      <c r="F1350" s="22"/>
      <c r="G1350" s="23"/>
      <c r="H1350" s="24" t="str">
        <f aca="false">IF(G1350="","",ROUND((Config!$C$4-G1350)/365.25,2))</f>
        <v/>
      </c>
      <c r="I1350" s="25" t="str">
        <f aca="false">IF(H1350="","",IF(H1350&lt;=1,"Tramo 1",IF(H1350&lt;=3,"Tramo 2",IF(H1350&lt;=5,"Tramo 3","Tramo 4"))))</f>
        <v/>
      </c>
      <c r="J1350" s="22"/>
      <c r="K1350" s="22"/>
      <c r="L1350" s="22"/>
      <c r="M1350" s="26"/>
      <c r="N1350" s="22"/>
      <c r="O1350" s="22"/>
      <c r="P1350" s="25" t="str">
        <f aca="false">IF(OR(O1350="",O1350="Sin información"),"",IFERROR(INDEX(Listas!$B$2:$B$9,MATCH(O1350,Listas!$A$2:$A$9,0)),""))</f>
        <v/>
      </c>
      <c r="Q1350" s="25" t="str">
        <f aca="false">IF(OR(O1350="",O1350="Sin información"),"",IFERROR(INDEX(Listas!$C$2:$C$9,MATCH(O1350,Listas!$A$2:$A$9,0)),""))</f>
        <v/>
      </c>
      <c r="R1350" s="22"/>
      <c r="S1350" s="22"/>
      <c r="T1350" s="25" t="str">
        <f aca="false">IF(S1350="","",IFERROR(INDEX(Empleadores!$B$2:$B$601,MATCH(S1350,Empleadores!$A$2:$A$601,0)),"No encontrado"))</f>
        <v/>
      </c>
      <c r="U1350" s="25" t="str">
        <f aca="false">IF(C1350="","",IF(V1350="","No",IF(Config!$C$4-V1350&lt;=Config!$C$15,"Sí","No")))</f>
        <v/>
      </c>
      <c r="V1350" s="23"/>
      <c r="W1350" s="22"/>
      <c r="X1350" s="22"/>
      <c r="Y1350" s="22"/>
      <c r="Z1350" s="27"/>
      <c r="AA1350" s="22"/>
      <c r="AB1350" s="22"/>
    </row>
    <row r="1351" customFormat="false" ht="15" hidden="false" customHeight="false" outlineLevel="0" collapsed="false">
      <c r="A1351" s="22"/>
      <c r="B1351" s="22"/>
      <c r="C1351" s="22"/>
      <c r="D1351" s="22"/>
      <c r="E1351" s="22"/>
      <c r="F1351" s="22"/>
      <c r="G1351" s="23"/>
      <c r="H1351" s="24" t="str">
        <f aca="false">IF(G1351="","",ROUND((Config!$C$4-G1351)/365.25,2))</f>
        <v/>
      </c>
      <c r="I1351" s="25" t="str">
        <f aca="false">IF(H1351="","",IF(H1351&lt;=1,"Tramo 1",IF(H1351&lt;=3,"Tramo 2",IF(H1351&lt;=5,"Tramo 3","Tramo 4"))))</f>
        <v/>
      </c>
      <c r="J1351" s="22"/>
      <c r="K1351" s="22"/>
      <c r="L1351" s="22"/>
      <c r="M1351" s="26"/>
      <c r="N1351" s="22"/>
      <c r="O1351" s="22"/>
      <c r="P1351" s="25" t="str">
        <f aca="false">IF(OR(O1351="",O1351="Sin información"),"",IFERROR(INDEX(Listas!$B$2:$B$9,MATCH(O1351,Listas!$A$2:$A$9,0)),""))</f>
        <v/>
      </c>
      <c r="Q1351" s="25" t="str">
        <f aca="false">IF(OR(O1351="",O1351="Sin información"),"",IFERROR(INDEX(Listas!$C$2:$C$9,MATCH(O1351,Listas!$A$2:$A$9,0)),""))</f>
        <v/>
      </c>
      <c r="R1351" s="22"/>
      <c r="S1351" s="22"/>
      <c r="T1351" s="25" t="str">
        <f aca="false">IF(S1351="","",IFERROR(INDEX(Empleadores!$B$2:$B$601,MATCH(S1351,Empleadores!$A$2:$A$601,0)),"No encontrado"))</f>
        <v/>
      </c>
      <c r="U1351" s="25" t="str">
        <f aca="false">IF(C1351="","",IF(V1351="","No",IF(Config!$C$4-V1351&lt;=Config!$C$15,"Sí","No")))</f>
        <v/>
      </c>
      <c r="V1351" s="23"/>
      <c r="W1351" s="22"/>
      <c r="X1351" s="22"/>
      <c r="Y1351" s="22"/>
      <c r="Z1351" s="27"/>
      <c r="AA1351" s="22"/>
      <c r="AB1351" s="22"/>
    </row>
    <row r="1352" customFormat="false" ht="15" hidden="false" customHeight="false" outlineLevel="0" collapsed="false">
      <c r="A1352" s="22"/>
      <c r="B1352" s="22"/>
      <c r="C1352" s="22"/>
      <c r="D1352" s="22"/>
      <c r="E1352" s="22"/>
      <c r="F1352" s="22"/>
      <c r="G1352" s="23"/>
      <c r="H1352" s="24" t="str">
        <f aca="false">IF(G1352="","",ROUND((Config!$C$4-G1352)/365.25,2))</f>
        <v/>
      </c>
      <c r="I1352" s="25" t="str">
        <f aca="false">IF(H1352="","",IF(H1352&lt;=1,"Tramo 1",IF(H1352&lt;=3,"Tramo 2",IF(H1352&lt;=5,"Tramo 3","Tramo 4"))))</f>
        <v/>
      </c>
      <c r="J1352" s="22"/>
      <c r="K1352" s="22"/>
      <c r="L1352" s="22"/>
      <c r="M1352" s="26"/>
      <c r="N1352" s="22"/>
      <c r="O1352" s="22"/>
      <c r="P1352" s="25" t="str">
        <f aca="false">IF(OR(O1352="",O1352="Sin información"),"",IFERROR(INDEX(Listas!$B$2:$B$9,MATCH(O1352,Listas!$A$2:$A$9,0)),""))</f>
        <v/>
      </c>
      <c r="Q1352" s="25" t="str">
        <f aca="false">IF(OR(O1352="",O1352="Sin información"),"",IFERROR(INDEX(Listas!$C$2:$C$9,MATCH(O1352,Listas!$A$2:$A$9,0)),""))</f>
        <v/>
      </c>
      <c r="R1352" s="22"/>
      <c r="S1352" s="22"/>
      <c r="T1352" s="25" t="str">
        <f aca="false">IF(S1352="","",IFERROR(INDEX(Empleadores!$B$2:$B$601,MATCH(S1352,Empleadores!$A$2:$A$601,0)),"No encontrado"))</f>
        <v/>
      </c>
      <c r="U1352" s="25" t="str">
        <f aca="false">IF(C1352="","",IF(V1352="","No",IF(Config!$C$4-V1352&lt;=Config!$C$15,"Sí","No")))</f>
        <v/>
      </c>
      <c r="V1352" s="23"/>
      <c r="W1352" s="22"/>
      <c r="X1352" s="22"/>
      <c r="Y1352" s="22"/>
      <c r="Z1352" s="27"/>
      <c r="AA1352" s="22"/>
      <c r="AB1352" s="22"/>
    </row>
    <row r="1353" customFormat="false" ht="15" hidden="false" customHeight="false" outlineLevel="0" collapsed="false">
      <c r="A1353" s="22"/>
      <c r="B1353" s="22"/>
      <c r="C1353" s="22"/>
      <c r="D1353" s="22"/>
      <c r="E1353" s="22"/>
      <c r="F1353" s="22"/>
      <c r="G1353" s="23"/>
      <c r="H1353" s="24" t="str">
        <f aca="false">IF(G1353="","",ROUND((Config!$C$4-G1353)/365.25,2))</f>
        <v/>
      </c>
      <c r="I1353" s="25" t="str">
        <f aca="false">IF(H1353="","",IF(H1353&lt;=1,"Tramo 1",IF(H1353&lt;=3,"Tramo 2",IF(H1353&lt;=5,"Tramo 3","Tramo 4"))))</f>
        <v/>
      </c>
      <c r="J1353" s="22"/>
      <c r="K1353" s="22"/>
      <c r="L1353" s="22"/>
      <c r="M1353" s="26"/>
      <c r="N1353" s="22"/>
      <c r="O1353" s="22"/>
      <c r="P1353" s="25" t="str">
        <f aca="false">IF(OR(O1353="",O1353="Sin información"),"",IFERROR(INDEX(Listas!$B$2:$B$9,MATCH(O1353,Listas!$A$2:$A$9,0)),""))</f>
        <v/>
      </c>
      <c r="Q1353" s="25" t="str">
        <f aca="false">IF(OR(O1353="",O1353="Sin información"),"",IFERROR(INDEX(Listas!$C$2:$C$9,MATCH(O1353,Listas!$A$2:$A$9,0)),""))</f>
        <v/>
      </c>
      <c r="R1353" s="22"/>
      <c r="S1353" s="22"/>
      <c r="T1353" s="25" t="str">
        <f aca="false">IF(S1353="","",IFERROR(INDEX(Empleadores!$B$2:$B$601,MATCH(S1353,Empleadores!$A$2:$A$601,0)),"No encontrado"))</f>
        <v/>
      </c>
      <c r="U1353" s="25" t="str">
        <f aca="false">IF(C1353="","",IF(V1353="","No",IF(Config!$C$4-V1353&lt;=Config!$C$15,"Sí","No")))</f>
        <v/>
      </c>
      <c r="V1353" s="23"/>
      <c r="W1353" s="22"/>
      <c r="X1353" s="22"/>
      <c r="Y1353" s="22"/>
      <c r="Z1353" s="27"/>
      <c r="AA1353" s="22"/>
      <c r="AB1353" s="22"/>
    </row>
    <row r="1354" customFormat="false" ht="15" hidden="false" customHeight="false" outlineLevel="0" collapsed="false">
      <c r="A1354" s="22"/>
      <c r="B1354" s="22"/>
      <c r="C1354" s="22"/>
      <c r="D1354" s="22"/>
      <c r="E1354" s="22"/>
      <c r="F1354" s="22"/>
      <c r="G1354" s="23"/>
      <c r="H1354" s="24" t="str">
        <f aca="false">IF(G1354="","",ROUND((Config!$C$4-G1354)/365.25,2))</f>
        <v/>
      </c>
      <c r="I1354" s="25" t="str">
        <f aca="false">IF(H1354="","",IF(H1354&lt;=1,"Tramo 1",IF(H1354&lt;=3,"Tramo 2",IF(H1354&lt;=5,"Tramo 3","Tramo 4"))))</f>
        <v/>
      </c>
      <c r="J1354" s="22"/>
      <c r="K1354" s="22"/>
      <c r="L1354" s="22"/>
      <c r="M1354" s="26"/>
      <c r="N1354" s="22"/>
      <c r="O1354" s="22"/>
      <c r="P1354" s="25" t="str">
        <f aca="false">IF(OR(O1354="",O1354="Sin información"),"",IFERROR(INDEX(Listas!$B$2:$B$9,MATCH(O1354,Listas!$A$2:$A$9,0)),""))</f>
        <v/>
      </c>
      <c r="Q1354" s="25" t="str">
        <f aca="false">IF(OR(O1354="",O1354="Sin información"),"",IFERROR(INDEX(Listas!$C$2:$C$9,MATCH(O1354,Listas!$A$2:$A$9,0)),""))</f>
        <v/>
      </c>
      <c r="R1354" s="22"/>
      <c r="S1354" s="22"/>
      <c r="T1354" s="25" t="str">
        <f aca="false">IF(S1354="","",IFERROR(INDEX(Empleadores!$B$2:$B$601,MATCH(S1354,Empleadores!$A$2:$A$601,0)),"No encontrado"))</f>
        <v/>
      </c>
      <c r="U1354" s="25" t="str">
        <f aca="false">IF(C1354="","",IF(V1354="","No",IF(Config!$C$4-V1354&lt;=Config!$C$15,"Sí","No")))</f>
        <v/>
      </c>
      <c r="V1354" s="23"/>
      <c r="W1354" s="22"/>
      <c r="X1354" s="22"/>
      <c r="Y1354" s="22"/>
      <c r="Z1354" s="27"/>
      <c r="AA1354" s="22"/>
      <c r="AB1354" s="22"/>
    </row>
    <row r="1355" customFormat="false" ht="15" hidden="false" customHeight="false" outlineLevel="0" collapsed="false">
      <c r="A1355" s="22"/>
      <c r="B1355" s="22"/>
      <c r="C1355" s="22"/>
      <c r="D1355" s="22"/>
      <c r="E1355" s="22"/>
      <c r="F1355" s="22"/>
      <c r="G1355" s="23"/>
      <c r="H1355" s="24" t="str">
        <f aca="false">IF(G1355="","",ROUND((Config!$C$4-G1355)/365.25,2))</f>
        <v/>
      </c>
      <c r="I1355" s="25" t="str">
        <f aca="false">IF(H1355="","",IF(H1355&lt;=1,"Tramo 1",IF(H1355&lt;=3,"Tramo 2",IF(H1355&lt;=5,"Tramo 3","Tramo 4"))))</f>
        <v/>
      </c>
      <c r="J1355" s="22"/>
      <c r="K1355" s="22"/>
      <c r="L1355" s="22"/>
      <c r="M1355" s="26"/>
      <c r="N1355" s="22"/>
      <c r="O1355" s="22"/>
      <c r="P1355" s="25" t="str">
        <f aca="false">IF(OR(O1355="",O1355="Sin información"),"",IFERROR(INDEX(Listas!$B$2:$B$9,MATCH(O1355,Listas!$A$2:$A$9,0)),""))</f>
        <v/>
      </c>
      <c r="Q1355" s="25" t="str">
        <f aca="false">IF(OR(O1355="",O1355="Sin información"),"",IFERROR(INDEX(Listas!$C$2:$C$9,MATCH(O1355,Listas!$A$2:$A$9,0)),""))</f>
        <v/>
      </c>
      <c r="R1355" s="22"/>
      <c r="S1355" s="22"/>
      <c r="T1355" s="25" t="str">
        <f aca="false">IF(S1355="","",IFERROR(INDEX(Empleadores!$B$2:$B$601,MATCH(S1355,Empleadores!$A$2:$A$601,0)),"No encontrado"))</f>
        <v/>
      </c>
      <c r="U1355" s="25" t="str">
        <f aca="false">IF(C1355="","",IF(V1355="","No",IF(Config!$C$4-V1355&lt;=Config!$C$15,"Sí","No")))</f>
        <v/>
      </c>
      <c r="V1355" s="23"/>
      <c r="W1355" s="22"/>
      <c r="X1355" s="22"/>
      <c r="Y1355" s="22"/>
      <c r="Z1355" s="27"/>
      <c r="AA1355" s="22"/>
      <c r="AB1355" s="22"/>
    </row>
    <row r="1356" customFormat="false" ht="15" hidden="false" customHeight="false" outlineLevel="0" collapsed="false">
      <c r="A1356" s="22"/>
      <c r="B1356" s="22"/>
      <c r="C1356" s="22"/>
      <c r="D1356" s="22"/>
      <c r="E1356" s="22"/>
      <c r="F1356" s="22"/>
      <c r="G1356" s="23"/>
      <c r="H1356" s="24" t="str">
        <f aca="false">IF(G1356="","",ROUND((Config!$C$4-G1356)/365.25,2))</f>
        <v/>
      </c>
      <c r="I1356" s="25" t="str">
        <f aca="false">IF(H1356="","",IF(H1356&lt;=1,"Tramo 1",IF(H1356&lt;=3,"Tramo 2",IF(H1356&lt;=5,"Tramo 3","Tramo 4"))))</f>
        <v/>
      </c>
      <c r="J1356" s="22"/>
      <c r="K1356" s="22"/>
      <c r="L1356" s="22"/>
      <c r="M1356" s="26"/>
      <c r="N1356" s="22"/>
      <c r="O1356" s="22"/>
      <c r="P1356" s="25" t="str">
        <f aca="false">IF(OR(O1356="",O1356="Sin información"),"",IFERROR(INDEX(Listas!$B$2:$B$9,MATCH(O1356,Listas!$A$2:$A$9,0)),""))</f>
        <v/>
      </c>
      <c r="Q1356" s="25" t="str">
        <f aca="false">IF(OR(O1356="",O1356="Sin información"),"",IFERROR(INDEX(Listas!$C$2:$C$9,MATCH(O1356,Listas!$A$2:$A$9,0)),""))</f>
        <v/>
      </c>
      <c r="R1356" s="22"/>
      <c r="S1356" s="22"/>
      <c r="T1356" s="25" t="str">
        <f aca="false">IF(S1356="","",IFERROR(INDEX(Empleadores!$B$2:$B$601,MATCH(S1356,Empleadores!$A$2:$A$601,0)),"No encontrado"))</f>
        <v/>
      </c>
      <c r="U1356" s="25" t="str">
        <f aca="false">IF(C1356="","",IF(V1356="","No",IF(Config!$C$4-V1356&lt;=Config!$C$15,"Sí","No")))</f>
        <v/>
      </c>
      <c r="V1356" s="23"/>
      <c r="W1356" s="22"/>
      <c r="X1356" s="22"/>
      <c r="Y1356" s="22"/>
      <c r="Z1356" s="27"/>
      <c r="AA1356" s="22"/>
      <c r="AB1356" s="22"/>
    </row>
    <row r="1357" customFormat="false" ht="15" hidden="false" customHeight="false" outlineLevel="0" collapsed="false">
      <c r="A1357" s="22"/>
      <c r="B1357" s="22"/>
      <c r="C1357" s="22"/>
      <c r="D1357" s="22"/>
      <c r="E1357" s="22"/>
      <c r="F1357" s="22"/>
      <c r="G1357" s="23"/>
      <c r="H1357" s="24" t="str">
        <f aca="false">IF(G1357="","",ROUND((Config!$C$4-G1357)/365.25,2))</f>
        <v/>
      </c>
      <c r="I1357" s="25" t="str">
        <f aca="false">IF(H1357="","",IF(H1357&lt;=1,"Tramo 1",IF(H1357&lt;=3,"Tramo 2",IF(H1357&lt;=5,"Tramo 3","Tramo 4"))))</f>
        <v/>
      </c>
      <c r="J1357" s="22"/>
      <c r="K1357" s="22"/>
      <c r="L1357" s="22"/>
      <c r="M1357" s="26"/>
      <c r="N1357" s="22"/>
      <c r="O1357" s="22"/>
      <c r="P1357" s="25" t="str">
        <f aca="false">IF(OR(O1357="",O1357="Sin información"),"",IFERROR(INDEX(Listas!$B$2:$B$9,MATCH(O1357,Listas!$A$2:$A$9,0)),""))</f>
        <v/>
      </c>
      <c r="Q1357" s="25" t="str">
        <f aca="false">IF(OR(O1357="",O1357="Sin información"),"",IFERROR(INDEX(Listas!$C$2:$C$9,MATCH(O1357,Listas!$A$2:$A$9,0)),""))</f>
        <v/>
      </c>
      <c r="R1357" s="22"/>
      <c r="S1357" s="22"/>
      <c r="T1357" s="25" t="str">
        <f aca="false">IF(S1357="","",IFERROR(INDEX(Empleadores!$B$2:$B$601,MATCH(S1357,Empleadores!$A$2:$A$601,0)),"No encontrado"))</f>
        <v/>
      </c>
      <c r="U1357" s="25" t="str">
        <f aca="false">IF(C1357="","",IF(V1357="","No",IF(Config!$C$4-V1357&lt;=Config!$C$15,"Sí","No")))</f>
        <v/>
      </c>
      <c r="V1357" s="23"/>
      <c r="W1357" s="22"/>
      <c r="X1357" s="22"/>
      <c r="Y1357" s="22"/>
      <c r="Z1357" s="27"/>
      <c r="AA1357" s="22"/>
      <c r="AB1357" s="22"/>
    </row>
    <row r="1358" customFormat="false" ht="15" hidden="false" customHeight="false" outlineLevel="0" collapsed="false">
      <c r="A1358" s="22"/>
      <c r="B1358" s="22"/>
      <c r="C1358" s="22"/>
      <c r="D1358" s="22"/>
      <c r="E1358" s="22"/>
      <c r="F1358" s="22"/>
      <c r="G1358" s="23"/>
      <c r="H1358" s="24" t="str">
        <f aca="false">IF(G1358="","",ROUND((Config!$C$4-G1358)/365.25,2))</f>
        <v/>
      </c>
      <c r="I1358" s="25" t="str">
        <f aca="false">IF(H1358="","",IF(H1358&lt;=1,"Tramo 1",IF(H1358&lt;=3,"Tramo 2",IF(H1358&lt;=5,"Tramo 3","Tramo 4"))))</f>
        <v/>
      </c>
      <c r="J1358" s="22"/>
      <c r="K1358" s="22"/>
      <c r="L1358" s="22"/>
      <c r="M1358" s="26"/>
      <c r="N1358" s="22"/>
      <c r="O1358" s="22"/>
      <c r="P1358" s="25" t="str">
        <f aca="false">IF(OR(O1358="",O1358="Sin información"),"",IFERROR(INDEX(Listas!$B$2:$B$9,MATCH(O1358,Listas!$A$2:$A$9,0)),""))</f>
        <v/>
      </c>
      <c r="Q1358" s="25" t="str">
        <f aca="false">IF(OR(O1358="",O1358="Sin información"),"",IFERROR(INDEX(Listas!$C$2:$C$9,MATCH(O1358,Listas!$A$2:$A$9,0)),""))</f>
        <v/>
      </c>
      <c r="R1358" s="22"/>
      <c r="S1358" s="22"/>
      <c r="T1358" s="25" t="str">
        <f aca="false">IF(S1358="","",IFERROR(INDEX(Empleadores!$B$2:$B$601,MATCH(S1358,Empleadores!$A$2:$A$601,0)),"No encontrado"))</f>
        <v/>
      </c>
      <c r="U1358" s="25" t="str">
        <f aca="false">IF(C1358="","",IF(V1358="","No",IF(Config!$C$4-V1358&lt;=Config!$C$15,"Sí","No")))</f>
        <v/>
      </c>
      <c r="V1358" s="23"/>
      <c r="W1358" s="22"/>
      <c r="X1358" s="22"/>
      <c r="Y1358" s="22"/>
      <c r="Z1358" s="27"/>
      <c r="AA1358" s="22"/>
      <c r="AB1358" s="22"/>
    </row>
    <row r="1359" customFormat="false" ht="15" hidden="false" customHeight="false" outlineLevel="0" collapsed="false">
      <c r="A1359" s="22"/>
      <c r="B1359" s="22"/>
      <c r="C1359" s="22"/>
      <c r="D1359" s="22"/>
      <c r="E1359" s="22"/>
      <c r="F1359" s="22"/>
      <c r="G1359" s="23"/>
      <c r="H1359" s="24" t="str">
        <f aca="false">IF(G1359="","",ROUND((Config!$C$4-G1359)/365.25,2))</f>
        <v/>
      </c>
      <c r="I1359" s="25" t="str">
        <f aca="false">IF(H1359="","",IF(H1359&lt;=1,"Tramo 1",IF(H1359&lt;=3,"Tramo 2",IF(H1359&lt;=5,"Tramo 3","Tramo 4"))))</f>
        <v/>
      </c>
      <c r="J1359" s="22"/>
      <c r="K1359" s="22"/>
      <c r="L1359" s="22"/>
      <c r="M1359" s="26"/>
      <c r="N1359" s="22"/>
      <c r="O1359" s="22"/>
      <c r="P1359" s="25" t="str">
        <f aca="false">IF(OR(O1359="",O1359="Sin información"),"",IFERROR(INDEX(Listas!$B$2:$B$9,MATCH(O1359,Listas!$A$2:$A$9,0)),""))</f>
        <v/>
      </c>
      <c r="Q1359" s="25" t="str">
        <f aca="false">IF(OR(O1359="",O1359="Sin información"),"",IFERROR(INDEX(Listas!$C$2:$C$9,MATCH(O1359,Listas!$A$2:$A$9,0)),""))</f>
        <v/>
      </c>
      <c r="R1359" s="22"/>
      <c r="S1359" s="22"/>
      <c r="T1359" s="25" t="str">
        <f aca="false">IF(S1359="","",IFERROR(INDEX(Empleadores!$B$2:$B$601,MATCH(S1359,Empleadores!$A$2:$A$601,0)),"No encontrado"))</f>
        <v/>
      </c>
      <c r="U1359" s="25" t="str">
        <f aca="false">IF(C1359="","",IF(V1359="","No",IF(Config!$C$4-V1359&lt;=Config!$C$15,"Sí","No")))</f>
        <v/>
      </c>
      <c r="V1359" s="23"/>
      <c r="W1359" s="22"/>
      <c r="X1359" s="22"/>
      <c r="Y1359" s="22"/>
      <c r="Z1359" s="27"/>
      <c r="AA1359" s="22"/>
      <c r="AB1359" s="22"/>
    </row>
    <row r="1360" customFormat="false" ht="15" hidden="false" customHeight="false" outlineLevel="0" collapsed="false">
      <c r="A1360" s="22"/>
      <c r="B1360" s="22"/>
      <c r="C1360" s="22"/>
      <c r="D1360" s="22"/>
      <c r="E1360" s="22"/>
      <c r="F1360" s="22"/>
      <c r="G1360" s="23"/>
      <c r="H1360" s="24" t="str">
        <f aca="false">IF(G1360="","",ROUND((Config!$C$4-G1360)/365.25,2))</f>
        <v/>
      </c>
      <c r="I1360" s="25" t="str">
        <f aca="false">IF(H1360="","",IF(H1360&lt;=1,"Tramo 1",IF(H1360&lt;=3,"Tramo 2",IF(H1360&lt;=5,"Tramo 3","Tramo 4"))))</f>
        <v/>
      </c>
      <c r="J1360" s="22"/>
      <c r="K1360" s="22"/>
      <c r="L1360" s="22"/>
      <c r="M1360" s="26"/>
      <c r="N1360" s="22"/>
      <c r="O1360" s="22"/>
      <c r="P1360" s="25" t="str">
        <f aca="false">IF(OR(O1360="",O1360="Sin información"),"",IFERROR(INDEX(Listas!$B$2:$B$9,MATCH(O1360,Listas!$A$2:$A$9,0)),""))</f>
        <v/>
      </c>
      <c r="Q1360" s="25" t="str">
        <f aca="false">IF(OR(O1360="",O1360="Sin información"),"",IFERROR(INDEX(Listas!$C$2:$C$9,MATCH(O1360,Listas!$A$2:$A$9,0)),""))</f>
        <v/>
      </c>
      <c r="R1360" s="22"/>
      <c r="S1360" s="22"/>
      <c r="T1360" s="25" t="str">
        <f aca="false">IF(S1360="","",IFERROR(INDEX(Empleadores!$B$2:$B$601,MATCH(S1360,Empleadores!$A$2:$A$601,0)),"No encontrado"))</f>
        <v/>
      </c>
      <c r="U1360" s="25" t="str">
        <f aca="false">IF(C1360="","",IF(V1360="","No",IF(Config!$C$4-V1360&lt;=Config!$C$15,"Sí","No")))</f>
        <v/>
      </c>
      <c r="V1360" s="23"/>
      <c r="W1360" s="22"/>
      <c r="X1360" s="22"/>
      <c r="Y1360" s="22"/>
      <c r="Z1360" s="27"/>
      <c r="AA1360" s="22"/>
      <c r="AB1360" s="22"/>
    </row>
    <row r="1361" customFormat="false" ht="15" hidden="false" customHeight="false" outlineLevel="0" collapsed="false">
      <c r="A1361" s="22"/>
      <c r="B1361" s="22"/>
      <c r="C1361" s="22"/>
      <c r="D1361" s="22"/>
      <c r="E1361" s="22"/>
      <c r="F1361" s="22"/>
      <c r="G1361" s="23"/>
      <c r="H1361" s="24" t="str">
        <f aca="false">IF(G1361="","",ROUND((Config!$C$4-G1361)/365.25,2))</f>
        <v/>
      </c>
      <c r="I1361" s="25" t="str">
        <f aca="false">IF(H1361="","",IF(H1361&lt;=1,"Tramo 1",IF(H1361&lt;=3,"Tramo 2",IF(H1361&lt;=5,"Tramo 3","Tramo 4"))))</f>
        <v/>
      </c>
      <c r="J1361" s="22"/>
      <c r="K1361" s="22"/>
      <c r="L1361" s="22"/>
      <c r="M1361" s="26"/>
      <c r="N1361" s="22"/>
      <c r="O1361" s="22"/>
      <c r="P1361" s="25" t="str">
        <f aca="false">IF(OR(O1361="",O1361="Sin información"),"",IFERROR(INDEX(Listas!$B$2:$B$9,MATCH(O1361,Listas!$A$2:$A$9,0)),""))</f>
        <v/>
      </c>
      <c r="Q1361" s="25" t="str">
        <f aca="false">IF(OR(O1361="",O1361="Sin información"),"",IFERROR(INDEX(Listas!$C$2:$C$9,MATCH(O1361,Listas!$A$2:$A$9,0)),""))</f>
        <v/>
      </c>
      <c r="R1361" s="22"/>
      <c r="S1361" s="22"/>
      <c r="T1361" s="25" t="str">
        <f aca="false">IF(S1361="","",IFERROR(INDEX(Empleadores!$B$2:$B$601,MATCH(S1361,Empleadores!$A$2:$A$601,0)),"No encontrado"))</f>
        <v/>
      </c>
      <c r="U1361" s="25" t="str">
        <f aca="false">IF(C1361="","",IF(V1361="","No",IF(Config!$C$4-V1361&lt;=Config!$C$15,"Sí","No")))</f>
        <v/>
      </c>
      <c r="V1361" s="23"/>
      <c r="W1361" s="22"/>
      <c r="X1361" s="22"/>
      <c r="Y1361" s="22"/>
      <c r="Z1361" s="27"/>
      <c r="AA1361" s="22"/>
      <c r="AB1361" s="22"/>
    </row>
    <row r="1362" customFormat="false" ht="15" hidden="false" customHeight="false" outlineLevel="0" collapsed="false">
      <c r="A1362" s="22"/>
      <c r="B1362" s="22"/>
      <c r="C1362" s="22"/>
      <c r="D1362" s="22"/>
      <c r="E1362" s="22"/>
      <c r="F1362" s="22"/>
      <c r="G1362" s="23"/>
      <c r="H1362" s="24" t="str">
        <f aca="false">IF(G1362="","",ROUND((Config!$C$4-G1362)/365.25,2))</f>
        <v/>
      </c>
      <c r="I1362" s="25" t="str">
        <f aca="false">IF(H1362="","",IF(H1362&lt;=1,"Tramo 1",IF(H1362&lt;=3,"Tramo 2",IF(H1362&lt;=5,"Tramo 3","Tramo 4"))))</f>
        <v/>
      </c>
      <c r="J1362" s="22"/>
      <c r="K1362" s="22"/>
      <c r="L1362" s="22"/>
      <c r="M1362" s="26"/>
      <c r="N1362" s="22"/>
      <c r="O1362" s="22"/>
      <c r="P1362" s="25" t="str">
        <f aca="false">IF(OR(O1362="",O1362="Sin información"),"",IFERROR(INDEX(Listas!$B$2:$B$9,MATCH(O1362,Listas!$A$2:$A$9,0)),""))</f>
        <v/>
      </c>
      <c r="Q1362" s="25" t="str">
        <f aca="false">IF(OR(O1362="",O1362="Sin información"),"",IFERROR(INDEX(Listas!$C$2:$C$9,MATCH(O1362,Listas!$A$2:$A$9,0)),""))</f>
        <v/>
      </c>
      <c r="R1362" s="22"/>
      <c r="S1362" s="22"/>
      <c r="T1362" s="25" t="str">
        <f aca="false">IF(S1362="","",IFERROR(INDEX(Empleadores!$B$2:$B$601,MATCH(S1362,Empleadores!$A$2:$A$601,0)),"No encontrado"))</f>
        <v/>
      </c>
      <c r="U1362" s="25" t="str">
        <f aca="false">IF(C1362="","",IF(V1362="","No",IF(Config!$C$4-V1362&lt;=Config!$C$15,"Sí","No")))</f>
        <v/>
      </c>
      <c r="V1362" s="23"/>
      <c r="W1362" s="22"/>
      <c r="X1362" s="22"/>
      <c r="Y1362" s="22"/>
      <c r="Z1362" s="27"/>
      <c r="AA1362" s="22"/>
      <c r="AB1362" s="22"/>
    </row>
    <row r="1363" customFormat="false" ht="15" hidden="false" customHeight="false" outlineLevel="0" collapsed="false">
      <c r="A1363" s="22"/>
      <c r="B1363" s="22"/>
      <c r="C1363" s="22"/>
      <c r="D1363" s="22"/>
      <c r="E1363" s="22"/>
      <c r="F1363" s="22"/>
      <c r="G1363" s="23"/>
      <c r="H1363" s="24" t="str">
        <f aca="false">IF(G1363="","",ROUND((Config!$C$4-G1363)/365.25,2))</f>
        <v/>
      </c>
      <c r="I1363" s="25" t="str">
        <f aca="false">IF(H1363="","",IF(H1363&lt;=1,"Tramo 1",IF(H1363&lt;=3,"Tramo 2",IF(H1363&lt;=5,"Tramo 3","Tramo 4"))))</f>
        <v/>
      </c>
      <c r="J1363" s="22"/>
      <c r="K1363" s="22"/>
      <c r="L1363" s="22"/>
      <c r="M1363" s="26"/>
      <c r="N1363" s="22"/>
      <c r="O1363" s="22"/>
      <c r="P1363" s="25" t="str">
        <f aca="false">IF(OR(O1363="",O1363="Sin información"),"",IFERROR(INDEX(Listas!$B$2:$B$9,MATCH(O1363,Listas!$A$2:$A$9,0)),""))</f>
        <v/>
      </c>
      <c r="Q1363" s="25" t="str">
        <f aca="false">IF(OR(O1363="",O1363="Sin información"),"",IFERROR(INDEX(Listas!$C$2:$C$9,MATCH(O1363,Listas!$A$2:$A$9,0)),""))</f>
        <v/>
      </c>
      <c r="R1363" s="22"/>
      <c r="S1363" s="22"/>
      <c r="T1363" s="25" t="str">
        <f aca="false">IF(S1363="","",IFERROR(INDEX(Empleadores!$B$2:$B$601,MATCH(S1363,Empleadores!$A$2:$A$601,0)),"No encontrado"))</f>
        <v/>
      </c>
      <c r="U1363" s="25" t="str">
        <f aca="false">IF(C1363="","",IF(V1363="","No",IF(Config!$C$4-V1363&lt;=Config!$C$15,"Sí","No")))</f>
        <v/>
      </c>
      <c r="V1363" s="23"/>
      <c r="W1363" s="22"/>
      <c r="X1363" s="22"/>
      <c r="Y1363" s="22"/>
      <c r="Z1363" s="27"/>
      <c r="AA1363" s="22"/>
      <c r="AB1363" s="22"/>
    </row>
    <row r="1364" customFormat="false" ht="15" hidden="false" customHeight="false" outlineLevel="0" collapsed="false">
      <c r="A1364" s="22"/>
      <c r="B1364" s="22"/>
      <c r="C1364" s="22"/>
      <c r="D1364" s="22"/>
      <c r="E1364" s="22"/>
      <c r="F1364" s="22"/>
      <c r="G1364" s="23"/>
      <c r="H1364" s="24" t="str">
        <f aca="false">IF(G1364="","",ROUND((Config!$C$4-G1364)/365.25,2))</f>
        <v/>
      </c>
      <c r="I1364" s="25" t="str">
        <f aca="false">IF(H1364="","",IF(H1364&lt;=1,"Tramo 1",IF(H1364&lt;=3,"Tramo 2",IF(H1364&lt;=5,"Tramo 3","Tramo 4"))))</f>
        <v/>
      </c>
      <c r="J1364" s="22"/>
      <c r="K1364" s="22"/>
      <c r="L1364" s="22"/>
      <c r="M1364" s="26"/>
      <c r="N1364" s="22"/>
      <c r="O1364" s="22"/>
      <c r="P1364" s="25" t="str">
        <f aca="false">IF(OR(O1364="",O1364="Sin información"),"",IFERROR(INDEX(Listas!$B$2:$B$9,MATCH(O1364,Listas!$A$2:$A$9,0)),""))</f>
        <v/>
      </c>
      <c r="Q1364" s="25" t="str">
        <f aca="false">IF(OR(O1364="",O1364="Sin información"),"",IFERROR(INDEX(Listas!$C$2:$C$9,MATCH(O1364,Listas!$A$2:$A$9,0)),""))</f>
        <v/>
      </c>
      <c r="R1364" s="22"/>
      <c r="S1364" s="22"/>
      <c r="T1364" s="25" t="str">
        <f aca="false">IF(S1364="","",IFERROR(INDEX(Empleadores!$B$2:$B$601,MATCH(S1364,Empleadores!$A$2:$A$601,0)),"No encontrado"))</f>
        <v/>
      </c>
      <c r="U1364" s="25" t="str">
        <f aca="false">IF(C1364="","",IF(V1364="","No",IF(Config!$C$4-V1364&lt;=Config!$C$15,"Sí","No")))</f>
        <v/>
      </c>
      <c r="V1364" s="23"/>
      <c r="W1364" s="22"/>
      <c r="X1364" s="22"/>
      <c r="Y1364" s="22"/>
      <c r="Z1364" s="27"/>
      <c r="AA1364" s="22"/>
      <c r="AB1364" s="22"/>
    </row>
    <row r="1365" customFormat="false" ht="15" hidden="false" customHeight="false" outlineLevel="0" collapsed="false">
      <c r="A1365" s="22"/>
      <c r="B1365" s="22"/>
      <c r="C1365" s="22"/>
      <c r="D1365" s="22"/>
      <c r="E1365" s="22"/>
      <c r="F1365" s="22"/>
      <c r="G1365" s="23"/>
      <c r="H1365" s="24" t="str">
        <f aca="false">IF(G1365="","",ROUND((Config!$C$4-G1365)/365.25,2))</f>
        <v/>
      </c>
      <c r="I1365" s="25" t="str">
        <f aca="false">IF(H1365="","",IF(H1365&lt;=1,"Tramo 1",IF(H1365&lt;=3,"Tramo 2",IF(H1365&lt;=5,"Tramo 3","Tramo 4"))))</f>
        <v/>
      </c>
      <c r="J1365" s="22"/>
      <c r="K1365" s="22"/>
      <c r="L1365" s="22"/>
      <c r="M1365" s="26"/>
      <c r="N1365" s="22"/>
      <c r="O1365" s="22"/>
      <c r="P1365" s="25" t="str">
        <f aca="false">IF(OR(O1365="",O1365="Sin información"),"",IFERROR(INDEX(Listas!$B$2:$B$9,MATCH(O1365,Listas!$A$2:$A$9,0)),""))</f>
        <v/>
      </c>
      <c r="Q1365" s="25" t="str">
        <f aca="false">IF(OR(O1365="",O1365="Sin información"),"",IFERROR(INDEX(Listas!$C$2:$C$9,MATCH(O1365,Listas!$A$2:$A$9,0)),""))</f>
        <v/>
      </c>
      <c r="R1365" s="22"/>
      <c r="S1365" s="22"/>
      <c r="T1365" s="25" t="str">
        <f aca="false">IF(S1365="","",IFERROR(INDEX(Empleadores!$B$2:$B$601,MATCH(S1365,Empleadores!$A$2:$A$601,0)),"No encontrado"))</f>
        <v/>
      </c>
      <c r="U1365" s="25" t="str">
        <f aca="false">IF(C1365="","",IF(V1365="","No",IF(Config!$C$4-V1365&lt;=Config!$C$15,"Sí","No")))</f>
        <v/>
      </c>
      <c r="V1365" s="23"/>
      <c r="W1365" s="22"/>
      <c r="X1365" s="22"/>
      <c r="Y1365" s="22"/>
      <c r="Z1365" s="27"/>
      <c r="AA1365" s="22"/>
      <c r="AB1365" s="22"/>
    </row>
    <row r="1366" customFormat="false" ht="15" hidden="false" customHeight="false" outlineLevel="0" collapsed="false">
      <c r="A1366" s="22"/>
      <c r="B1366" s="22"/>
      <c r="C1366" s="22"/>
      <c r="D1366" s="22"/>
      <c r="E1366" s="22"/>
      <c r="F1366" s="22"/>
      <c r="G1366" s="23"/>
      <c r="H1366" s="24" t="str">
        <f aca="false">IF(G1366="","",ROUND((Config!$C$4-G1366)/365.25,2))</f>
        <v/>
      </c>
      <c r="I1366" s="25" t="str">
        <f aca="false">IF(H1366="","",IF(H1366&lt;=1,"Tramo 1",IF(H1366&lt;=3,"Tramo 2",IF(H1366&lt;=5,"Tramo 3","Tramo 4"))))</f>
        <v/>
      </c>
      <c r="J1366" s="22"/>
      <c r="K1366" s="22"/>
      <c r="L1366" s="22"/>
      <c r="M1366" s="26"/>
      <c r="N1366" s="22"/>
      <c r="O1366" s="22"/>
      <c r="P1366" s="25" t="str">
        <f aca="false">IF(OR(O1366="",O1366="Sin información"),"",IFERROR(INDEX(Listas!$B$2:$B$9,MATCH(O1366,Listas!$A$2:$A$9,0)),""))</f>
        <v/>
      </c>
      <c r="Q1366" s="25" t="str">
        <f aca="false">IF(OR(O1366="",O1366="Sin información"),"",IFERROR(INDEX(Listas!$C$2:$C$9,MATCH(O1366,Listas!$A$2:$A$9,0)),""))</f>
        <v/>
      </c>
      <c r="R1366" s="22"/>
      <c r="S1366" s="22"/>
      <c r="T1366" s="25" t="str">
        <f aca="false">IF(S1366="","",IFERROR(INDEX(Empleadores!$B$2:$B$601,MATCH(S1366,Empleadores!$A$2:$A$601,0)),"No encontrado"))</f>
        <v/>
      </c>
      <c r="U1366" s="25" t="str">
        <f aca="false">IF(C1366="","",IF(V1366="","No",IF(Config!$C$4-V1366&lt;=Config!$C$15,"Sí","No")))</f>
        <v/>
      </c>
      <c r="V1366" s="23"/>
      <c r="W1366" s="22"/>
      <c r="X1366" s="22"/>
      <c r="Y1366" s="22"/>
      <c r="Z1366" s="27"/>
      <c r="AA1366" s="22"/>
      <c r="AB1366" s="22"/>
    </row>
    <row r="1367" customFormat="false" ht="15" hidden="false" customHeight="false" outlineLevel="0" collapsed="false">
      <c r="A1367" s="22"/>
      <c r="B1367" s="22"/>
      <c r="C1367" s="22"/>
      <c r="D1367" s="22"/>
      <c r="E1367" s="22"/>
      <c r="F1367" s="22"/>
      <c r="G1367" s="23"/>
      <c r="H1367" s="24" t="str">
        <f aca="false">IF(G1367="","",ROUND((Config!$C$4-G1367)/365.25,2))</f>
        <v/>
      </c>
      <c r="I1367" s="25" t="str">
        <f aca="false">IF(H1367="","",IF(H1367&lt;=1,"Tramo 1",IF(H1367&lt;=3,"Tramo 2",IF(H1367&lt;=5,"Tramo 3","Tramo 4"))))</f>
        <v/>
      </c>
      <c r="J1367" s="22"/>
      <c r="K1367" s="22"/>
      <c r="L1367" s="22"/>
      <c r="M1367" s="26"/>
      <c r="N1367" s="22"/>
      <c r="O1367" s="22"/>
      <c r="P1367" s="25" t="str">
        <f aca="false">IF(OR(O1367="",O1367="Sin información"),"",IFERROR(INDEX(Listas!$B$2:$B$9,MATCH(O1367,Listas!$A$2:$A$9,0)),""))</f>
        <v/>
      </c>
      <c r="Q1367" s="25" t="str">
        <f aca="false">IF(OR(O1367="",O1367="Sin información"),"",IFERROR(INDEX(Listas!$C$2:$C$9,MATCH(O1367,Listas!$A$2:$A$9,0)),""))</f>
        <v/>
      </c>
      <c r="R1367" s="22"/>
      <c r="S1367" s="22"/>
      <c r="T1367" s="25" t="str">
        <f aca="false">IF(S1367="","",IFERROR(INDEX(Empleadores!$B$2:$B$601,MATCH(S1367,Empleadores!$A$2:$A$601,0)),"No encontrado"))</f>
        <v/>
      </c>
      <c r="U1367" s="25" t="str">
        <f aca="false">IF(C1367="","",IF(V1367="","No",IF(Config!$C$4-V1367&lt;=Config!$C$15,"Sí","No")))</f>
        <v/>
      </c>
      <c r="V1367" s="23"/>
      <c r="W1367" s="22"/>
      <c r="X1367" s="22"/>
      <c r="Y1367" s="22"/>
      <c r="Z1367" s="27"/>
      <c r="AA1367" s="22"/>
      <c r="AB1367" s="22"/>
    </row>
    <row r="1368" customFormat="false" ht="15" hidden="false" customHeight="false" outlineLevel="0" collapsed="false">
      <c r="A1368" s="22"/>
      <c r="B1368" s="22"/>
      <c r="C1368" s="22"/>
      <c r="D1368" s="22"/>
      <c r="E1368" s="22"/>
      <c r="F1368" s="22"/>
      <c r="G1368" s="23"/>
      <c r="H1368" s="24" t="str">
        <f aca="false">IF(G1368="","",ROUND((Config!$C$4-G1368)/365.25,2))</f>
        <v/>
      </c>
      <c r="I1368" s="25" t="str">
        <f aca="false">IF(H1368="","",IF(H1368&lt;=1,"Tramo 1",IF(H1368&lt;=3,"Tramo 2",IF(H1368&lt;=5,"Tramo 3","Tramo 4"))))</f>
        <v/>
      </c>
      <c r="J1368" s="22"/>
      <c r="K1368" s="22"/>
      <c r="L1368" s="22"/>
      <c r="M1368" s="26"/>
      <c r="N1368" s="22"/>
      <c r="O1368" s="22"/>
      <c r="P1368" s="25" t="str">
        <f aca="false">IF(OR(O1368="",O1368="Sin información"),"",IFERROR(INDEX(Listas!$B$2:$B$9,MATCH(O1368,Listas!$A$2:$A$9,0)),""))</f>
        <v/>
      </c>
      <c r="Q1368" s="25" t="str">
        <f aca="false">IF(OR(O1368="",O1368="Sin información"),"",IFERROR(INDEX(Listas!$C$2:$C$9,MATCH(O1368,Listas!$A$2:$A$9,0)),""))</f>
        <v/>
      </c>
      <c r="R1368" s="22"/>
      <c r="S1368" s="22"/>
      <c r="T1368" s="25" t="str">
        <f aca="false">IF(S1368="","",IFERROR(INDEX(Empleadores!$B$2:$B$601,MATCH(S1368,Empleadores!$A$2:$A$601,0)),"No encontrado"))</f>
        <v/>
      </c>
      <c r="U1368" s="25" t="str">
        <f aca="false">IF(C1368="","",IF(V1368="","No",IF(Config!$C$4-V1368&lt;=Config!$C$15,"Sí","No")))</f>
        <v/>
      </c>
      <c r="V1368" s="23"/>
      <c r="W1368" s="22"/>
      <c r="X1368" s="22"/>
      <c r="Y1368" s="22"/>
      <c r="Z1368" s="27"/>
      <c r="AA1368" s="22"/>
      <c r="AB1368" s="22"/>
    </row>
    <row r="1369" customFormat="false" ht="15" hidden="false" customHeight="false" outlineLevel="0" collapsed="false">
      <c r="A1369" s="22"/>
      <c r="B1369" s="22"/>
      <c r="C1369" s="22"/>
      <c r="D1369" s="22"/>
      <c r="E1369" s="22"/>
      <c r="F1369" s="22"/>
      <c r="G1369" s="23"/>
      <c r="H1369" s="24" t="str">
        <f aca="false">IF(G1369="","",ROUND((Config!$C$4-G1369)/365.25,2))</f>
        <v/>
      </c>
      <c r="I1369" s="25" t="str">
        <f aca="false">IF(H1369="","",IF(H1369&lt;=1,"Tramo 1",IF(H1369&lt;=3,"Tramo 2",IF(H1369&lt;=5,"Tramo 3","Tramo 4"))))</f>
        <v/>
      </c>
      <c r="J1369" s="22"/>
      <c r="K1369" s="22"/>
      <c r="L1369" s="22"/>
      <c r="M1369" s="26"/>
      <c r="N1369" s="22"/>
      <c r="O1369" s="22"/>
      <c r="P1369" s="25" t="str">
        <f aca="false">IF(OR(O1369="",O1369="Sin información"),"",IFERROR(INDEX(Listas!$B$2:$B$9,MATCH(O1369,Listas!$A$2:$A$9,0)),""))</f>
        <v/>
      </c>
      <c r="Q1369" s="25" t="str">
        <f aca="false">IF(OR(O1369="",O1369="Sin información"),"",IFERROR(INDEX(Listas!$C$2:$C$9,MATCH(O1369,Listas!$A$2:$A$9,0)),""))</f>
        <v/>
      </c>
      <c r="R1369" s="22"/>
      <c r="S1369" s="22"/>
      <c r="T1369" s="25" t="str">
        <f aca="false">IF(S1369="","",IFERROR(INDEX(Empleadores!$B$2:$B$601,MATCH(S1369,Empleadores!$A$2:$A$601,0)),"No encontrado"))</f>
        <v/>
      </c>
      <c r="U1369" s="25" t="str">
        <f aca="false">IF(C1369="","",IF(V1369="","No",IF(Config!$C$4-V1369&lt;=Config!$C$15,"Sí","No")))</f>
        <v/>
      </c>
      <c r="V1369" s="23"/>
      <c r="W1369" s="22"/>
      <c r="X1369" s="22"/>
      <c r="Y1369" s="22"/>
      <c r="Z1369" s="27"/>
      <c r="AA1369" s="22"/>
      <c r="AB1369" s="22"/>
    </row>
    <row r="1370" customFormat="false" ht="15" hidden="false" customHeight="false" outlineLevel="0" collapsed="false">
      <c r="A1370" s="22"/>
      <c r="B1370" s="22"/>
      <c r="C1370" s="22"/>
      <c r="D1370" s="22"/>
      <c r="E1370" s="22"/>
      <c r="F1370" s="22"/>
      <c r="G1370" s="23"/>
      <c r="H1370" s="24" t="str">
        <f aca="false">IF(G1370="","",ROUND((Config!$C$4-G1370)/365.25,2))</f>
        <v/>
      </c>
      <c r="I1370" s="25" t="str">
        <f aca="false">IF(H1370="","",IF(H1370&lt;=1,"Tramo 1",IF(H1370&lt;=3,"Tramo 2",IF(H1370&lt;=5,"Tramo 3","Tramo 4"))))</f>
        <v/>
      </c>
      <c r="J1370" s="22"/>
      <c r="K1370" s="22"/>
      <c r="L1370" s="22"/>
      <c r="M1370" s="26"/>
      <c r="N1370" s="22"/>
      <c r="O1370" s="22"/>
      <c r="P1370" s="25" t="str">
        <f aca="false">IF(OR(O1370="",O1370="Sin información"),"",IFERROR(INDEX(Listas!$B$2:$B$9,MATCH(O1370,Listas!$A$2:$A$9,0)),""))</f>
        <v/>
      </c>
      <c r="Q1370" s="25" t="str">
        <f aca="false">IF(OR(O1370="",O1370="Sin información"),"",IFERROR(INDEX(Listas!$C$2:$C$9,MATCH(O1370,Listas!$A$2:$A$9,0)),""))</f>
        <v/>
      </c>
      <c r="R1370" s="22"/>
      <c r="S1370" s="22"/>
      <c r="T1370" s="25" t="str">
        <f aca="false">IF(S1370="","",IFERROR(INDEX(Empleadores!$B$2:$B$601,MATCH(S1370,Empleadores!$A$2:$A$601,0)),"No encontrado"))</f>
        <v/>
      </c>
      <c r="U1370" s="25" t="str">
        <f aca="false">IF(C1370="","",IF(V1370="","No",IF(Config!$C$4-V1370&lt;=Config!$C$15,"Sí","No")))</f>
        <v/>
      </c>
      <c r="V1370" s="23"/>
      <c r="W1370" s="22"/>
      <c r="X1370" s="22"/>
      <c r="Y1370" s="22"/>
      <c r="Z1370" s="27"/>
      <c r="AA1370" s="22"/>
      <c r="AB1370" s="22"/>
    </row>
    <row r="1371" customFormat="false" ht="15" hidden="false" customHeight="false" outlineLevel="0" collapsed="false">
      <c r="A1371" s="22"/>
      <c r="B1371" s="22"/>
      <c r="C1371" s="22"/>
      <c r="D1371" s="22"/>
      <c r="E1371" s="22"/>
      <c r="F1371" s="22"/>
      <c r="G1371" s="23"/>
      <c r="H1371" s="24" t="str">
        <f aca="false">IF(G1371="","",ROUND((Config!$C$4-G1371)/365.25,2))</f>
        <v/>
      </c>
      <c r="I1371" s="25" t="str">
        <f aca="false">IF(H1371="","",IF(H1371&lt;=1,"Tramo 1",IF(H1371&lt;=3,"Tramo 2",IF(H1371&lt;=5,"Tramo 3","Tramo 4"))))</f>
        <v/>
      </c>
      <c r="J1371" s="22"/>
      <c r="K1371" s="22"/>
      <c r="L1371" s="22"/>
      <c r="M1371" s="26"/>
      <c r="N1371" s="22"/>
      <c r="O1371" s="22"/>
      <c r="P1371" s="25" t="str">
        <f aca="false">IF(OR(O1371="",O1371="Sin información"),"",IFERROR(INDEX(Listas!$B$2:$B$9,MATCH(O1371,Listas!$A$2:$A$9,0)),""))</f>
        <v/>
      </c>
      <c r="Q1371" s="25" t="str">
        <f aca="false">IF(OR(O1371="",O1371="Sin información"),"",IFERROR(INDEX(Listas!$C$2:$C$9,MATCH(O1371,Listas!$A$2:$A$9,0)),""))</f>
        <v/>
      </c>
      <c r="R1371" s="22"/>
      <c r="S1371" s="22"/>
      <c r="T1371" s="25" t="str">
        <f aca="false">IF(S1371="","",IFERROR(INDEX(Empleadores!$B$2:$B$601,MATCH(S1371,Empleadores!$A$2:$A$601,0)),"No encontrado"))</f>
        <v/>
      </c>
      <c r="U1371" s="25" t="str">
        <f aca="false">IF(C1371="","",IF(V1371="","No",IF(Config!$C$4-V1371&lt;=Config!$C$15,"Sí","No")))</f>
        <v/>
      </c>
      <c r="V1371" s="23"/>
      <c r="W1371" s="22"/>
      <c r="X1371" s="22"/>
      <c r="Y1371" s="22"/>
      <c r="Z1371" s="27"/>
      <c r="AA1371" s="22"/>
      <c r="AB1371" s="22"/>
    </row>
    <row r="1372" customFormat="false" ht="15" hidden="false" customHeight="false" outlineLevel="0" collapsed="false">
      <c r="A1372" s="22"/>
      <c r="B1372" s="22"/>
      <c r="C1372" s="22"/>
      <c r="D1372" s="22"/>
      <c r="E1372" s="22"/>
      <c r="F1372" s="22"/>
      <c r="G1372" s="23"/>
      <c r="H1372" s="24" t="str">
        <f aca="false">IF(G1372="","",ROUND((Config!$C$4-G1372)/365.25,2))</f>
        <v/>
      </c>
      <c r="I1372" s="25" t="str">
        <f aca="false">IF(H1372="","",IF(H1372&lt;=1,"Tramo 1",IF(H1372&lt;=3,"Tramo 2",IF(H1372&lt;=5,"Tramo 3","Tramo 4"))))</f>
        <v/>
      </c>
      <c r="J1372" s="22"/>
      <c r="K1372" s="22"/>
      <c r="L1372" s="22"/>
      <c r="M1372" s="26"/>
      <c r="N1372" s="22"/>
      <c r="O1372" s="22"/>
      <c r="P1372" s="25" t="str">
        <f aca="false">IF(OR(O1372="",O1372="Sin información"),"",IFERROR(INDEX(Listas!$B$2:$B$9,MATCH(O1372,Listas!$A$2:$A$9,0)),""))</f>
        <v/>
      </c>
      <c r="Q1372" s="25" t="str">
        <f aca="false">IF(OR(O1372="",O1372="Sin información"),"",IFERROR(INDEX(Listas!$C$2:$C$9,MATCH(O1372,Listas!$A$2:$A$9,0)),""))</f>
        <v/>
      </c>
      <c r="R1372" s="22"/>
      <c r="S1372" s="22"/>
      <c r="T1372" s="25" t="str">
        <f aca="false">IF(S1372="","",IFERROR(INDEX(Empleadores!$B$2:$B$601,MATCH(S1372,Empleadores!$A$2:$A$601,0)),"No encontrado"))</f>
        <v/>
      </c>
      <c r="U1372" s="25" t="str">
        <f aca="false">IF(C1372="","",IF(V1372="","No",IF(Config!$C$4-V1372&lt;=Config!$C$15,"Sí","No")))</f>
        <v/>
      </c>
      <c r="V1372" s="23"/>
      <c r="W1372" s="22"/>
      <c r="X1372" s="22"/>
      <c r="Y1372" s="22"/>
      <c r="Z1372" s="27"/>
      <c r="AA1372" s="22"/>
      <c r="AB1372" s="22"/>
    </row>
    <row r="1373" customFormat="false" ht="15" hidden="false" customHeight="false" outlineLevel="0" collapsed="false">
      <c r="A1373" s="22"/>
      <c r="B1373" s="22"/>
      <c r="C1373" s="22"/>
      <c r="D1373" s="22"/>
      <c r="E1373" s="22"/>
      <c r="F1373" s="22"/>
      <c r="G1373" s="23"/>
      <c r="H1373" s="24" t="str">
        <f aca="false">IF(G1373="","",ROUND((Config!$C$4-G1373)/365.25,2))</f>
        <v/>
      </c>
      <c r="I1373" s="25" t="str">
        <f aca="false">IF(H1373="","",IF(H1373&lt;=1,"Tramo 1",IF(H1373&lt;=3,"Tramo 2",IF(H1373&lt;=5,"Tramo 3","Tramo 4"))))</f>
        <v/>
      </c>
      <c r="J1373" s="22"/>
      <c r="K1373" s="22"/>
      <c r="L1373" s="22"/>
      <c r="M1373" s="26"/>
      <c r="N1373" s="22"/>
      <c r="O1373" s="22"/>
      <c r="P1373" s="25" t="str">
        <f aca="false">IF(OR(O1373="",O1373="Sin información"),"",IFERROR(INDEX(Listas!$B$2:$B$9,MATCH(O1373,Listas!$A$2:$A$9,0)),""))</f>
        <v/>
      </c>
      <c r="Q1373" s="25" t="str">
        <f aca="false">IF(OR(O1373="",O1373="Sin información"),"",IFERROR(INDEX(Listas!$C$2:$C$9,MATCH(O1373,Listas!$A$2:$A$9,0)),""))</f>
        <v/>
      </c>
      <c r="R1373" s="22"/>
      <c r="S1373" s="22"/>
      <c r="T1373" s="25" t="str">
        <f aca="false">IF(S1373="","",IFERROR(INDEX(Empleadores!$B$2:$B$601,MATCH(S1373,Empleadores!$A$2:$A$601,0)),"No encontrado"))</f>
        <v/>
      </c>
      <c r="U1373" s="25" t="str">
        <f aca="false">IF(C1373="","",IF(V1373="","No",IF(Config!$C$4-V1373&lt;=Config!$C$15,"Sí","No")))</f>
        <v/>
      </c>
      <c r="V1373" s="23"/>
      <c r="W1373" s="22"/>
      <c r="X1373" s="22"/>
      <c r="Y1373" s="22"/>
      <c r="Z1373" s="27"/>
      <c r="AA1373" s="22"/>
      <c r="AB1373" s="22"/>
    </row>
    <row r="1374" customFormat="false" ht="15" hidden="false" customHeight="false" outlineLevel="0" collapsed="false">
      <c r="A1374" s="22"/>
      <c r="B1374" s="22"/>
      <c r="C1374" s="22"/>
      <c r="D1374" s="22"/>
      <c r="E1374" s="22"/>
      <c r="F1374" s="22"/>
      <c r="G1374" s="23"/>
      <c r="H1374" s="24" t="str">
        <f aca="false">IF(G1374="","",ROUND((Config!$C$4-G1374)/365.25,2))</f>
        <v/>
      </c>
      <c r="I1374" s="25" t="str">
        <f aca="false">IF(H1374="","",IF(H1374&lt;=1,"Tramo 1",IF(H1374&lt;=3,"Tramo 2",IF(H1374&lt;=5,"Tramo 3","Tramo 4"))))</f>
        <v/>
      </c>
      <c r="J1374" s="22"/>
      <c r="K1374" s="22"/>
      <c r="L1374" s="22"/>
      <c r="M1374" s="26"/>
      <c r="N1374" s="22"/>
      <c r="O1374" s="22"/>
      <c r="P1374" s="25" t="str">
        <f aca="false">IF(OR(O1374="",O1374="Sin información"),"",IFERROR(INDEX(Listas!$B$2:$B$9,MATCH(O1374,Listas!$A$2:$A$9,0)),""))</f>
        <v/>
      </c>
      <c r="Q1374" s="25" t="str">
        <f aca="false">IF(OR(O1374="",O1374="Sin información"),"",IFERROR(INDEX(Listas!$C$2:$C$9,MATCH(O1374,Listas!$A$2:$A$9,0)),""))</f>
        <v/>
      </c>
      <c r="R1374" s="22"/>
      <c r="S1374" s="22"/>
      <c r="T1374" s="25" t="str">
        <f aca="false">IF(S1374="","",IFERROR(INDEX(Empleadores!$B$2:$B$601,MATCH(S1374,Empleadores!$A$2:$A$601,0)),"No encontrado"))</f>
        <v/>
      </c>
      <c r="U1374" s="25" t="str">
        <f aca="false">IF(C1374="","",IF(V1374="","No",IF(Config!$C$4-V1374&lt;=Config!$C$15,"Sí","No")))</f>
        <v/>
      </c>
      <c r="V1374" s="23"/>
      <c r="W1374" s="22"/>
      <c r="X1374" s="22"/>
      <c r="Y1374" s="22"/>
      <c r="Z1374" s="27"/>
      <c r="AA1374" s="22"/>
      <c r="AB1374" s="22"/>
    </row>
    <row r="1375" customFormat="false" ht="15" hidden="false" customHeight="false" outlineLevel="0" collapsed="false">
      <c r="A1375" s="22"/>
      <c r="B1375" s="22"/>
      <c r="C1375" s="22"/>
      <c r="D1375" s="22"/>
      <c r="E1375" s="22"/>
      <c r="F1375" s="22"/>
      <c r="G1375" s="23"/>
      <c r="H1375" s="24" t="str">
        <f aca="false">IF(G1375="","",ROUND((Config!$C$4-G1375)/365.25,2))</f>
        <v/>
      </c>
      <c r="I1375" s="25" t="str">
        <f aca="false">IF(H1375="","",IF(H1375&lt;=1,"Tramo 1",IF(H1375&lt;=3,"Tramo 2",IF(H1375&lt;=5,"Tramo 3","Tramo 4"))))</f>
        <v/>
      </c>
      <c r="J1375" s="22"/>
      <c r="K1375" s="22"/>
      <c r="L1375" s="22"/>
      <c r="M1375" s="26"/>
      <c r="N1375" s="22"/>
      <c r="O1375" s="22"/>
      <c r="P1375" s="25" t="str">
        <f aca="false">IF(OR(O1375="",O1375="Sin información"),"",IFERROR(INDEX(Listas!$B$2:$B$9,MATCH(O1375,Listas!$A$2:$A$9,0)),""))</f>
        <v/>
      </c>
      <c r="Q1375" s="25" t="str">
        <f aca="false">IF(OR(O1375="",O1375="Sin información"),"",IFERROR(INDEX(Listas!$C$2:$C$9,MATCH(O1375,Listas!$A$2:$A$9,0)),""))</f>
        <v/>
      </c>
      <c r="R1375" s="22"/>
      <c r="S1375" s="22"/>
      <c r="T1375" s="25" t="str">
        <f aca="false">IF(S1375="","",IFERROR(INDEX(Empleadores!$B$2:$B$601,MATCH(S1375,Empleadores!$A$2:$A$601,0)),"No encontrado"))</f>
        <v/>
      </c>
      <c r="U1375" s="25" t="str">
        <f aca="false">IF(C1375="","",IF(V1375="","No",IF(Config!$C$4-V1375&lt;=Config!$C$15,"Sí","No")))</f>
        <v/>
      </c>
      <c r="V1375" s="23"/>
      <c r="W1375" s="22"/>
      <c r="X1375" s="22"/>
      <c r="Y1375" s="22"/>
      <c r="Z1375" s="27"/>
      <c r="AA1375" s="22"/>
      <c r="AB1375" s="22"/>
    </row>
    <row r="1376" customFormat="false" ht="15" hidden="false" customHeight="false" outlineLevel="0" collapsed="false">
      <c r="A1376" s="22"/>
      <c r="B1376" s="22"/>
      <c r="C1376" s="22"/>
      <c r="D1376" s="22"/>
      <c r="E1376" s="22"/>
      <c r="F1376" s="22"/>
      <c r="G1376" s="23"/>
      <c r="H1376" s="24" t="str">
        <f aca="false">IF(G1376="","",ROUND((Config!$C$4-G1376)/365.25,2))</f>
        <v/>
      </c>
      <c r="I1376" s="25" t="str">
        <f aca="false">IF(H1376="","",IF(H1376&lt;=1,"Tramo 1",IF(H1376&lt;=3,"Tramo 2",IF(H1376&lt;=5,"Tramo 3","Tramo 4"))))</f>
        <v/>
      </c>
      <c r="J1376" s="22"/>
      <c r="K1376" s="22"/>
      <c r="L1376" s="22"/>
      <c r="M1376" s="26"/>
      <c r="N1376" s="22"/>
      <c r="O1376" s="22"/>
      <c r="P1376" s="25" t="str">
        <f aca="false">IF(OR(O1376="",O1376="Sin información"),"",IFERROR(INDEX(Listas!$B$2:$B$9,MATCH(O1376,Listas!$A$2:$A$9,0)),""))</f>
        <v/>
      </c>
      <c r="Q1376" s="25" t="str">
        <f aca="false">IF(OR(O1376="",O1376="Sin información"),"",IFERROR(INDEX(Listas!$C$2:$C$9,MATCH(O1376,Listas!$A$2:$A$9,0)),""))</f>
        <v/>
      </c>
      <c r="R1376" s="22"/>
      <c r="S1376" s="22"/>
      <c r="T1376" s="25" t="str">
        <f aca="false">IF(S1376="","",IFERROR(INDEX(Empleadores!$B$2:$B$601,MATCH(S1376,Empleadores!$A$2:$A$601,0)),"No encontrado"))</f>
        <v/>
      </c>
      <c r="U1376" s="25" t="str">
        <f aca="false">IF(C1376="","",IF(V1376="","No",IF(Config!$C$4-V1376&lt;=Config!$C$15,"Sí","No")))</f>
        <v/>
      </c>
      <c r="V1376" s="23"/>
      <c r="W1376" s="22"/>
      <c r="X1376" s="22"/>
      <c r="Y1376" s="22"/>
      <c r="Z1376" s="27"/>
      <c r="AA1376" s="22"/>
      <c r="AB1376" s="22"/>
    </row>
    <row r="1377" customFormat="false" ht="15" hidden="false" customHeight="false" outlineLevel="0" collapsed="false">
      <c r="A1377" s="22"/>
      <c r="B1377" s="22"/>
      <c r="C1377" s="22"/>
      <c r="D1377" s="22"/>
      <c r="E1377" s="22"/>
      <c r="F1377" s="22"/>
      <c r="G1377" s="23"/>
      <c r="H1377" s="24" t="str">
        <f aca="false">IF(G1377="","",ROUND((Config!$C$4-G1377)/365.25,2))</f>
        <v/>
      </c>
      <c r="I1377" s="25" t="str">
        <f aca="false">IF(H1377="","",IF(H1377&lt;=1,"Tramo 1",IF(H1377&lt;=3,"Tramo 2",IF(H1377&lt;=5,"Tramo 3","Tramo 4"))))</f>
        <v/>
      </c>
      <c r="J1377" s="22"/>
      <c r="K1377" s="22"/>
      <c r="L1377" s="22"/>
      <c r="M1377" s="26"/>
      <c r="N1377" s="22"/>
      <c r="O1377" s="22"/>
      <c r="P1377" s="25" t="str">
        <f aca="false">IF(OR(O1377="",O1377="Sin información"),"",IFERROR(INDEX(Listas!$B$2:$B$9,MATCH(O1377,Listas!$A$2:$A$9,0)),""))</f>
        <v/>
      </c>
      <c r="Q1377" s="25" t="str">
        <f aca="false">IF(OR(O1377="",O1377="Sin información"),"",IFERROR(INDEX(Listas!$C$2:$C$9,MATCH(O1377,Listas!$A$2:$A$9,0)),""))</f>
        <v/>
      </c>
      <c r="R1377" s="22"/>
      <c r="S1377" s="22"/>
      <c r="T1377" s="25" t="str">
        <f aca="false">IF(S1377="","",IFERROR(INDEX(Empleadores!$B$2:$B$601,MATCH(S1377,Empleadores!$A$2:$A$601,0)),"No encontrado"))</f>
        <v/>
      </c>
      <c r="U1377" s="25" t="str">
        <f aca="false">IF(C1377="","",IF(V1377="","No",IF(Config!$C$4-V1377&lt;=Config!$C$15,"Sí","No")))</f>
        <v/>
      </c>
      <c r="V1377" s="23"/>
      <c r="W1377" s="22"/>
      <c r="X1377" s="22"/>
      <c r="Y1377" s="22"/>
      <c r="Z1377" s="27"/>
      <c r="AA1377" s="22"/>
      <c r="AB1377" s="22"/>
    </row>
    <row r="1378" customFormat="false" ht="15" hidden="false" customHeight="false" outlineLevel="0" collapsed="false">
      <c r="A1378" s="22"/>
      <c r="B1378" s="22"/>
      <c r="C1378" s="22"/>
      <c r="D1378" s="22"/>
      <c r="E1378" s="22"/>
      <c r="F1378" s="22"/>
      <c r="G1378" s="23"/>
      <c r="H1378" s="24" t="str">
        <f aca="false">IF(G1378="","",ROUND((Config!$C$4-G1378)/365.25,2))</f>
        <v/>
      </c>
      <c r="I1378" s="25" t="str">
        <f aca="false">IF(H1378="","",IF(H1378&lt;=1,"Tramo 1",IF(H1378&lt;=3,"Tramo 2",IF(H1378&lt;=5,"Tramo 3","Tramo 4"))))</f>
        <v/>
      </c>
      <c r="J1378" s="22"/>
      <c r="K1378" s="22"/>
      <c r="L1378" s="22"/>
      <c r="M1378" s="26"/>
      <c r="N1378" s="22"/>
      <c r="O1378" s="22"/>
      <c r="P1378" s="25" t="str">
        <f aca="false">IF(OR(O1378="",O1378="Sin información"),"",IFERROR(INDEX(Listas!$B$2:$B$9,MATCH(O1378,Listas!$A$2:$A$9,0)),""))</f>
        <v/>
      </c>
      <c r="Q1378" s="25" t="str">
        <f aca="false">IF(OR(O1378="",O1378="Sin información"),"",IFERROR(INDEX(Listas!$C$2:$C$9,MATCH(O1378,Listas!$A$2:$A$9,0)),""))</f>
        <v/>
      </c>
      <c r="R1378" s="22"/>
      <c r="S1378" s="22"/>
      <c r="T1378" s="25" t="str">
        <f aca="false">IF(S1378="","",IFERROR(INDEX(Empleadores!$B$2:$B$601,MATCH(S1378,Empleadores!$A$2:$A$601,0)),"No encontrado"))</f>
        <v/>
      </c>
      <c r="U1378" s="25" t="str">
        <f aca="false">IF(C1378="","",IF(V1378="","No",IF(Config!$C$4-V1378&lt;=Config!$C$15,"Sí","No")))</f>
        <v/>
      </c>
      <c r="V1378" s="23"/>
      <c r="W1378" s="22"/>
      <c r="X1378" s="22"/>
      <c r="Y1378" s="22"/>
      <c r="Z1378" s="27"/>
      <c r="AA1378" s="22"/>
      <c r="AB1378" s="22"/>
    </row>
    <row r="1379" customFormat="false" ht="15" hidden="false" customHeight="false" outlineLevel="0" collapsed="false">
      <c r="A1379" s="22"/>
      <c r="B1379" s="22"/>
      <c r="C1379" s="22"/>
      <c r="D1379" s="22"/>
      <c r="E1379" s="22"/>
      <c r="F1379" s="22"/>
      <c r="G1379" s="23"/>
      <c r="H1379" s="24" t="str">
        <f aca="false">IF(G1379="","",ROUND((Config!$C$4-G1379)/365.25,2))</f>
        <v/>
      </c>
      <c r="I1379" s="25" t="str">
        <f aca="false">IF(H1379="","",IF(H1379&lt;=1,"Tramo 1",IF(H1379&lt;=3,"Tramo 2",IF(H1379&lt;=5,"Tramo 3","Tramo 4"))))</f>
        <v/>
      </c>
      <c r="J1379" s="22"/>
      <c r="K1379" s="22"/>
      <c r="L1379" s="22"/>
      <c r="M1379" s="26"/>
      <c r="N1379" s="22"/>
      <c r="O1379" s="22"/>
      <c r="P1379" s="25" t="str">
        <f aca="false">IF(OR(O1379="",O1379="Sin información"),"",IFERROR(INDEX(Listas!$B$2:$B$9,MATCH(O1379,Listas!$A$2:$A$9,0)),""))</f>
        <v/>
      </c>
      <c r="Q1379" s="25" t="str">
        <f aca="false">IF(OR(O1379="",O1379="Sin información"),"",IFERROR(INDEX(Listas!$C$2:$C$9,MATCH(O1379,Listas!$A$2:$A$9,0)),""))</f>
        <v/>
      </c>
      <c r="R1379" s="22"/>
      <c r="S1379" s="22"/>
      <c r="T1379" s="25" t="str">
        <f aca="false">IF(S1379="","",IFERROR(INDEX(Empleadores!$B$2:$B$601,MATCH(S1379,Empleadores!$A$2:$A$601,0)),"No encontrado"))</f>
        <v/>
      </c>
      <c r="U1379" s="25" t="str">
        <f aca="false">IF(C1379="","",IF(V1379="","No",IF(Config!$C$4-V1379&lt;=Config!$C$15,"Sí","No")))</f>
        <v/>
      </c>
      <c r="V1379" s="23"/>
      <c r="W1379" s="22"/>
      <c r="X1379" s="22"/>
      <c r="Y1379" s="22"/>
      <c r="Z1379" s="27"/>
      <c r="AA1379" s="22"/>
      <c r="AB1379" s="22"/>
    </row>
    <row r="1380" customFormat="false" ht="15" hidden="false" customHeight="false" outlineLevel="0" collapsed="false">
      <c r="A1380" s="22"/>
      <c r="B1380" s="22"/>
      <c r="C1380" s="22"/>
      <c r="D1380" s="22"/>
      <c r="E1380" s="22"/>
      <c r="F1380" s="22"/>
      <c r="G1380" s="23"/>
      <c r="H1380" s="24" t="str">
        <f aca="false">IF(G1380="","",ROUND((Config!$C$4-G1380)/365.25,2))</f>
        <v/>
      </c>
      <c r="I1380" s="25" t="str">
        <f aca="false">IF(H1380="","",IF(H1380&lt;=1,"Tramo 1",IF(H1380&lt;=3,"Tramo 2",IF(H1380&lt;=5,"Tramo 3","Tramo 4"))))</f>
        <v/>
      </c>
      <c r="J1380" s="22"/>
      <c r="K1380" s="22"/>
      <c r="L1380" s="22"/>
      <c r="M1380" s="26"/>
      <c r="N1380" s="22"/>
      <c r="O1380" s="22"/>
      <c r="P1380" s="25" t="str">
        <f aca="false">IF(OR(O1380="",O1380="Sin información"),"",IFERROR(INDEX(Listas!$B$2:$B$9,MATCH(O1380,Listas!$A$2:$A$9,0)),""))</f>
        <v/>
      </c>
      <c r="Q1380" s="25" t="str">
        <f aca="false">IF(OR(O1380="",O1380="Sin información"),"",IFERROR(INDEX(Listas!$C$2:$C$9,MATCH(O1380,Listas!$A$2:$A$9,0)),""))</f>
        <v/>
      </c>
      <c r="R1380" s="22"/>
      <c r="S1380" s="22"/>
      <c r="T1380" s="25" t="str">
        <f aca="false">IF(S1380="","",IFERROR(INDEX(Empleadores!$B$2:$B$601,MATCH(S1380,Empleadores!$A$2:$A$601,0)),"No encontrado"))</f>
        <v/>
      </c>
      <c r="U1380" s="25" t="str">
        <f aca="false">IF(C1380="","",IF(V1380="","No",IF(Config!$C$4-V1380&lt;=Config!$C$15,"Sí","No")))</f>
        <v/>
      </c>
      <c r="V1380" s="23"/>
      <c r="W1380" s="22"/>
      <c r="X1380" s="22"/>
      <c r="Y1380" s="22"/>
      <c r="Z1380" s="27"/>
      <c r="AA1380" s="22"/>
      <c r="AB1380" s="22"/>
    </row>
    <row r="1381" customFormat="false" ht="15" hidden="false" customHeight="false" outlineLevel="0" collapsed="false">
      <c r="A1381" s="22"/>
      <c r="B1381" s="22"/>
      <c r="C1381" s="22"/>
      <c r="D1381" s="22"/>
      <c r="E1381" s="22"/>
      <c r="F1381" s="22"/>
      <c r="G1381" s="23"/>
      <c r="H1381" s="24" t="str">
        <f aca="false">IF(G1381="","",ROUND((Config!$C$4-G1381)/365.25,2))</f>
        <v/>
      </c>
      <c r="I1381" s="25" t="str">
        <f aca="false">IF(H1381="","",IF(H1381&lt;=1,"Tramo 1",IF(H1381&lt;=3,"Tramo 2",IF(H1381&lt;=5,"Tramo 3","Tramo 4"))))</f>
        <v/>
      </c>
      <c r="J1381" s="22"/>
      <c r="K1381" s="22"/>
      <c r="L1381" s="22"/>
      <c r="M1381" s="26"/>
      <c r="N1381" s="22"/>
      <c r="O1381" s="22"/>
      <c r="P1381" s="25" t="str">
        <f aca="false">IF(OR(O1381="",O1381="Sin información"),"",IFERROR(INDEX(Listas!$B$2:$B$9,MATCH(O1381,Listas!$A$2:$A$9,0)),""))</f>
        <v/>
      </c>
      <c r="Q1381" s="25" t="str">
        <f aca="false">IF(OR(O1381="",O1381="Sin información"),"",IFERROR(INDEX(Listas!$C$2:$C$9,MATCH(O1381,Listas!$A$2:$A$9,0)),""))</f>
        <v/>
      </c>
      <c r="R1381" s="22"/>
      <c r="S1381" s="22"/>
      <c r="T1381" s="25" t="str">
        <f aca="false">IF(S1381="","",IFERROR(INDEX(Empleadores!$B$2:$B$601,MATCH(S1381,Empleadores!$A$2:$A$601,0)),"No encontrado"))</f>
        <v/>
      </c>
      <c r="U1381" s="25" t="str">
        <f aca="false">IF(C1381="","",IF(V1381="","No",IF(Config!$C$4-V1381&lt;=Config!$C$15,"Sí","No")))</f>
        <v/>
      </c>
      <c r="V1381" s="23"/>
      <c r="W1381" s="22"/>
      <c r="X1381" s="22"/>
      <c r="Y1381" s="22"/>
      <c r="Z1381" s="27"/>
      <c r="AA1381" s="22"/>
      <c r="AB1381" s="22"/>
    </row>
    <row r="1382" customFormat="false" ht="15" hidden="false" customHeight="false" outlineLevel="0" collapsed="false">
      <c r="A1382" s="22"/>
      <c r="B1382" s="22"/>
      <c r="C1382" s="22"/>
      <c r="D1382" s="22"/>
      <c r="E1382" s="22"/>
      <c r="F1382" s="22"/>
      <c r="G1382" s="23"/>
      <c r="H1382" s="24" t="str">
        <f aca="false">IF(G1382="","",ROUND((Config!$C$4-G1382)/365.25,2))</f>
        <v/>
      </c>
      <c r="I1382" s="25" t="str">
        <f aca="false">IF(H1382="","",IF(H1382&lt;=1,"Tramo 1",IF(H1382&lt;=3,"Tramo 2",IF(H1382&lt;=5,"Tramo 3","Tramo 4"))))</f>
        <v/>
      </c>
      <c r="J1382" s="22"/>
      <c r="K1382" s="22"/>
      <c r="L1382" s="22"/>
      <c r="M1382" s="26"/>
      <c r="N1382" s="22"/>
      <c r="O1382" s="22"/>
      <c r="P1382" s="25" t="str">
        <f aca="false">IF(OR(O1382="",O1382="Sin información"),"",IFERROR(INDEX(Listas!$B$2:$B$9,MATCH(O1382,Listas!$A$2:$A$9,0)),""))</f>
        <v/>
      </c>
      <c r="Q1382" s="25" t="str">
        <f aca="false">IF(OR(O1382="",O1382="Sin información"),"",IFERROR(INDEX(Listas!$C$2:$C$9,MATCH(O1382,Listas!$A$2:$A$9,0)),""))</f>
        <v/>
      </c>
      <c r="R1382" s="22"/>
      <c r="S1382" s="22"/>
      <c r="T1382" s="25" t="str">
        <f aca="false">IF(S1382="","",IFERROR(INDEX(Empleadores!$B$2:$B$601,MATCH(S1382,Empleadores!$A$2:$A$601,0)),"No encontrado"))</f>
        <v/>
      </c>
      <c r="U1382" s="25" t="str">
        <f aca="false">IF(C1382="","",IF(V1382="","No",IF(Config!$C$4-V1382&lt;=Config!$C$15,"Sí","No")))</f>
        <v/>
      </c>
      <c r="V1382" s="23"/>
      <c r="W1382" s="22"/>
      <c r="X1382" s="22"/>
      <c r="Y1382" s="22"/>
      <c r="Z1382" s="27"/>
      <c r="AA1382" s="22"/>
      <c r="AB1382" s="22"/>
    </row>
    <row r="1383" customFormat="false" ht="15" hidden="false" customHeight="false" outlineLevel="0" collapsed="false">
      <c r="A1383" s="22"/>
      <c r="B1383" s="22"/>
      <c r="C1383" s="22"/>
      <c r="D1383" s="22"/>
      <c r="E1383" s="22"/>
      <c r="F1383" s="22"/>
      <c r="G1383" s="23"/>
      <c r="H1383" s="24" t="str">
        <f aca="false">IF(G1383="","",ROUND((Config!$C$4-G1383)/365.25,2))</f>
        <v/>
      </c>
      <c r="I1383" s="25" t="str">
        <f aca="false">IF(H1383="","",IF(H1383&lt;=1,"Tramo 1",IF(H1383&lt;=3,"Tramo 2",IF(H1383&lt;=5,"Tramo 3","Tramo 4"))))</f>
        <v/>
      </c>
      <c r="J1383" s="22"/>
      <c r="K1383" s="22"/>
      <c r="L1383" s="22"/>
      <c r="M1383" s="26"/>
      <c r="N1383" s="22"/>
      <c r="O1383" s="22"/>
      <c r="P1383" s="25" t="str">
        <f aca="false">IF(OR(O1383="",O1383="Sin información"),"",IFERROR(INDEX(Listas!$B$2:$B$9,MATCH(O1383,Listas!$A$2:$A$9,0)),""))</f>
        <v/>
      </c>
      <c r="Q1383" s="25" t="str">
        <f aca="false">IF(OR(O1383="",O1383="Sin información"),"",IFERROR(INDEX(Listas!$C$2:$C$9,MATCH(O1383,Listas!$A$2:$A$9,0)),""))</f>
        <v/>
      </c>
      <c r="R1383" s="22"/>
      <c r="S1383" s="22"/>
      <c r="T1383" s="25" t="str">
        <f aca="false">IF(S1383="","",IFERROR(INDEX(Empleadores!$B$2:$B$601,MATCH(S1383,Empleadores!$A$2:$A$601,0)),"No encontrado"))</f>
        <v/>
      </c>
      <c r="U1383" s="25" t="str">
        <f aca="false">IF(C1383="","",IF(V1383="","No",IF(Config!$C$4-V1383&lt;=Config!$C$15,"Sí","No")))</f>
        <v/>
      </c>
      <c r="V1383" s="23"/>
      <c r="W1383" s="22"/>
      <c r="X1383" s="22"/>
      <c r="Y1383" s="22"/>
      <c r="Z1383" s="27"/>
      <c r="AA1383" s="22"/>
      <c r="AB1383" s="22"/>
    </row>
    <row r="1384" customFormat="false" ht="15" hidden="false" customHeight="false" outlineLevel="0" collapsed="false">
      <c r="A1384" s="22"/>
      <c r="B1384" s="22"/>
      <c r="C1384" s="22"/>
      <c r="D1384" s="22"/>
      <c r="E1384" s="22"/>
      <c r="F1384" s="22"/>
      <c r="G1384" s="23"/>
      <c r="H1384" s="24" t="str">
        <f aca="false">IF(G1384="","",ROUND((Config!$C$4-G1384)/365.25,2))</f>
        <v/>
      </c>
      <c r="I1384" s="25" t="str">
        <f aca="false">IF(H1384="","",IF(H1384&lt;=1,"Tramo 1",IF(H1384&lt;=3,"Tramo 2",IF(H1384&lt;=5,"Tramo 3","Tramo 4"))))</f>
        <v/>
      </c>
      <c r="J1384" s="22"/>
      <c r="K1384" s="22"/>
      <c r="L1384" s="22"/>
      <c r="M1384" s="26"/>
      <c r="N1384" s="22"/>
      <c r="O1384" s="22"/>
      <c r="P1384" s="25" t="str">
        <f aca="false">IF(OR(O1384="",O1384="Sin información"),"",IFERROR(INDEX(Listas!$B$2:$B$9,MATCH(O1384,Listas!$A$2:$A$9,0)),""))</f>
        <v/>
      </c>
      <c r="Q1384" s="25" t="str">
        <f aca="false">IF(OR(O1384="",O1384="Sin información"),"",IFERROR(INDEX(Listas!$C$2:$C$9,MATCH(O1384,Listas!$A$2:$A$9,0)),""))</f>
        <v/>
      </c>
      <c r="R1384" s="22"/>
      <c r="S1384" s="22"/>
      <c r="T1384" s="25" t="str">
        <f aca="false">IF(S1384="","",IFERROR(INDEX(Empleadores!$B$2:$B$601,MATCH(S1384,Empleadores!$A$2:$A$601,0)),"No encontrado"))</f>
        <v/>
      </c>
      <c r="U1384" s="25" t="str">
        <f aca="false">IF(C1384="","",IF(V1384="","No",IF(Config!$C$4-V1384&lt;=Config!$C$15,"Sí","No")))</f>
        <v/>
      </c>
      <c r="V1384" s="23"/>
      <c r="W1384" s="22"/>
      <c r="X1384" s="22"/>
      <c r="Y1384" s="22"/>
      <c r="Z1384" s="27"/>
      <c r="AA1384" s="22"/>
      <c r="AB1384" s="22"/>
    </row>
    <row r="1385" customFormat="false" ht="15" hidden="false" customHeight="false" outlineLevel="0" collapsed="false">
      <c r="A1385" s="22"/>
      <c r="B1385" s="22"/>
      <c r="C1385" s="22"/>
      <c r="D1385" s="22"/>
      <c r="E1385" s="22"/>
      <c r="F1385" s="22"/>
      <c r="G1385" s="23"/>
      <c r="H1385" s="24" t="str">
        <f aca="false">IF(G1385="","",ROUND((Config!$C$4-G1385)/365.25,2))</f>
        <v/>
      </c>
      <c r="I1385" s="25" t="str">
        <f aca="false">IF(H1385="","",IF(H1385&lt;=1,"Tramo 1",IF(H1385&lt;=3,"Tramo 2",IF(H1385&lt;=5,"Tramo 3","Tramo 4"))))</f>
        <v/>
      </c>
      <c r="J1385" s="22"/>
      <c r="K1385" s="22"/>
      <c r="L1385" s="22"/>
      <c r="M1385" s="26"/>
      <c r="N1385" s="22"/>
      <c r="O1385" s="22"/>
      <c r="P1385" s="25" t="str">
        <f aca="false">IF(OR(O1385="",O1385="Sin información"),"",IFERROR(INDEX(Listas!$B$2:$B$9,MATCH(O1385,Listas!$A$2:$A$9,0)),""))</f>
        <v/>
      </c>
      <c r="Q1385" s="25" t="str">
        <f aca="false">IF(OR(O1385="",O1385="Sin información"),"",IFERROR(INDEX(Listas!$C$2:$C$9,MATCH(O1385,Listas!$A$2:$A$9,0)),""))</f>
        <v/>
      </c>
      <c r="R1385" s="22"/>
      <c r="S1385" s="22"/>
      <c r="T1385" s="25" t="str">
        <f aca="false">IF(S1385="","",IFERROR(INDEX(Empleadores!$B$2:$B$601,MATCH(S1385,Empleadores!$A$2:$A$601,0)),"No encontrado"))</f>
        <v/>
      </c>
      <c r="U1385" s="25" t="str">
        <f aca="false">IF(C1385="","",IF(V1385="","No",IF(Config!$C$4-V1385&lt;=Config!$C$15,"Sí","No")))</f>
        <v/>
      </c>
      <c r="V1385" s="23"/>
      <c r="W1385" s="22"/>
      <c r="X1385" s="22"/>
      <c r="Y1385" s="22"/>
      <c r="Z1385" s="27"/>
      <c r="AA1385" s="22"/>
      <c r="AB1385" s="22"/>
    </row>
    <row r="1386" customFormat="false" ht="15" hidden="false" customHeight="false" outlineLevel="0" collapsed="false">
      <c r="A1386" s="22"/>
      <c r="B1386" s="22"/>
      <c r="C1386" s="22"/>
      <c r="D1386" s="22"/>
      <c r="E1386" s="22"/>
      <c r="F1386" s="22"/>
      <c r="G1386" s="23"/>
      <c r="H1386" s="24" t="str">
        <f aca="false">IF(G1386="","",ROUND((Config!$C$4-G1386)/365.25,2))</f>
        <v/>
      </c>
      <c r="I1386" s="25" t="str">
        <f aca="false">IF(H1386="","",IF(H1386&lt;=1,"Tramo 1",IF(H1386&lt;=3,"Tramo 2",IF(H1386&lt;=5,"Tramo 3","Tramo 4"))))</f>
        <v/>
      </c>
      <c r="J1386" s="22"/>
      <c r="K1386" s="22"/>
      <c r="L1386" s="22"/>
      <c r="M1386" s="26"/>
      <c r="N1386" s="22"/>
      <c r="O1386" s="22"/>
      <c r="P1386" s="25" t="str">
        <f aca="false">IF(OR(O1386="",O1386="Sin información"),"",IFERROR(INDEX(Listas!$B$2:$B$9,MATCH(O1386,Listas!$A$2:$A$9,0)),""))</f>
        <v/>
      </c>
      <c r="Q1386" s="25" t="str">
        <f aca="false">IF(OR(O1386="",O1386="Sin información"),"",IFERROR(INDEX(Listas!$C$2:$C$9,MATCH(O1386,Listas!$A$2:$A$9,0)),""))</f>
        <v/>
      </c>
      <c r="R1386" s="22"/>
      <c r="S1386" s="22"/>
      <c r="T1386" s="25" t="str">
        <f aca="false">IF(S1386="","",IFERROR(INDEX(Empleadores!$B$2:$B$601,MATCH(S1386,Empleadores!$A$2:$A$601,0)),"No encontrado"))</f>
        <v/>
      </c>
      <c r="U1386" s="25" t="str">
        <f aca="false">IF(C1386="","",IF(V1386="","No",IF(Config!$C$4-V1386&lt;=Config!$C$15,"Sí","No")))</f>
        <v/>
      </c>
      <c r="V1386" s="23"/>
      <c r="W1386" s="22"/>
      <c r="X1386" s="22"/>
      <c r="Y1386" s="22"/>
      <c r="Z1386" s="27"/>
      <c r="AA1386" s="22"/>
      <c r="AB1386" s="22"/>
    </row>
    <row r="1387" customFormat="false" ht="15" hidden="false" customHeight="false" outlineLevel="0" collapsed="false">
      <c r="A1387" s="22"/>
      <c r="B1387" s="22"/>
      <c r="C1387" s="22"/>
      <c r="D1387" s="22"/>
      <c r="E1387" s="22"/>
      <c r="F1387" s="22"/>
      <c r="G1387" s="23"/>
      <c r="H1387" s="24" t="str">
        <f aca="false">IF(G1387="","",ROUND((Config!$C$4-G1387)/365.25,2))</f>
        <v/>
      </c>
      <c r="I1387" s="25" t="str">
        <f aca="false">IF(H1387="","",IF(H1387&lt;=1,"Tramo 1",IF(H1387&lt;=3,"Tramo 2",IF(H1387&lt;=5,"Tramo 3","Tramo 4"))))</f>
        <v/>
      </c>
      <c r="J1387" s="22"/>
      <c r="K1387" s="22"/>
      <c r="L1387" s="22"/>
      <c r="M1387" s="26"/>
      <c r="N1387" s="22"/>
      <c r="O1387" s="22"/>
      <c r="P1387" s="25" t="str">
        <f aca="false">IF(OR(O1387="",O1387="Sin información"),"",IFERROR(INDEX(Listas!$B$2:$B$9,MATCH(O1387,Listas!$A$2:$A$9,0)),""))</f>
        <v/>
      </c>
      <c r="Q1387" s="25" t="str">
        <f aca="false">IF(OR(O1387="",O1387="Sin información"),"",IFERROR(INDEX(Listas!$C$2:$C$9,MATCH(O1387,Listas!$A$2:$A$9,0)),""))</f>
        <v/>
      </c>
      <c r="R1387" s="22"/>
      <c r="S1387" s="22"/>
      <c r="T1387" s="25" t="str">
        <f aca="false">IF(S1387="","",IFERROR(INDEX(Empleadores!$B$2:$B$601,MATCH(S1387,Empleadores!$A$2:$A$601,0)),"No encontrado"))</f>
        <v/>
      </c>
      <c r="U1387" s="25" t="str">
        <f aca="false">IF(C1387="","",IF(V1387="","No",IF(Config!$C$4-V1387&lt;=Config!$C$15,"Sí","No")))</f>
        <v/>
      </c>
      <c r="V1387" s="23"/>
      <c r="W1387" s="22"/>
      <c r="X1387" s="22"/>
      <c r="Y1387" s="22"/>
      <c r="Z1387" s="27"/>
      <c r="AA1387" s="22"/>
      <c r="AB1387" s="22"/>
    </row>
    <row r="1388" customFormat="false" ht="15" hidden="false" customHeight="false" outlineLevel="0" collapsed="false">
      <c r="A1388" s="22"/>
      <c r="B1388" s="22"/>
      <c r="C1388" s="22"/>
      <c r="D1388" s="22"/>
      <c r="E1388" s="22"/>
      <c r="F1388" s="22"/>
      <c r="G1388" s="23"/>
      <c r="H1388" s="24" t="str">
        <f aca="false">IF(G1388="","",ROUND((Config!$C$4-G1388)/365.25,2))</f>
        <v/>
      </c>
      <c r="I1388" s="25" t="str">
        <f aca="false">IF(H1388="","",IF(H1388&lt;=1,"Tramo 1",IF(H1388&lt;=3,"Tramo 2",IF(H1388&lt;=5,"Tramo 3","Tramo 4"))))</f>
        <v/>
      </c>
      <c r="J1388" s="22"/>
      <c r="K1388" s="22"/>
      <c r="L1388" s="22"/>
      <c r="M1388" s="26"/>
      <c r="N1388" s="22"/>
      <c r="O1388" s="22"/>
      <c r="P1388" s="25" t="str">
        <f aca="false">IF(OR(O1388="",O1388="Sin información"),"",IFERROR(INDEX(Listas!$B$2:$B$9,MATCH(O1388,Listas!$A$2:$A$9,0)),""))</f>
        <v/>
      </c>
      <c r="Q1388" s="25" t="str">
        <f aca="false">IF(OR(O1388="",O1388="Sin información"),"",IFERROR(INDEX(Listas!$C$2:$C$9,MATCH(O1388,Listas!$A$2:$A$9,0)),""))</f>
        <v/>
      </c>
      <c r="R1388" s="22"/>
      <c r="S1388" s="22"/>
      <c r="T1388" s="25" t="str">
        <f aca="false">IF(S1388="","",IFERROR(INDEX(Empleadores!$B$2:$B$601,MATCH(S1388,Empleadores!$A$2:$A$601,0)),"No encontrado"))</f>
        <v/>
      </c>
      <c r="U1388" s="25" t="str">
        <f aca="false">IF(C1388="","",IF(V1388="","No",IF(Config!$C$4-V1388&lt;=Config!$C$15,"Sí","No")))</f>
        <v/>
      </c>
      <c r="V1388" s="23"/>
      <c r="W1388" s="22"/>
      <c r="X1388" s="22"/>
      <c r="Y1388" s="22"/>
      <c r="Z1388" s="27"/>
      <c r="AA1388" s="22"/>
      <c r="AB1388" s="22"/>
    </row>
    <row r="1389" customFormat="false" ht="15" hidden="false" customHeight="false" outlineLevel="0" collapsed="false">
      <c r="A1389" s="22"/>
      <c r="B1389" s="22"/>
      <c r="C1389" s="22"/>
      <c r="D1389" s="22"/>
      <c r="E1389" s="22"/>
      <c r="F1389" s="22"/>
      <c r="G1389" s="23"/>
      <c r="H1389" s="24" t="str">
        <f aca="false">IF(G1389="","",ROUND((Config!$C$4-G1389)/365.25,2))</f>
        <v/>
      </c>
      <c r="I1389" s="25" t="str">
        <f aca="false">IF(H1389="","",IF(H1389&lt;=1,"Tramo 1",IF(H1389&lt;=3,"Tramo 2",IF(H1389&lt;=5,"Tramo 3","Tramo 4"))))</f>
        <v/>
      </c>
      <c r="J1389" s="22"/>
      <c r="K1389" s="22"/>
      <c r="L1389" s="22"/>
      <c r="M1389" s="26"/>
      <c r="N1389" s="22"/>
      <c r="O1389" s="22"/>
      <c r="P1389" s="25" t="str">
        <f aca="false">IF(OR(O1389="",O1389="Sin información"),"",IFERROR(INDEX(Listas!$B$2:$B$9,MATCH(O1389,Listas!$A$2:$A$9,0)),""))</f>
        <v/>
      </c>
      <c r="Q1389" s="25" t="str">
        <f aca="false">IF(OR(O1389="",O1389="Sin información"),"",IFERROR(INDEX(Listas!$C$2:$C$9,MATCH(O1389,Listas!$A$2:$A$9,0)),""))</f>
        <v/>
      </c>
      <c r="R1389" s="22"/>
      <c r="S1389" s="22"/>
      <c r="T1389" s="25" t="str">
        <f aca="false">IF(S1389="","",IFERROR(INDEX(Empleadores!$B$2:$B$601,MATCH(S1389,Empleadores!$A$2:$A$601,0)),"No encontrado"))</f>
        <v/>
      </c>
      <c r="U1389" s="25" t="str">
        <f aca="false">IF(C1389="","",IF(V1389="","No",IF(Config!$C$4-V1389&lt;=Config!$C$15,"Sí","No")))</f>
        <v/>
      </c>
      <c r="V1389" s="23"/>
      <c r="W1389" s="22"/>
      <c r="X1389" s="22"/>
      <c r="Y1389" s="22"/>
      <c r="Z1389" s="27"/>
      <c r="AA1389" s="22"/>
      <c r="AB1389" s="22"/>
    </row>
    <row r="1390" customFormat="false" ht="15" hidden="false" customHeight="false" outlineLevel="0" collapsed="false">
      <c r="A1390" s="22"/>
      <c r="B1390" s="22"/>
      <c r="C1390" s="22"/>
      <c r="D1390" s="22"/>
      <c r="E1390" s="22"/>
      <c r="F1390" s="22"/>
      <c r="G1390" s="23"/>
      <c r="H1390" s="24" t="str">
        <f aca="false">IF(G1390="","",ROUND((Config!$C$4-G1390)/365.25,2))</f>
        <v/>
      </c>
      <c r="I1390" s="25" t="str">
        <f aca="false">IF(H1390="","",IF(H1390&lt;=1,"Tramo 1",IF(H1390&lt;=3,"Tramo 2",IF(H1390&lt;=5,"Tramo 3","Tramo 4"))))</f>
        <v/>
      </c>
      <c r="J1390" s="22"/>
      <c r="K1390" s="22"/>
      <c r="L1390" s="22"/>
      <c r="M1390" s="26"/>
      <c r="N1390" s="22"/>
      <c r="O1390" s="22"/>
      <c r="P1390" s="25" t="str">
        <f aca="false">IF(OR(O1390="",O1390="Sin información"),"",IFERROR(INDEX(Listas!$B$2:$B$9,MATCH(O1390,Listas!$A$2:$A$9,0)),""))</f>
        <v/>
      </c>
      <c r="Q1390" s="25" t="str">
        <f aca="false">IF(OR(O1390="",O1390="Sin información"),"",IFERROR(INDEX(Listas!$C$2:$C$9,MATCH(O1390,Listas!$A$2:$A$9,0)),""))</f>
        <v/>
      </c>
      <c r="R1390" s="22"/>
      <c r="S1390" s="22"/>
      <c r="T1390" s="25" t="str">
        <f aca="false">IF(S1390="","",IFERROR(INDEX(Empleadores!$B$2:$B$601,MATCH(S1390,Empleadores!$A$2:$A$601,0)),"No encontrado"))</f>
        <v/>
      </c>
      <c r="U1390" s="25" t="str">
        <f aca="false">IF(C1390="","",IF(V1390="","No",IF(Config!$C$4-V1390&lt;=Config!$C$15,"Sí","No")))</f>
        <v/>
      </c>
      <c r="V1390" s="23"/>
      <c r="W1390" s="22"/>
      <c r="X1390" s="22"/>
      <c r="Y1390" s="22"/>
      <c r="Z1390" s="27"/>
      <c r="AA1390" s="22"/>
      <c r="AB1390" s="22"/>
    </row>
    <row r="1391" customFormat="false" ht="15" hidden="false" customHeight="false" outlineLevel="0" collapsed="false">
      <c r="A1391" s="22"/>
      <c r="B1391" s="22"/>
      <c r="C1391" s="22"/>
      <c r="D1391" s="22"/>
      <c r="E1391" s="22"/>
      <c r="F1391" s="22"/>
      <c r="G1391" s="23"/>
      <c r="H1391" s="24" t="str">
        <f aca="false">IF(G1391="","",ROUND((Config!$C$4-G1391)/365.25,2))</f>
        <v/>
      </c>
      <c r="I1391" s="25" t="str">
        <f aca="false">IF(H1391="","",IF(H1391&lt;=1,"Tramo 1",IF(H1391&lt;=3,"Tramo 2",IF(H1391&lt;=5,"Tramo 3","Tramo 4"))))</f>
        <v/>
      </c>
      <c r="J1391" s="22"/>
      <c r="K1391" s="22"/>
      <c r="L1391" s="22"/>
      <c r="M1391" s="26"/>
      <c r="N1391" s="22"/>
      <c r="O1391" s="22"/>
      <c r="P1391" s="25" t="str">
        <f aca="false">IF(OR(O1391="",O1391="Sin información"),"",IFERROR(INDEX(Listas!$B$2:$B$9,MATCH(O1391,Listas!$A$2:$A$9,0)),""))</f>
        <v/>
      </c>
      <c r="Q1391" s="25" t="str">
        <f aca="false">IF(OR(O1391="",O1391="Sin información"),"",IFERROR(INDEX(Listas!$C$2:$C$9,MATCH(O1391,Listas!$A$2:$A$9,0)),""))</f>
        <v/>
      </c>
      <c r="R1391" s="22"/>
      <c r="S1391" s="22"/>
      <c r="T1391" s="25" t="str">
        <f aca="false">IF(S1391="","",IFERROR(INDEX(Empleadores!$B$2:$B$601,MATCH(S1391,Empleadores!$A$2:$A$601,0)),"No encontrado"))</f>
        <v/>
      </c>
      <c r="U1391" s="25" t="str">
        <f aca="false">IF(C1391="","",IF(V1391="","No",IF(Config!$C$4-V1391&lt;=Config!$C$15,"Sí","No")))</f>
        <v/>
      </c>
      <c r="V1391" s="23"/>
      <c r="W1391" s="22"/>
      <c r="X1391" s="22"/>
      <c r="Y1391" s="22"/>
      <c r="Z1391" s="27"/>
      <c r="AA1391" s="22"/>
      <c r="AB1391" s="22"/>
    </row>
    <row r="1392" customFormat="false" ht="15" hidden="false" customHeight="false" outlineLevel="0" collapsed="false">
      <c r="A1392" s="22"/>
      <c r="B1392" s="22"/>
      <c r="C1392" s="22"/>
      <c r="D1392" s="22"/>
      <c r="E1392" s="22"/>
      <c r="F1392" s="22"/>
      <c r="G1392" s="23"/>
      <c r="H1392" s="24" t="str">
        <f aca="false">IF(G1392="","",ROUND((Config!$C$4-G1392)/365.25,2))</f>
        <v/>
      </c>
      <c r="I1392" s="25" t="str">
        <f aca="false">IF(H1392="","",IF(H1392&lt;=1,"Tramo 1",IF(H1392&lt;=3,"Tramo 2",IF(H1392&lt;=5,"Tramo 3","Tramo 4"))))</f>
        <v/>
      </c>
      <c r="J1392" s="22"/>
      <c r="K1392" s="22"/>
      <c r="L1392" s="22"/>
      <c r="M1392" s="26"/>
      <c r="N1392" s="22"/>
      <c r="O1392" s="22"/>
      <c r="P1392" s="25" t="str">
        <f aca="false">IF(OR(O1392="",O1392="Sin información"),"",IFERROR(INDEX(Listas!$B$2:$B$9,MATCH(O1392,Listas!$A$2:$A$9,0)),""))</f>
        <v/>
      </c>
      <c r="Q1392" s="25" t="str">
        <f aca="false">IF(OR(O1392="",O1392="Sin información"),"",IFERROR(INDEX(Listas!$C$2:$C$9,MATCH(O1392,Listas!$A$2:$A$9,0)),""))</f>
        <v/>
      </c>
      <c r="R1392" s="22"/>
      <c r="S1392" s="22"/>
      <c r="T1392" s="25" t="str">
        <f aca="false">IF(S1392="","",IFERROR(INDEX(Empleadores!$B$2:$B$601,MATCH(S1392,Empleadores!$A$2:$A$601,0)),"No encontrado"))</f>
        <v/>
      </c>
      <c r="U1392" s="25" t="str">
        <f aca="false">IF(C1392="","",IF(V1392="","No",IF(Config!$C$4-V1392&lt;=Config!$C$15,"Sí","No")))</f>
        <v/>
      </c>
      <c r="V1392" s="23"/>
      <c r="W1392" s="22"/>
      <c r="X1392" s="22"/>
      <c r="Y1392" s="22"/>
      <c r="Z1392" s="27"/>
      <c r="AA1392" s="22"/>
      <c r="AB1392" s="22"/>
    </row>
    <row r="1393" customFormat="false" ht="15" hidden="false" customHeight="false" outlineLevel="0" collapsed="false">
      <c r="A1393" s="22"/>
      <c r="B1393" s="22"/>
      <c r="C1393" s="22"/>
      <c r="D1393" s="22"/>
      <c r="E1393" s="22"/>
      <c r="F1393" s="22"/>
      <c r="G1393" s="23"/>
      <c r="H1393" s="24" t="str">
        <f aca="false">IF(G1393="","",ROUND((Config!$C$4-G1393)/365.25,2))</f>
        <v/>
      </c>
      <c r="I1393" s="25" t="str">
        <f aca="false">IF(H1393="","",IF(H1393&lt;=1,"Tramo 1",IF(H1393&lt;=3,"Tramo 2",IF(H1393&lt;=5,"Tramo 3","Tramo 4"))))</f>
        <v/>
      </c>
      <c r="J1393" s="22"/>
      <c r="K1393" s="22"/>
      <c r="L1393" s="22"/>
      <c r="M1393" s="26"/>
      <c r="N1393" s="22"/>
      <c r="O1393" s="22"/>
      <c r="P1393" s="25" t="str">
        <f aca="false">IF(OR(O1393="",O1393="Sin información"),"",IFERROR(INDEX(Listas!$B$2:$B$9,MATCH(O1393,Listas!$A$2:$A$9,0)),""))</f>
        <v/>
      </c>
      <c r="Q1393" s="25" t="str">
        <f aca="false">IF(OR(O1393="",O1393="Sin información"),"",IFERROR(INDEX(Listas!$C$2:$C$9,MATCH(O1393,Listas!$A$2:$A$9,0)),""))</f>
        <v/>
      </c>
      <c r="R1393" s="22"/>
      <c r="S1393" s="22"/>
      <c r="T1393" s="25" t="str">
        <f aca="false">IF(S1393="","",IFERROR(INDEX(Empleadores!$B$2:$B$601,MATCH(S1393,Empleadores!$A$2:$A$601,0)),"No encontrado"))</f>
        <v/>
      </c>
      <c r="U1393" s="25" t="str">
        <f aca="false">IF(C1393="","",IF(V1393="","No",IF(Config!$C$4-V1393&lt;=Config!$C$15,"Sí","No")))</f>
        <v/>
      </c>
      <c r="V1393" s="23"/>
      <c r="W1393" s="22"/>
      <c r="X1393" s="22"/>
      <c r="Y1393" s="22"/>
      <c r="Z1393" s="27"/>
      <c r="AA1393" s="22"/>
      <c r="AB1393" s="22"/>
    </row>
    <row r="1394" customFormat="false" ht="15" hidden="false" customHeight="false" outlineLevel="0" collapsed="false">
      <c r="A1394" s="22"/>
      <c r="B1394" s="22"/>
      <c r="C1394" s="22"/>
      <c r="D1394" s="22"/>
      <c r="E1394" s="22"/>
      <c r="F1394" s="22"/>
      <c r="G1394" s="23"/>
      <c r="H1394" s="24" t="str">
        <f aca="false">IF(G1394="","",ROUND((Config!$C$4-G1394)/365.25,2))</f>
        <v/>
      </c>
      <c r="I1394" s="25" t="str">
        <f aca="false">IF(H1394="","",IF(H1394&lt;=1,"Tramo 1",IF(H1394&lt;=3,"Tramo 2",IF(H1394&lt;=5,"Tramo 3","Tramo 4"))))</f>
        <v/>
      </c>
      <c r="J1394" s="22"/>
      <c r="K1394" s="22"/>
      <c r="L1394" s="22"/>
      <c r="M1394" s="26"/>
      <c r="N1394" s="22"/>
      <c r="O1394" s="22"/>
      <c r="P1394" s="25" t="str">
        <f aca="false">IF(OR(O1394="",O1394="Sin información"),"",IFERROR(INDEX(Listas!$B$2:$B$9,MATCH(O1394,Listas!$A$2:$A$9,0)),""))</f>
        <v/>
      </c>
      <c r="Q1394" s="25" t="str">
        <f aca="false">IF(OR(O1394="",O1394="Sin información"),"",IFERROR(INDEX(Listas!$C$2:$C$9,MATCH(O1394,Listas!$A$2:$A$9,0)),""))</f>
        <v/>
      </c>
      <c r="R1394" s="22"/>
      <c r="S1394" s="22"/>
      <c r="T1394" s="25" t="str">
        <f aca="false">IF(S1394="","",IFERROR(INDEX(Empleadores!$B$2:$B$601,MATCH(S1394,Empleadores!$A$2:$A$601,0)),"No encontrado"))</f>
        <v/>
      </c>
      <c r="U1394" s="25" t="str">
        <f aca="false">IF(C1394="","",IF(V1394="","No",IF(Config!$C$4-V1394&lt;=Config!$C$15,"Sí","No")))</f>
        <v/>
      </c>
      <c r="V1394" s="23"/>
      <c r="W1394" s="22"/>
      <c r="X1394" s="22"/>
      <c r="Y1394" s="22"/>
      <c r="Z1394" s="27"/>
      <c r="AA1394" s="22"/>
      <c r="AB1394" s="22"/>
    </row>
    <row r="1395" customFormat="false" ht="15" hidden="false" customHeight="false" outlineLevel="0" collapsed="false">
      <c r="A1395" s="22"/>
      <c r="B1395" s="22"/>
      <c r="C1395" s="22"/>
      <c r="D1395" s="22"/>
      <c r="E1395" s="22"/>
      <c r="F1395" s="22"/>
      <c r="G1395" s="23"/>
      <c r="H1395" s="24" t="str">
        <f aca="false">IF(G1395="","",ROUND((Config!$C$4-G1395)/365.25,2))</f>
        <v/>
      </c>
      <c r="I1395" s="25" t="str">
        <f aca="false">IF(H1395="","",IF(H1395&lt;=1,"Tramo 1",IF(H1395&lt;=3,"Tramo 2",IF(H1395&lt;=5,"Tramo 3","Tramo 4"))))</f>
        <v/>
      </c>
      <c r="J1395" s="22"/>
      <c r="K1395" s="22"/>
      <c r="L1395" s="22"/>
      <c r="M1395" s="26"/>
      <c r="N1395" s="22"/>
      <c r="O1395" s="22"/>
      <c r="P1395" s="25" t="str">
        <f aca="false">IF(OR(O1395="",O1395="Sin información"),"",IFERROR(INDEX(Listas!$B$2:$B$9,MATCH(O1395,Listas!$A$2:$A$9,0)),""))</f>
        <v/>
      </c>
      <c r="Q1395" s="25" t="str">
        <f aca="false">IF(OR(O1395="",O1395="Sin información"),"",IFERROR(INDEX(Listas!$C$2:$C$9,MATCH(O1395,Listas!$A$2:$A$9,0)),""))</f>
        <v/>
      </c>
      <c r="R1395" s="22"/>
      <c r="S1395" s="22"/>
      <c r="T1395" s="25" t="str">
        <f aca="false">IF(S1395="","",IFERROR(INDEX(Empleadores!$B$2:$B$601,MATCH(S1395,Empleadores!$A$2:$A$601,0)),"No encontrado"))</f>
        <v/>
      </c>
      <c r="U1395" s="25" t="str">
        <f aca="false">IF(C1395="","",IF(V1395="","No",IF(Config!$C$4-V1395&lt;=Config!$C$15,"Sí","No")))</f>
        <v/>
      </c>
      <c r="V1395" s="23"/>
      <c r="W1395" s="22"/>
      <c r="X1395" s="22"/>
      <c r="Y1395" s="22"/>
      <c r="Z1395" s="27"/>
      <c r="AA1395" s="22"/>
      <c r="AB1395" s="22"/>
    </row>
    <row r="1396" customFormat="false" ht="15" hidden="false" customHeight="false" outlineLevel="0" collapsed="false">
      <c r="A1396" s="22"/>
      <c r="B1396" s="22"/>
      <c r="C1396" s="22"/>
      <c r="D1396" s="22"/>
      <c r="E1396" s="22"/>
      <c r="F1396" s="22"/>
      <c r="G1396" s="23"/>
      <c r="H1396" s="24" t="str">
        <f aca="false">IF(G1396="","",ROUND((Config!$C$4-G1396)/365.25,2))</f>
        <v/>
      </c>
      <c r="I1396" s="25" t="str">
        <f aca="false">IF(H1396="","",IF(H1396&lt;=1,"Tramo 1",IF(H1396&lt;=3,"Tramo 2",IF(H1396&lt;=5,"Tramo 3","Tramo 4"))))</f>
        <v/>
      </c>
      <c r="J1396" s="22"/>
      <c r="K1396" s="22"/>
      <c r="L1396" s="22"/>
      <c r="M1396" s="26"/>
      <c r="N1396" s="22"/>
      <c r="O1396" s="22"/>
      <c r="P1396" s="25" t="str">
        <f aca="false">IF(OR(O1396="",O1396="Sin información"),"",IFERROR(INDEX(Listas!$B$2:$B$9,MATCH(O1396,Listas!$A$2:$A$9,0)),""))</f>
        <v/>
      </c>
      <c r="Q1396" s="25" t="str">
        <f aca="false">IF(OR(O1396="",O1396="Sin información"),"",IFERROR(INDEX(Listas!$C$2:$C$9,MATCH(O1396,Listas!$A$2:$A$9,0)),""))</f>
        <v/>
      </c>
      <c r="R1396" s="22"/>
      <c r="S1396" s="22"/>
      <c r="T1396" s="25" t="str">
        <f aca="false">IF(S1396="","",IFERROR(INDEX(Empleadores!$B$2:$B$601,MATCH(S1396,Empleadores!$A$2:$A$601,0)),"No encontrado"))</f>
        <v/>
      </c>
      <c r="U1396" s="25" t="str">
        <f aca="false">IF(C1396="","",IF(V1396="","No",IF(Config!$C$4-V1396&lt;=Config!$C$15,"Sí","No")))</f>
        <v/>
      </c>
      <c r="V1396" s="23"/>
      <c r="W1396" s="22"/>
      <c r="X1396" s="22"/>
      <c r="Y1396" s="22"/>
      <c r="Z1396" s="27"/>
      <c r="AA1396" s="22"/>
      <c r="AB1396" s="22"/>
    </row>
    <row r="1397" customFormat="false" ht="15" hidden="false" customHeight="false" outlineLevel="0" collapsed="false">
      <c r="A1397" s="22"/>
      <c r="B1397" s="22"/>
      <c r="C1397" s="22"/>
      <c r="D1397" s="22"/>
      <c r="E1397" s="22"/>
      <c r="F1397" s="22"/>
      <c r="G1397" s="23"/>
      <c r="H1397" s="24" t="str">
        <f aca="false">IF(G1397="","",ROUND((Config!$C$4-G1397)/365.25,2))</f>
        <v/>
      </c>
      <c r="I1397" s="25" t="str">
        <f aca="false">IF(H1397="","",IF(H1397&lt;=1,"Tramo 1",IF(H1397&lt;=3,"Tramo 2",IF(H1397&lt;=5,"Tramo 3","Tramo 4"))))</f>
        <v/>
      </c>
      <c r="J1397" s="22"/>
      <c r="K1397" s="22"/>
      <c r="L1397" s="22"/>
      <c r="M1397" s="26"/>
      <c r="N1397" s="22"/>
      <c r="O1397" s="22"/>
      <c r="P1397" s="25" t="str">
        <f aca="false">IF(OR(O1397="",O1397="Sin información"),"",IFERROR(INDEX(Listas!$B$2:$B$9,MATCH(O1397,Listas!$A$2:$A$9,0)),""))</f>
        <v/>
      </c>
      <c r="Q1397" s="25" t="str">
        <f aca="false">IF(OR(O1397="",O1397="Sin información"),"",IFERROR(INDEX(Listas!$C$2:$C$9,MATCH(O1397,Listas!$A$2:$A$9,0)),""))</f>
        <v/>
      </c>
      <c r="R1397" s="22"/>
      <c r="S1397" s="22"/>
      <c r="T1397" s="25" t="str">
        <f aca="false">IF(S1397="","",IFERROR(INDEX(Empleadores!$B$2:$B$601,MATCH(S1397,Empleadores!$A$2:$A$601,0)),"No encontrado"))</f>
        <v/>
      </c>
      <c r="U1397" s="25" t="str">
        <f aca="false">IF(C1397="","",IF(V1397="","No",IF(Config!$C$4-V1397&lt;=Config!$C$15,"Sí","No")))</f>
        <v/>
      </c>
      <c r="V1397" s="23"/>
      <c r="W1397" s="22"/>
      <c r="X1397" s="22"/>
      <c r="Y1397" s="22"/>
      <c r="Z1397" s="27"/>
      <c r="AA1397" s="22"/>
      <c r="AB1397" s="22"/>
    </row>
    <row r="1398" customFormat="false" ht="15" hidden="false" customHeight="false" outlineLevel="0" collapsed="false">
      <c r="A1398" s="22"/>
      <c r="B1398" s="22"/>
      <c r="C1398" s="22"/>
      <c r="D1398" s="22"/>
      <c r="E1398" s="22"/>
      <c r="F1398" s="22"/>
      <c r="G1398" s="23"/>
      <c r="H1398" s="24" t="str">
        <f aca="false">IF(G1398="","",ROUND((Config!$C$4-G1398)/365.25,2))</f>
        <v/>
      </c>
      <c r="I1398" s="25" t="str">
        <f aca="false">IF(H1398="","",IF(H1398&lt;=1,"Tramo 1",IF(H1398&lt;=3,"Tramo 2",IF(H1398&lt;=5,"Tramo 3","Tramo 4"))))</f>
        <v/>
      </c>
      <c r="J1398" s="22"/>
      <c r="K1398" s="22"/>
      <c r="L1398" s="22"/>
      <c r="M1398" s="26"/>
      <c r="N1398" s="22"/>
      <c r="O1398" s="22"/>
      <c r="P1398" s="25" t="str">
        <f aca="false">IF(OR(O1398="",O1398="Sin información"),"",IFERROR(INDEX(Listas!$B$2:$B$9,MATCH(O1398,Listas!$A$2:$A$9,0)),""))</f>
        <v/>
      </c>
      <c r="Q1398" s="25" t="str">
        <f aca="false">IF(OR(O1398="",O1398="Sin información"),"",IFERROR(INDEX(Listas!$C$2:$C$9,MATCH(O1398,Listas!$A$2:$A$9,0)),""))</f>
        <v/>
      </c>
      <c r="R1398" s="22"/>
      <c r="S1398" s="22"/>
      <c r="T1398" s="25" t="str">
        <f aca="false">IF(S1398="","",IFERROR(INDEX(Empleadores!$B$2:$B$601,MATCH(S1398,Empleadores!$A$2:$A$601,0)),"No encontrado"))</f>
        <v/>
      </c>
      <c r="U1398" s="25" t="str">
        <f aca="false">IF(C1398="","",IF(V1398="","No",IF(Config!$C$4-V1398&lt;=Config!$C$15,"Sí","No")))</f>
        <v/>
      </c>
      <c r="V1398" s="23"/>
      <c r="W1398" s="22"/>
      <c r="X1398" s="22"/>
      <c r="Y1398" s="22"/>
      <c r="Z1398" s="27"/>
      <c r="AA1398" s="22"/>
      <c r="AB1398" s="22"/>
    </row>
    <row r="1399" customFormat="false" ht="15" hidden="false" customHeight="false" outlineLevel="0" collapsed="false">
      <c r="A1399" s="22"/>
      <c r="B1399" s="22"/>
      <c r="C1399" s="22"/>
      <c r="D1399" s="22"/>
      <c r="E1399" s="22"/>
      <c r="F1399" s="22"/>
      <c r="G1399" s="23"/>
      <c r="H1399" s="24" t="str">
        <f aca="false">IF(G1399="","",ROUND((Config!$C$4-G1399)/365.25,2))</f>
        <v/>
      </c>
      <c r="I1399" s="25" t="str">
        <f aca="false">IF(H1399="","",IF(H1399&lt;=1,"Tramo 1",IF(H1399&lt;=3,"Tramo 2",IF(H1399&lt;=5,"Tramo 3","Tramo 4"))))</f>
        <v/>
      </c>
      <c r="J1399" s="22"/>
      <c r="K1399" s="22"/>
      <c r="L1399" s="22"/>
      <c r="M1399" s="26"/>
      <c r="N1399" s="22"/>
      <c r="O1399" s="22"/>
      <c r="P1399" s="25" t="str">
        <f aca="false">IF(OR(O1399="",O1399="Sin información"),"",IFERROR(INDEX(Listas!$B$2:$B$9,MATCH(O1399,Listas!$A$2:$A$9,0)),""))</f>
        <v/>
      </c>
      <c r="Q1399" s="25" t="str">
        <f aca="false">IF(OR(O1399="",O1399="Sin información"),"",IFERROR(INDEX(Listas!$C$2:$C$9,MATCH(O1399,Listas!$A$2:$A$9,0)),""))</f>
        <v/>
      </c>
      <c r="R1399" s="22"/>
      <c r="S1399" s="22"/>
      <c r="T1399" s="25" t="str">
        <f aca="false">IF(S1399="","",IFERROR(INDEX(Empleadores!$B$2:$B$601,MATCH(S1399,Empleadores!$A$2:$A$601,0)),"No encontrado"))</f>
        <v/>
      </c>
      <c r="U1399" s="25" t="str">
        <f aca="false">IF(C1399="","",IF(V1399="","No",IF(Config!$C$4-V1399&lt;=Config!$C$15,"Sí","No")))</f>
        <v/>
      </c>
      <c r="V1399" s="23"/>
      <c r="W1399" s="22"/>
      <c r="X1399" s="22"/>
      <c r="Y1399" s="22"/>
      <c r="Z1399" s="27"/>
      <c r="AA1399" s="22"/>
      <c r="AB1399" s="22"/>
    </row>
    <row r="1400" customFormat="false" ht="15" hidden="false" customHeight="false" outlineLevel="0" collapsed="false">
      <c r="A1400" s="22"/>
      <c r="B1400" s="22"/>
      <c r="C1400" s="22"/>
      <c r="D1400" s="22"/>
      <c r="E1400" s="22"/>
      <c r="F1400" s="22"/>
      <c r="G1400" s="23"/>
      <c r="H1400" s="24" t="str">
        <f aca="false">IF(G1400="","",ROUND((Config!$C$4-G1400)/365.25,2))</f>
        <v/>
      </c>
      <c r="I1400" s="25" t="str">
        <f aca="false">IF(H1400="","",IF(H1400&lt;=1,"Tramo 1",IF(H1400&lt;=3,"Tramo 2",IF(H1400&lt;=5,"Tramo 3","Tramo 4"))))</f>
        <v/>
      </c>
      <c r="J1400" s="22"/>
      <c r="K1400" s="22"/>
      <c r="L1400" s="22"/>
      <c r="M1400" s="26"/>
      <c r="N1400" s="22"/>
      <c r="O1400" s="22"/>
      <c r="P1400" s="25" t="str">
        <f aca="false">IF(OR(O1400="",O1400="Sin información"),"",IFERROR(INDEX(Listas!$B$2:$B$9,MATCH(O1400,Listas!$A$2:$A$9,0)),""))</f>
        <v/>
      </c>
      <c r="Q1400" s="25" t="str">
        <f aca="false">IF(OR(O1400="",O1400="Sin información"),"",IFERROR(INDEX(Listas!$C$2:$C$9,MATCH(O1400,Listas!$A$2:$A$9,0)),""))</f>
        <v/>
      </c>
      <c r="R1400" s="22"/>
      <c r="S1400" s="22"/>
      <c r="T1400" s="25" t="str">
        <f aca="false">IF(S1400="","",IFERROR(INDEX(Empleadores!$B$2:$B$601,MATCH(S1400,Empleadores!$A$2:$A$601,0)),"No encontrado"))</f>
        <v/>
      </c>
      <c r="U1400" s="25" t="str">
        <f aca="false">IF(C1400="","",IF(V1400="","No",IF(Config!$C$4-V1400&lt;=Config!$C$15,"Sí","No")))</f>
        <v/>
      </c>
      <c r="V1400" s="23"/>
      <c r="W1400" s="22"/>
      <c r="X1400" s="22"/>
      <c r="Y1400" s="22"/>
      <c r="Z1400" s="27"/>
      <c r="AA1400" s="22"/>
      <c r="AB1400" s="22"/>
    </row>
    <row r="1401" customFormat="false" ht="15" hidden="false" customHeight="false" outlineLevel="0" collapsed="false">
      <c r="A1401" s="22"/>
      <c r="B1401" s="22"/>
      <c r="C1401" s="22"/>
      <c r="D1401" s="22"/>
      <c r="E1401" s="22"/>
      <c r="F1401" s="22"/>
      <c r="G1401" s="23"/>
      <c r="H1401" s="24" t="str">
        <f aca="false">IF(G1401="","",ROUND((Config!$C$4-G1401)/365.25,2))</f>
        <v/>
      </c>
      <c r="I1401" s="25" t="str">
        <f aca="false">IF(H1401="","",IF(H1401&lt;=1,"Tramo 1",IF(H1401&lt;=3,"Tramo 2",IF(H1401&lt;=5,"Tramo 3","Tramo 4"))))</f>
        <v/>
      </c>
      <c r="J1401" s="22"/>
      <c r="K1401" s="22"/>
      <c r="L1401" s="22"/>
      <c r="M1401" s="26"/>
      <c r="N1401" s="22"/>
      <c r="O1401" s="22"/>
      <c r="P1401" s="25" t="str">
        <f aca="false">IF(OR(O1401="",O1401="Sin información"),"",IFERROR(INDEX(Listas!$B$2:$B$9,MATCH(O1401,Listas!$A$2:$A$9,0)),""))</f>
        <v/>
      </c>
      <c r="Q1401" s="25" t="str">
        <f aca="false">IF(OR(O1401="",O1401="Sin información"),"",IFERROR(INDEX(Listas!$C$2:$C$9,MATCH(O1401,Listas!$A$2:$A$9,0)),""))</f>
        <v/>
      </c>
      <c r="R1401" s="22"/>
      <c r="S1401" s="22"/>
      <c r="T1401" s="25" t="str">
        <f aca="false">IF(S1401="","",IFERROR(INDEX(Empleadores!$B$2:$B$601,MATCH(S1401,Empleadores!$A$2:$A$601,0)),"No encontrado"))</f>
        <v/>
      </c>
      <c r="U1401" s="25" t="str">
        <f aca="false">IF(C1401="","",IF(V1401="","No",IF(Config!$C$4-V1401&lt;=Config!$C$15,"Sí","No")))</f>
        <v/>
      </c>
      <c r="V1401" s="23"/>
      <c r="W1401" s="22"/>
      <c r="X1401" s="22"/>
      <c r="Y1401" s="22"/>
      <c r="Z1401" s="27"/>
      <c r="AA1401" s="22"/>
      <c r="AB1401" s="22"/>
    </row>
    <row r="1402" customFormat="false" ht="15" hidden="false" customHeight="false" outlineLevel="0" collapsed="false">
      <c r="A1402" s="22"/>
      <c r="B1402" s="22"/>
      <c r="C1402" s="22"/>
      <c r="D1402" s="22"/>
      <c r="E1402" s="22"/>
      <c r="F1402" s="22"/>
      <c r="G1402" s="23"/>
      <c r="H1402" s="24" t="str">
        <f aca="false">IF(G1402="","",ROUND((Config!$C$4-G1402)/365.25,2))</f>
        <v/>
      </c>
      <c r="I1402" s="25" t="str">
        <f aca="false">IF(H1402="","",IF(H1402&lt;=1,"Tramo 1",IF(H1402&lt;=3,"Tramo 2",IF(H1402&lt;=5,"Tramo 3","Tramo 4"))))</f>
        <v/>
      </c>
      <c r="J1402" s="22"/>
      <c r="K1402" s="22"/>
      <c r="L1402" s="22"/>
      <c r="M1402" s="26"/>
      <c r="N1402" s="22"/>
      <c r="O1402" s="22"/>
      <c r="P1402" s="25" t="str">
        <f aca="false">IF(OR(O1402="",O1402="Sin información"),"",IFERROR(INDEX(Listas!$B$2:$B$9,MATCH(O1402,Listas!$A$2:$A$9,0)),""))</f>
        <v/>
      </c>
      <c r="Q1402" s="25" t="str">
        <f aca="false">IF(OR(O1402="",O1402="Sin información"),"",IFERROR(INDEX(Listas!$C$2:$C$9,MATCH(O1402,Listas!$A$2:$A$9,0)),""))</f>
        <v/>
      </c>
      <c r="R1402" s="22"/>
      <c r="S1402" s="22"/>
      <c r="T1402" s="25" t="str">
        <f aca="false">IF(S1402="","",IFERROR(INDEX(Empleadores!$B$2:$B$601,MATCH(S1402,Empleadores!$A$2:$A$601,0)),"No encontrado"))</f>
        <v/>
      </c>
      <c r="U1402" s="25" t="str">
        <f aca="false">IF(C1402="","",IF(V1402="","No",IF(Config!$C$4-V1402&lt;=Config!$C$15,"Sí","No")))</f>
        <v/>
      </c>
      <c r="V1402" s="23"/>
      <c r="W1402" s="22"/>
      <c r="X1402" s="22"/>
      <c r="Y1402" s="22"/>
      <c r="Z1402" s="27"/>
      <c r="AA1402" s="22"/>
      <c r="AB1402" s="22"/>
    </row>
    <row r="1403" customFormat="false" ht="15" hidden="false" customHeight="false" outlineLevel="0" collapsed="false">
      <c r="A1403" s="22"/>
      <c r="B1403" s="22"/>
      <c r="C1403" s="22"/>
      <c r="D1403" s="22"/>
      <c r="E1403" s="22"/>
      <c r="F1403" s="22"/>
      <c r="G1403" s="23"/>
      <c r="H1403" s="24" t="str">
        <f aca="false">IF(G1403="","",ROUND((Config!$C$4-G1403)/365.25,2))</f>
        <v/>
      </c>
      <c r="I1403" s="25" t="str">
        <f aca="false">IF(H1403="","",IF(H1403&lt;=1,"Tramo 1",IF(H1403&lt;=3,"Tramo 2",IF(H1403&lt;=5,"Tramo 3","Tramo 4"))))</f>
        <v/>
      </c>
      <c r="J1403" s="22"/>
      <c r="K1403" s="22"/>
      <c r="L1403" s="22"/>
      <c r="M1403" s="26"/>
      <c r="N1403" s="22"/>
      <c r="O1403" s="22"/>
      <c r="P1403" s="25" t="str">
        <f aca="false">IF(OR(O1403="",O1403="Sin información"),"",IFERROR(INDEX(Listas!$B$2:$B$9,MATCH(O1403,Listas!$A$2:$A$9,0)),""))</f>
        <v/>
      </c>
      <c r="Q1403" s="25" t="str">
        <f aca="false">IF(OR(O1403="",O1403="Sin información"),"",IFERROR(INDEX(Listas!$C$2:$C$9,MATCH(O1403,Listas!$A$2:$A$9,0)),""))</f>
        <v/>
      </c>
      <c r="R1403" s="22"/>
      <c r="S1403" s="22"/>
      <c r="T1403" s="25" t="str">
        <f aca="false">IF(S1403="","",IFERROR(INDEX(Empleadores!$B$2:$B$601,MATCH(S1403,Empleadores!$A$2:$A$601,0)),"No encontrado"))</f>
        <v/>
      </c>
      <c r="U1403" s="25" t="str">
        <f aca="false">IF(C1403="","",IF(V1403="","No",IF(Config!$C$4-V1403&lt;=Config!$C$15,"Sí","No")))</f>
        <v/>
      </c>
      <c r="V1403" s="23"/>
      <c r="W1403" s="22"/>
      <c r="X1403" s="22"/>
      <c r="Y1403" s="22"/>
      <c r="Z1403" s="27"/>
      <c r="AA1403" s="22"/>
      <c r="AB1403" s="22"/>
    </row>
    <row r="1404" customFormat="false" ht="15" hidden="false" customHeight="false" outlineLevel="0" collapsed="false">
      <c r="A1404" s="22"/>
      <c r="B1404" s="22"/>
      <c r="C1404" s="22"/>
      <c r="D1404" s="22"/>
      <c r="E1404" s="22"/>
      <c r="F1404" s="22"/>
      <c r="G1404" s="23"/>
      <c r="H1404" s="24" t="str">
        <f aca="false">IF(G1404="","",ROUND((Config!$C$4-G1404)/365.25,2))</f>
        <v/>
      </c>
      <c r="I1404" s="25" t="str">
        <f aca="false">IF(H1404="","",IF(H1404&lt;=1,"Tramo 1",IF(H1404&lt;=3,"Tramo 2",IF(H1404&lt;=5,"Tramo 3","Tramo 4"))))</f>
        <v/>
      </c>
      <c r="J1404" s="22"/>
      <c r="K1404" s="22"/>
      <c r="L1404" s="22"/>
      <c r="M1404" s="26"/>
      <c r="N1404" s="22"/>
      <c r="O1404" s="22"/>
      <c r="P1404" s="25" t="str">
        <f aca="false">IF(OR(O1404="",O1404="Sin información"),"",IFERROR(INDEX(Listas!$B$2:$B$9,MATCH(O1404,Listas!$A$2:$A$9,0)),""))</f>
        <v/>
      </c>
      <c r="Q1404" s="25" t="str">
        <f aca="false">IF(OR(O1404="",O1404="Sin información"),"",IFERROR(INDEX(Listas!$C$2:$C$9,MATCH(O1404,Listas!$A$2:$A$9,0)),""))</f>
        <v/>
      </c>
      <c r="R1404" s="22"/>
      <c r="S1404" s="22"/>
      <c r="T1404" s="25" t="str">
        <f aca="false">IF(S1404="","",IFERROR(INDEX(Empleadores!$B$2:$B$601,MATCH(S1404,Empleadores!$A$2:$A$601,0)),"No encontrado"))</f>
        <v/>
      </c>
      <c r="U1404" s="25" t="str">
        <f aca="false">IF(C1404="","",IF(V1404="","No",IF(Config!$C$4-V1404&lt;=Config!$C$15,"Sí","No")))</f>
        <v/>
      </c>
      <c r="V1404" s="23"/>
      <c r="W1404" s="22"/>
      <c r="X1404" s="22"/>
      <c r="Y1404" s="22"/>
      <c r="Z1404" s="27"/>
      <c r="AA1404" s="22"/>
      <c r="AB1404" s="22"/>
    </row>
    <row r="1405" customFormat="false" ht="15" hidden="false" customHeight="false" outlineLevel="0" collapsed="false">
      <c r="A1405" s="22"/>
      <c r="B1405" s="22"/>
      <c r="C1405" s="22"/>
      <c r="D1405" s="22"/>
      <c r="E1405" s="22"/>
      <c r="F1405" s="22"/>
      <c r="G1405" s="23"/>
      <c r="H1405" s="24" t="str">
        <f aca="false">IF(G1405="","",ROUND((Config!$C$4-G1405)/365.25,2))</f>
        <v/>
      </c>
      <c r="I1405" s="25" t="str">
        <f aca="false">IF(H1405="","",IF(H1405&lt;=1,"Tramo 1",IF(H1405&lt;=3,"Tramo 2",IF(H1405&lt;=5,"Tramo 3","Tramo 4"))))</f>
        <v/>
      </c>
      <c r="J1405" s="22"/>
      <c r="K1405" s="22"/>
      <c r="L1405" s="22"/>
      <c r="M1405" s="26"/>
      <c r="N1405" s="22"/>
      <c r="O1405" s="22"/>
      <c r="P1405" s="25" t="str">
        <f aca="false">IF(OR(O1405="",O1405="Sin información"),"",IFERROR(INDEX(Listas!$B$2:$B$9,MATCH(O1405,Listas!$A$2:$A$9,0)),""))</f>
        <v/>
      </c>
      <c r="Q1405" s="25" t="str">
        <f aca="false">IF(OR(O1405="",O1405="Sin información"),"",IFERROR(INDEX(Listas!$C$2:$C$9,MATCH(O1405,Listas!$A$2:$A$9,0)),""))</f>
        <v/>
      </c>
      <c r="R1405" s="22"/>
      <c r="S1405" s="22"/>
      <c r="T1405" s="25" t="str">
        <f aca="false">IF(S1405="","",IFERROR(INDEX(Empleadores!$B$2:$B$601,MATCH(S1405,Empleadores!$A$2:$A$601,0)),"No encontrado"))</f>
        <v/>
      </c>
      <c r="U1405" s="25" t="str">
        <f aca="false">IF(C1405="","",IF(V1405="","No",IF(Config!$C$4-V1405&lt;=Config!$C$15,"Sí","No")))</f>
        <v/>
      </c>
      <c r="V1405" s="23"/>
      <c r="W1405" s="22"/>
      <c r="X1405" s="22"/>
      <c r="Y1405" s="22"/>
      <c r="Z1405" s="27"/>
      <c r="AA1405" s="22"/>
      <c r="AB1405" s="22"/>
    </row>
    <row r="1406" customFormat="false" ht="15" hidden="false" customHeight="false" outlineLevel="0" collapsed="false">
      <c r="A1406" s="22"/>
      <c r="B1406" s="22"/>
      <c r="C1406" s="22"/>
      <c r="D1406" s="22"/>
      <c r="E1406" s="22"/>
      <c r="F1406" s="22"/>
      <c r="G1406" s="23"/>
      <c r="H1406" s="24" t="str">
        <f aca="false">IF(G1406="","",ROUND((Config!$C$4-G1406)/365.25,2))</f>
        <v/>
      </c>
      <c r="I1406" s="25" t="str">
        <f aca="false">IF(H1406="","",IF(H1406&lt;=1,"Tramo 1",IF(H1406&lt;=3,"Tramo 2",IF(H1406&lt;=5,"Tramo 3","Tramo 4"))))</f>
        <v/>
      </c>
      <c r="J1406" s="22"/>
      <c r="K1406" s="22"/>
      <c r="L1406" s="22"/>
      <c r="M1406" s="26"/>
      <c r="N1406" s="22"/>
      <c r="O1406" s="22"/>
      <c r="P1406" s="25" t="str">
        <f aca="false">IF(OR(O1406="",O1406="Sin información"),"",IFERROR(INDEX(Listas!$B$2:$B$9,MATCH(O1406,Listas!$A$2:$A$9,0)),""))</f>
        <v/>
      </c>
      <c r="Q1406" s="25" t="str">
        <f aca="false">IF(OR(O1406="",O1406="Sin información"),"",IFERROR(INDEX(Listas!$C$2:$C$9,MATCH(O1406,Listas!$A$2:$A$9,0)),""))</f>
        <v/>
      </c>
      <c r="R1406" s="22"/>
      <c r="S1406" s="22"/>
      <c r="T1406" s="25" t="str">
        <f aca="false">IF(S1406="","",IFERROR(INDEX(Empleadores!$B$2:$B$601,MATCH(S1406,Empleadores!$A$2:$A$601,0)),"No encontrado"))</f>
        <v/>
      </c>
      <c r="U1406" s="25" t="str">
        <f aca="false">IF(C1406="","",IF(V1406="","No",IF(Config!$C$4-V1406&lt;=Config!$C$15,"Sí","No")))</f>
        <v/>
      </c>
      <c r="V1406" s="23"/>
      <c r="W1406" s="22"/>
      <c r="X1406" s="22"/>
      <c r="Y1406" s="22"/>
      <c r="Z1406" s="27"/>
      <c r="AA1406" s="22"/>
      <c r="AB1406" s="22"/>
    </row>
    <row r="1407" customFormat="false" ht="15" hidden="false" customHeight="false" outlineLevel="0" collapsed="false">
      <c r="A1407" s="22"/>
      <c r="B1407" s="22"/>
      <c r="C1407" s="22"/>
      <c r="D1407" s="22"/>
      <c r="E1407" s="22"/>
      <c r="F1407" s="22"/>
      <c r="G1407" s="23"/>
      <c r="H1407" s="24" t="str">
        <f aca="false">IF(G1407="","",ROUND((Config!$C$4-G1407)/365.25,2))</f>
        <v/>
      </c>
      <c r="I1407" s="25" t="str">
        <f aca="false">IF(H1407="","",IF(H1407&lt;=1,"Tramo 1",IF(H1407&lt;=3,"Tramo 2",IF(H1407&lt;=5,"Tramo 3","Tramo 4"))))</f>
        <v/>
      </c>
      <c r="J1407" s="22"/>
      <c r="K1407" s="22"/>
      <c r="L1407" s="22"/>
      <c r="M1407" s="26"/>
      <c r="N1407" s="22"/>
      <c r="O1407" s="22"/>
      <c r="P1407" s="25" t="str">
        <f aca="false">IF(OR(O1407="",O1407="Sin información"),"",IFERROR(INDEX(Listas!$B$2:$B$9,MATCH(O1407,Listas!$A$2:$A$9,0)),""))</f>
        <v/>
      </c>
      <c r="Q1407" s="25" t="str">
        <f aca="false">IF(OR(O1407="",O1407="Sin información"),"",IFERROR(INDEX(Listas!$C$2:$C$9,MATCH(O1407,Listas!$A$2:$A$9,0)),""))</f>
        <v/>
      </c>
      <c r="R1407" s="22"/>
      <c r="S1407" s="22"/>
      <c r="T1407" s="25" t="str">
        <f aca="false">IF(S1407="","",IFERROR(INDEX(Empleadores!$B$2:$B$601,MATCH(S1407,Empleadores!$A$2:$A$601,0)),"No encontrado"))</f>
        <v/>
      </c>
      <c r="U1407" s="25" t="str">
        <f aca="false">IF(C1407="","",IF(V1407="","No",IF(Config!$C$4-V1407&lt;=Config!$C$15,"Sí","No")))</f>
        <v/>
      </c>
      <c r="V1407" s="23"/>
      <c r="W1407" s="22"/>
      <c r="X1407" s="22"/>
      <c r="Y1407" s="22"/>
      <c r="Z1407" s="27"/>
      <c r="AA1407" s="22"/>
      <c r="AB1407" s="22"/>
    </row>
    <row r="1408" customFormat="false" ht="15" hidden="false" customHeight="false" outlineLevel="0" collapsed="false">
      <c r="A1408" s="22"/>
      <c r="B1408" s="22"/>
      <c r="C1408" s="22"/>
      <c r="D1408" s="22"/>
      <c r="E1408" s="22"/>
      <c r="F1408" s="22"/>
      <c r="G1408" s="23"/>
      <c r="H1408" s="24" t="str">
        <f aca="false">IF(G1408="","",ROUND((Config!$C$4-G1408)/365.25,2))</f>
        <v/>
      </c>
      <c r="I1408" s="25" t="str">
        <f aca="false">IF(H1408="","",IF(H1408&lt;=1,"Tramo 1",IF(H1408&lt;=3,"Tramo 2",IF(H1408&lt;=5,"Tramo 3","Tramo 4"))))</f>
        <v/>
      </c>
      <c r="J1408" s="22"/>
      <c r="K1408" s="22"/>
      <c r="L1408" s="22"/>
      <c r="M1408" s="26"/>
      <c r="N1408" s="22"/>
      <c r="O1408" s="22"/>
      <c r="P1408" s="25" t="str">
        <f aca="false">IF(OR(O1408="",O1408="Sin información"),"",IFERROR(INDEX(Listas!$B$2:$B$9,MATCH(O1408,Listas!$A$2:$A$9,0)),""))</f>
        <v/>
      </c>
      <c r="Q1408" s="25" t="str">
        <f aca="false">IF(OR(O1408="",O1408="Sin información"),"",IFERROR(INDEX(Listas!$C$2:$C$9,MATCH(O1408,Listas!$A$2:$A$9,0)),""))</f>
        <v/>
      </c>
      <c r="R1408" s="22"/>
      <c r="S1408" s="22"/>
      <c r="T1408" s="25" t="str">
        <f aca="false">IF(S1408="","",IFERROR(INDEX(Empleadores!$B$2:$B$601,MATCH(S1408,Empleadores!$A$2:$A$601,0)),"No encontrado"))</f>
        <v/>
      </c>
      <c r="U1408" s="25" t="str">
        <f aca="false">IF(C1408="","",IF(V1408="","No",IF(Config!$C$4-V1408&lt;=Config!$C$15,"Sí","No")))</f>
        <v/>
      </c>
      <c r="V1408" s="23"/>
      <c r="W1408" s="22"/>
      <c r="X1408" s="22"/>
      <c r="Y1408" s="22"/>
      <c r="Z1408" s="27"/>
      <c r="AA1408" s="22"/>
      <c r="AB1408" s="22"/>
    </row>
    <row r="1409" customFormat="false" ht="15" hidden="false" customHeight="false" outlineLevel="0" collapsed="false">
      <c r="A1409" s="22"/>
      <c r="B1409" s="22"/>
      <c r="C1409" s="22"/>
      <c r="D1409" s="22"/>
      <c r="E1409" s="22"/>
      <c r="F1409" s="22"/>
      <c r="G1409" s="23"/>
      <c r="H1409" s="24" t="str">
        <f aca="false">IF(G1409="","",ROUND((Config!$C$4-G1409)/365.25,2))</f>
        <v/>
      </c>
      <c r="I1409" s="25" t="str">
        <f aca="false">IF(H1409="","",IF(H1409&lt;=1,"Tramo 1",IF(H1409&lt;=3,"Tramo 2",IF(H1409&lt;=5,"Tramo 3","Tramo 4"))))</f>
        <v/>
      </c>
      <c r="J1409" s="22"/>
      <c r="K1409" s="22"/>
      <c r="L1409" s="22"/>
      <c r="M1409" s="26"/>
      <c r="N1409" s="22"/>
      <c r="O1409" s="22"/>
      <c r="P1409" s="25" t="str">
        <f aca="false">IF(OR(O1409="",O1409="Sin información"),"",IFERROR(INDEX(Listas!$B$2:$B$9,MATCH(O1409,Listas!$A$2:$A$9,0)),""))</f>
        <v/>
      </c>
      <c r="Q1409" s="25" t="str">
        <f aca="false">IF(OR(O1409="",O1409="Sin información"),"",IFERROR(INDEX(Listas!$C$2:$C$9,MATCH(O1409,Listas!$A$2:$A$9,0)),""))</f>
        <v/>
      </c>
      <c r="R1409" s="22"/>
      <c r="S1409" s="22"/>
      <c r="T1409" s="25" t="str">
        <f aca="false">IF(S1409="","",IFERROR(INDEX(Empleadores!$B$2:$B$601,MATCH(S1409,Empleadores!$A$2:$A$601,0)),"No encontrado"))</f>
        <v/>
      </c>
      <c r="U1409" s="25" t="str">
        <f aca="false">IF(C1409="","",IF(V1409="","No",IF(Config!$C$4-V1409&lt;=Config!$C$15,"Sí","No")))</f>
        <v/>
      </c>
      <c r="V1409" s="23"/>
      <c r="W1409" s="22"/>
      <c r="X1409" s="22"/>
      <c r="Y1409" s="22"/>
      <c r="Z1409" s="27"/>
      <c r="AA1409" s="22"/>
      <c r="AB1409" s="22"/>
    </row>
    <row r="1410" customFormat="false" ht="15" hidden="false" customHeight="false" outlineLevel="0" collapsed="false">
      <c r="A1410" s="22"/>
      <c r="B1410" s="22"/>
      <c r="C1410" s="22"/>
      <c r="D1410" s="22"/>
      <c r="E1410" s="22"/>
      <c r="F1410" s="22"/>
      <c r="G1410" s="23"/>
      <c r="H1410" s="24" t="str">
        <f aca="false">IF(G1410="","",ROUND((Config!$C$4-G1410)/365.25,2))</f>
        <v/>
      </c>
      <c r="I1410" s="25" t="str">
        <f aca="false">IF(H1410="","",IF(H1410&lt;=1,"Tramo 1",IF(H1410&lt;=3,"Tramo 2",IF(H1410&lt;=5,"Tramo 3","Tramo 4"))))</f>
        <v/>
      </c>
      <c r="J1410" s="22"/>
      <c r="K1410" s="22"/>
      <c r="L1410" s="22"/>
      <c r="M1410" s="26"/>
      <c r="N1410" s="22"/>
      <c r="O1410" s="22"/>
      <c r="P1410" s="25" t="str">
        <f aca="false">IF(OR(O1410="",O1410="Sin información"),"",IFERROR(INDEX(Listas!$B$2:$B$9,MATCH(O1410,Listas!$A$2:$A$9,0)),""))</f>
        <v/>
      </c>
      <c r="Q1410" s="25" t="str">
        <f aca="false">IF(OR(O1410="",O1410="Sin información"),"",IFERROR(INDEX(Listas!$C$2:$C$9,MATCH(O1410,Listas!$A$2:$A$9,0)),""))</f>
        <v/>
      </c>
      <c r="R1410" s="22"/>
      <c r="S1410" s="22"/>
      <c r="T1410" s="25" t="str">
        <f aca="false">IF(S1410="","",IFERROR(INDEX(Empleadores!$B$2:$B$601,MATCH(S1410,Empleadores!$A$2:$A$601,0)),"No encontrado"))</f>
        <v/>
      </c>
      <c r="U1410" s="25" t="str">
        <f aca="false">IF(C1410="","",IF(V1410="","No",IF(Config!$C$4-V1410&lt;=Config!$C$15,"Sí","No")))</f>
        <v/>
      </c>
      <c r="V1410" s="23"/>
      <c r="W1410" s="22"/>
      <c r="X1410" s="22"/>
      <c r="Y1410" s="22"/>
      <c r="Z1410" s="27"/>
      <c r="AA1410" s="22"/>
      <c r="AB1410" s="22"/>
    </row>
    <row r="1411" customFormat="false" ht="15" hidden="false" customHeight="false" outlineLevel="0" collapsed="false">
      <c r="A1411" s="22"/>
      <c r="B1411" s="22"/>
      <c r="C1411" s="22"/>
      <c r="D1411" s="22"/>
      <c r="E1411" s="22"/>
      <c r="F1411" s="22"/>
      <c r="G1411" s="23"/>
      <c r="H1411" s="24" t="str">
        <f aca="false">IF(G1411="","",ROUND((Config!$C$4-G1411)/365.25,2))</f>
        <v/>
      </c>
      <c r="I1411" s="25" t="str">
        <f aca="false">IF(H1411="","",IF(H1411&lt;=1,"Tramo 1",IF(H1411&lt;=3,"Tramo 2",IF(H1411&lt;=5,"Tramo 3","Tramo 4"))))</f>
        <v/>
      </c>
      <c r="J1411" s="22"/>
      <c r="K1411" s="22"/>
      <c r="L1411" s="22"/>
      <c r="M1411" s="26"/>
      <c r="N1411" s="22"/>
      <c r="O1411" s="22"/>
      <c r="P1411" s="25" t="str">
        <f aca="false">IF(OR(O1411="",O1411="Sin información"),"",IFERROR(INDEX(Listas!$B$2:$B$9,MATCH(O1411,Listas!$A$2:$A$9,0)),""))</f>
        <v/>
      </c>
      <c r="Q1411" s="25" t="str">
        <f aca="false">IF(OR(O1411="",O1411="Sin información"),"",IFERROR(INDEX(Listas!$C$2:$C$9,MATCH(O1411,Listas!$A$2:$A$9,0)),""))</f>
        <v/>
      </c>
      <c r="R1411" s="22"/>
      <c r="S1411" s="22"/>
      <c r="T1411" s="25" t="str">
        <f aca="false">IF(S1411="","",IFERROR(INDEX(Empleadores!$B$2:$B$601,MATCH(S1411,Empleadores!$A$2:$A$601,0)),"No encontrado"))</f>
        <v/>
      </c>
      <c r="U1411" s="25" t="str">
        <f aca="false">IF(C1411="","",IF(V1411="","No",IF(Config!$C$4-V1411&lt;=Config!$C$15,"Sí","No")))</f>
        <v/>
      </c>
      <c r="V1411" s="23"/>
      <c r="W1411" s="22"/>
      <c r="X1411" s="22"/>
      <c r="Y1411" s="22"/>
      <c r="Z1411" s="27"/>
      <c r="AA1411" s="22"/>
      <c r="AB1411" s="22"/>
    </row>
    <row r="1412" customFormat="false" ht="15" hidden="false" customHeight="false" outlineLevel="0" collapsed="false">
      <c r="A1412" s="22"/>
      <c r="B1412" s="22"/>
      <c r="C1412" s="22"/>
      <c r="D1412" s="22"/>
      <c r="E1412" s="22"/>
      <c r="F1412" s="22"/>
      <c r="G1412" s="23"/>
      <c r="H1412" s="24" t="str">
        <f aca="false">IF(G1412="","",ROUND((Config!$C$4-G1412)/365.25,2))</f>
        <v/>
      </c>
      <c r="I1412" s="25" t="str">
        <f aca="false">IF(H1412="","",IF(H1412&lt;=1,"Tramo 1",IF(H1412&lt;=3,"Tramo 2",IF(H1412&lt;=5,"Tramo 3","Tramo 4"))))</f>
        <v/>
      </c>
      <c r="J1412" s="22"/>
      <c r="K1412" s="22"/>
      <c r="L1412" s="22"/>
      <c r="M1412" s="26"/>
      <c r="N1412" s="22"/>
      <c r="O1412" s="22"/>
      <c r="P1412" s="25" t="str">
        <f aca="false">IF(OR(O1412="",O1412="Sin información"),"",IFERROR(INDEX(Listas!$B$2:$B$9,MATCH(O1412,Listas!$A$2:$A$9,0)),""))</f>
        <v/>
      </c>
      <c r="Q1412" s="25" t="str">
        <f aca="false">IF(OR(O1412="",O1412="Sin información"),"",IFERROR(INDEX(Listas!$C$2:$C$9,MATCH(O1412,Listas!$A$2:$A$9,0)),""))</f>
        <v/>
      </c>
      <c r="R1412" s="22"/>
      <c r="S1412" s="22"/>
      <c r="T1412" s="25" t="str">
        <f aca="false">IF(S1412="","",IFERROR(INDEX(Empleadores!$B$2:$B$601,MATCH(S1412,Empleadores!$A$2:$A$601,0)),"No encontrado"))</f>
        <v/>
      </c>
      <c r="U1412" s="25" t="str">
        <f aca="false">IF(C1412="","",IF(V1412="","No",IF(Config!$C$4-V1412&lt;=Config!$C$15,"Sí","No")))</f>
        <v/>
      </c>
      <c r="V1412" s="23"/>
      <c r="W1412" s="22"/>
      <c r="X1412" s="22"/>
      <c r="Y1412" s="22"/>
      <c r="Z1412" s="27"/>
      <c r="AA1412" s="22"/>
      <c r="AB1412" s="22"/>
    </row>
    <row r="1413" customFormat="false" ht="15" hidden="false" customHeight="false" outlineLevel="0" collapsed="false">
      <c r="A1413" s="22"/>
      <c r="B1413" s="22"/>
      <c r="C1413" s="22"/>
      <c r="D1413" s="22"/>
      <c r="E1413" s="22"/>
      <c r="F1413" s="22"/>
      <c r="G1413" s="23"/>
      <c r="H1413" s="24" t="str">
        <f aca="false">IF(G1413="","",ROUND((Config!$C$4-G1413)/365.25,2))</f>
        <v/>
      </c>
      <c r="I1413" s="25" t="str">
        <f aca="false">IF(H1413="","",IF(H1413&lt;=1,"Tramo 1",IF(H1413&lt;=3,"Tramo 2",IF(H1413&lt;=5,"Tramo 3","Tramo 4"))))</f>
        <v/>
      </c>
      <c r="J1413" s="22"/>
      <c r="K1413" s="22"/>
      <c r="L1413" s="22"/>
      <c r="M1413" s="26"/>
      <c r="N1413" s="22"/>
      <c r="O1413" s="22"/>
      <c r="P1413" s="25" t="str">
        <f aca="false">IF(OR(O1413="",O1413="Sin información"),"",IFERROR(INDEX(Listas!$B$2:$B$9,MATCH(O1413,Listas!$A$2:$A$9,0)),""))</f>
        <v/>
      </c>
      <c r="Q1413" s="25" t="str">
        <f aca="false">IF(OR(O1413="",O1413="Sin información"),"",IFERROR(INDEX(Listas!$C$2:$C$9,MATCH(O1413,Listas!$A$2:$A$9,0)),""))</f>
        <v/>
      </c>
      <c r="R1413" s="22"/>
      <c r="S1413" s="22"/>
      <c r="T1413" s="25" t="str">
        <f aca="false">IF(S1413="","",IFERROR(INDEX(Empleadores!$B$2:$B$601,MATCH(S1413,Empleadores!$A$2:$A$601,0)),"No encontrado"))</f>
        <v/>
      </c>
      <c r="U1413" s="25" t="str">
        <f aca="false">IF(C1413="","",IF(V1413="","No",IF(Config!$C$4-V1413&lt;=Config!$C$15,"Sí","No")))</f>
        <v/>
      </c>
      <c r="V1413" s="23"/>
      <c r="W1413" s="22"/>
      <c r="X1413" s="22"/>
      <c r="Y1413" s="22"/>
      <c r="Z1413" s="27"/>
      <c r="AA1413" s="22"/>
      <c r="AB1413" s="22"/>
    </row>
    <row r="1414" customFormat="false" ht="15" hidden="false" customHeight="false" outlineLevel="0" collapsed="false">
      <c r="A1414" s="22"/>
      <c r="B1414" s="22"/>
      <c r="C1414" s="22"/>
      <c r="D1414" s="22"/>
      <c r="E1414" s="22"/>
      <c r="F1414" s="22"/>
      <c r="G1414" s="23"/>
      <c r="H1414" s="24" t="str">
        <f aca="false">IF(G1414="","",ROUND((Config!$C$4-G1414)/365.25,2))</f>
        <v/>
      </c>
      <c r="I1414" s="25" t="str">
        <f aca="false">IF(H1414="","",IF(H1414&lt;=1,"Tramo 1",IF(H1414&lt;=3,"Tramo 2",IF(H1414&lt;=5,"Tramo 3","Tramo 4"))))</f>
        <v/>
      </c>
      <c r="J1414" s="22"/>
      <c r="K1414" s="22"/>
      <c r="L1414" s="22"/>
      <c r="M1414" s="26"/>
      <c r="N1414" s="22"/>
      <c r="O1414" s="22"/>
      <c r="P1414" s="25" t="str">
        <f aca="false">IF(OR(O1414="",O1414="Sin información"),"",IFERROR(INDEX(Listas!$B$2:$B$9,MATCH(O1414,Listas!$A$2:$A$9,0)),""))</f>
        <v/>
      </c>
      <c r="Q1414" s="25" t="str">
        <f aca="false">IF(OR(O1414="",O1414="Sin información"),"",IFERROR(INDEX(Listas!$C$2:$C$9,MATCH(O1414,Listas!$A$2:$A$9,0)),""))</f>
        <v/>
      </c>
      <c r="R1414" s="22"/>
      <c r="S1414" s="22"/>
      <c r="T1414" s="25" t="str">
        <f aca="false">IF(S1414="","",IFERROR(INDEX(Empleadores!$B$2:$B$601,MATCH(S1414,Empleadores!$A$2:$A$601,0)),"No encontrado"))</f>
        <v/>
      </c>
      <c r="U1414" s="25" t="str">
        <f aca="false">IF(C1414="","",IF(V1414="","No",IF(Config!$C$4-V1414&lt;=Config!$C$15,"Sí","No")))</f>
        <v/>
      </c>
      <c r="V1414" s="23"/>
      <c r="W1414" s="22"/>
      <c r="X1414" s="22"/>
      <c r="Y1414" s="22"/>
      <c r="Z1414" s="27"/>
      <c r="AA1414" s="22"/>
      <c r="AB1414" s="22"/>
    </row>
    <row r="1415" customFormat="false" ht="15" hidden="false" customHeight="false" outlineLevel="0" collapsed="false">
      <c r="A1415" s="22"/>
      <c r="B1415" s="22"/>
      <c r="C1415" s="22"/>
      <c r="D1415" s="22"/>
      <c r="E1415" s="22"/>
      <c r="F1415" s="22"/>
      <c r="G1415" s="23"/>
      <c r="H1415" s="24" t="str">
        <f aca="false">IF(G1415="","",ROUND((Config!$C$4-G1415)/365.25,2))</f>
        <v/>
      </c>
      <c r="I1415" s="25" t="str">
        <f aca="false">IF(H1415="","",IF(H1415&lt;=1,"Tramo 1",IF(H1415&lt;=3,"Tramo 2",IF(H1415&lt;=5,"Tramo 3","Tramo 4"))))</f>
        <v/>
      </c>
      <c r="J1415" s="22"/>
      <c r="K1415" s="22"/>
      <c r="L1415" s="22"/>
      <c r="M1415" s="26"/>
      <c r="N1415" s="22"/>
      <c r="O1415" s="22"/>
      <c r="P1415" s="25" t="str">
        <f aca="false">IF(OR(O1415="",O1415="Sin información"),"",IFERROR(INDEX(Listas!$B$2:$B$9,MATCH(O1415,Listas!$A$2:$A$9,0)),""))</f>
        <v/>
      </c>
      <c r="Q1415" s="25" t="str">
        <f aca="false">IF(OR(O1415="",O1415="Sin información"),"",IFERROR(INDEX(Listas!$C$2:$C$9,MATCH(O1415,Listas!$A$2:$A$9,0)),""))</f>
        <v/>
      </c>
      <c r="R1415" s="22"/>
      <c r="S1415" s="22"/>
      <c r="T1415" s="25" t="str">
        <f aca="false">IF(S1415="","",IFERROR(INDEX(Empleadores!$B$2:$B$601,MATCH(S1415,Empleadores!$A$2:$A$601,0)),"No encontrado"))</f>
        <v/>
      </c>
      <c r="U1415" s="25" t="str">
        <f aca="false">IF(C1415="","",IF(V1415="","No",IF(Config!$C$4-V1415&lt;=Config!$C$15,"Sí","No")))</f>
        <v/>
      </c>
      <c r="V1415" s="23"/>
      <c r="W1415" s="22"/>
      <c r="X1415" s="22"/>
      <c r="Y1415" s="22"/>
      <c r="Z1415" s="27"/>
      <c r="AA1415" s="22"/>
      <c r="AB1415" s="22"/>
    </row>
    <row r="1416" customFormat="false" ht="15" hidden="false" customHeight="false" outlineLevel="0" collapsed="false">
      <c r="A1416" s="22"/>
      <c r="B1416" s="22"/>
      <c r="C1416" s="22"/>
      <c r="D1416" s="22"/>
      <c r="E1416" s="22"/>
      <c r="F1416" s="22"/>
      <c r="G1416" s="23"/>
      <c r="H1416" s="24" t="str">
        <f aca="false">IF(G1416="","",ROUND((Config!$C$4-G1416)/365.25,2))</f>
        <v/>
      </c>
      <c r="I1416" s="25" t="str">
        <f aca="false">IF(H1416="","",IF(H1416&lt;=1,"Tramo 1",IF(H1416&lt;=3,"Tramo 2",IF(H1416&lt;=5,"Tramo 3","Tramo 4"))))</f>
        <v/>
      </c>
      <c r="J1416" s="22"/>
      <c r="K1416" s="22"/>
      <c r="L1416" s="22"/>
      <c r="M1416" s="26"/>
      <c r="N1416" s="22"/>
      <c r="O1416" s="22"/>
      <c r="P1416" s="25" t="str">
        <f aca="false">IF(OR(O1416="",O1416="Sin información"),"",IFERROR(INDEX(Listas!$B$2:$B$9,MATCH(O1416,Listas!$A$2:$A$9,0)),""))</f>
        <v/>
      </c>
      <c r="Q1416" s="25" t="str">
        <f aca="false">IF(OR(O1416="",O1416="Sin información"),"",IFERROR(INDEX(Listas!$C$2:$C$9,MATCH(O1416,Listas!$A$2:$A$9,0)),""))</f>
        <v/>
      </c>
      <c r="R1416" s="22"/>
      <c r="S1416" s="22"/>
      <c r="T1416" s="25" t="str">
        <f aca="false">IF(S1416="","",IFERROR(INDEX(Empleadores!$B$2:$B$601,MATCH(S1416,Empleadores!$A$2:$A$601,0)),"No encontrado"))</f>
        <v/>
      </c>
      <c r="U1416" s="25" t="str">
        <f aca="false">IF(C1416="","",IF(V1416="","No",IF(Config!$C$4-V1416&lt;=Config!$C$15,"Sí","No")))</f>
        <v/>
      </c>
      <c r="V1416" s="23"/>
      <c r="W1416" s="22"/>
      <c r="X1416" s="22"/>
      <c r="Y1416" s="22"/>
      <c r="Z1416" s="27"/>
      <c r="AA1416" s="22"/>
      <c r="AB1416" s="22"/>
    </row>
    <row r="1417" customFormat="false" ht="15" hidden="false" customHeight="false" outlineLevel="0" collapsed="false">
      <c r="A1417" s="22"/>
      <c r="B1417" s="22"/>
      <c r="C1417" s="22"/>
      <c r="D1417" s="22"/>
      <c r="E1417" s="22"/>
      <c r="F1417" s="22"/>
      <c r="G1417" s="23"/>
      <c r="H1417" s="24" t="str">
        <f aca="false">IF(G1417="","",ROUND((Config!$C$4-G1417)/365.25,2))</f>
        <v/>
      </c>
      <c r="I1417" s="25" t="str">
        <f aca="false">IF(H1417="","",IF(H1417&lt;=1,"Tramo 1",IF(H1417&lt;=3,"Tramo 2",IF(H1417&lt;=5,"Tramo 3","Tramo 4"))))</f>
        <v/>
      </c>
      <c r="J1417" s="22"/>
      <c r="K1417" s="22"/>
      <c r="L1417" s="22"/>
      <c r="M1417" s="26"/>
      <c r="N1417" s="22"/>
      <c r="O1417" s="22"/>
      <c r="P1417" s="25" t="str">
        <f aca="false">IF(OR(O1417="",O1417="Sin información"),"",IFERROR(INDEX(Listas!$B$2:$B$9,MATCH(O1417,Listas!$A$2:$A$9,0)),""))</f>
        <v/>
      </c>
      <c r="Q1417" s="25" t="str">
        <f aca="false">IF(OR(O1417="",O1417="Sin información"),"",IFERROR(INDEX(Listas!$C$2:$C$9,MATCH(O1417,Listas!$A$2:$A$9,0)),""))</f>
        <v/>
      </c>
      <c r="R1417" s="22"/>
      <c r="S1417" s="22"/>
      <c r="T1417" s="25" t="str">
        <f aca="false">IF(S1417="","",IFERROR(INDEX(Empleadores!$B$2:$B$601,MATCH(S1417,Empleadores!$A$2:$A$601,0)),"No encontrado"))</f>
        <v/>
      </c>
      <c r="U1417" s="25" t="str">
        <f aca="false">IF(C1417="","",IF(V1417="","No",IF(Config!$C$4-V1417&lt;=Config!$C$15,"Sí","No")))</f>
        <v/>
      </c>
      <c r="V1417" s="23"/>
      <c r="W1417" s="22"/>
      <c r="X1417" s="22"/>
      <c r="Y1417" s="22"/>
      <c r="Z1417" s="27"/>
      <c r="AA1417" s="22"/>
      <c r="AB1417" s="22"/>
    </row>
    <row r="1418" customFormat="false" ht="15" hidden="false" customHeight="false" outlineLevel="0" collapsed="false">
      <c r="A1418" s="22"/>
      <c r="B1418" s="22"/>
      <c r="C1418" s="22"/>
      <c r="D1418" s="22"/>
      <c r="E1418" s="22"/>
      <c r="F1418" s="22"/>
      <c r="G1418" s="23"/>
      <c r="H1418" s="24" t="str">
        <f aca="false">IF(G1418="","",ROUND((Config!$C$4-G1418)/365.25,2))</f>
        <v/>
      </c>
      <c r="I1418" s="25" t="str">
        <f aca="false">IF(H1418="","",IF(H1418&lt;=1,"Tramo 1",IF(H1418&lt;=3,"Tramo 2",IF(H1418&lt;=5,"Tramo 3","Tramo 4"))))</f>
        <v/>
      </c>
      <c r="J1418" s="22"/>
      <c r="K1418" s="22"/>
      <c r="L1418" s="22"/>
      <c r="M1418" s="26"/>
      <c r="N1418" s="22"/>
      <c r="O1418" s="22"/>
      <c r="P1418" s="25" t="str">
        <f aca="false">IF(OR(O1418="",O1418="Sin información"),"",IFERROR(INDEX(Listas!$B$2:$B$9,MATCH(O1418,Listas!$A$2:$A$9,0)),""))</f>
        <v/>
      </c>
      <c r="Q1418" s="25" t="str">
        <f aca="false">IF(OR(O1418="",O1418="Sin información"),"",IFERROR(INDEX(Listas!$C$2:$C$9,MATCH(O1418,Listas!$A$2:$A$9,0)),""))</f>
        <v/>
      </c>
      <c r="R1418" s="22"/>
      <c r="S1418" s="22"/>
      <c r="T1418" s="25" t="str">
        <f aca="false">IF(S1418="","",IFERROR(INDEX(Empleadores!$B$2:$B$601,MATCH(S1418,Empleadores!$A$2:$A$601,0)),"No encontrado"))</f>
        <v/>
      </c>
      <c r="U1418" s="25" t="str">
        <f aca="false">IF(C1418="","",IF(V1418="","No",IF(Config!$C$4-V1418&lt;=Config!$C$15,"Sí","No")))</f>
        <v/>
      </c>
      <c r="V1418" s="23"/>
      <c r="W1418" s="22"/>
      <c r="X1418" s="22"/>
      <c r="Y1418" s="22"/>
      <c r="Z1418" s="27"/>
      <c r="AA1418" s="22"/>
      <c r="AB1418" s="22"/>
    </row>
    <row r="1419" customFormat="false" ht="15" hidden="false" customHeight="false" outlineLevel="0" collapsed="false">
      <c r="A1419" s="22"/>
      <c r="B1419" s="22"/>
      <c r="C1419" s="22"/>
      <c r="D1419" s="22"/>
      <c r="E1419" s="22"/>
      <c r="F1419" s="22"/>
      <c r="G1419" s="23"/>
      <c r="H1419" s="24" t="str">
        <f aca="false">IF(G1419="","",ROUND((Config!$C$4-G1419)/365.25,2))</f>
        <v/>
      </c>
      <c r="I1419" s="25" t="str">
        <f aca="false">IF(H1419="","",IF(H1419&lt;=1,"Tramo 1",IF(H1419&lt;=3,"Tramo 2",IF(H1419&lt;=5,"Tramo 3","Tramo 4"))))</f>
        <v/>
      </c>
      <c r="J1419" s="22"/>
      <c r="K1419" s="22"/>
      <c r="L1419" s="22"/>
      <c r="M1419" s="26"/>
      <c r="N1419" s="22"/>
      <c r="O1419" s="22"/>
      <c r="P1419" s="25" t="str">
        <f aca="false">IF(OR(O1419="",O1419="Sin información"),"",IFERROR(INDEX(Listas!$B$2:$B$9,MATCH(O1419,Listas!$A$2:$A$9,0)),""))</f>
        <v/>
      </c>
      <c r="Q1419" s="25" t="str">
        <f aca="false">IF(OR(O1419="",O1419="Sin información"),"",IFERROR(INDEX(Listas!$C$2:$C$9,MATCH(O1419,Listas!$A$2:$A$9,0)),""))</f>
        <v/>
      </c>
      <c r="R1419" s="22"/>
      <c r="S1419" s="22"/>
      <c r="T1419" s="25" t="str">
        <f aca="false">IF(S1419="","",IFERROR(INDEX(Empleadores!$B$2:$B$601,MATCH(S1419,Empleadores!$A$2:$A$601,0)),"No encontrado"))</f>
        <v/>
      </c>
      <c r="U1419" s="25" t="str">
        <f aca="false">IF(C1419="","",IF(V1419="","No",IF(Config!$C$4-V1419&lt;=Config!$C$15,"Sí","No")))</f>
        <v/>
      </c>
      <c r="V1419" s="23"/>
      <c r="W1419" s="22"/>
      <c r="X1419" s="22"/>
      <c r="Y1419" s="22"/>
      <c r="Z1419" s="27"/>
      <c r="AA1419" s="22"/>
      <c r="AB1419" s="22"/>
    </row>
    <row r="1420" customFormat="false" ht="15" hidden="false" customHeight="false" outlineLevel="0" collapsed="false">
      <c r="A1420" s="22"/>
      <c r="B1420" s="22"/>
      <c r="C1420" s="22"/>
      <c r="D1420" s="22"/>
      <c r="E1420" s="22"/>
      <c r="F1420" s="22"/>
      <c r="G1420" s="23"/>
      <c r="H1420" s="24" t="str">
        <f aca="false">IF(G1420="","",ROUND((Config!$C$4-G1420)/365.25,2))</f>
        <v/>
      </c>
      <c r="I1420" s="25" t="str">
        <f aca="false">IF(H1420="","",IF(H1420&lt;=1,"Tramo 1",IF(H1420&lt;=3,"Tramo 2",IF(H1420&lt;=5,"Tramo 3","Tramo 4"))))</f>
        <v/>
      </c>
      <c r="J1420" s="22"/>
      <c r="K1420" s="22"/>
      <c r="L1420" s="22"/>
      <c r="M1420" s="26"/>
      <c r="N1420" s="22"/>
      <c r="O1420" s="22"/>
      <c r="P1420" s="25" t="str">
        <f aca="false">IF(OR(O1420="",O1420="Sin información"),"",IFERROR(INDEX(Listas!$B$2:$B$9,MATCH(O1420,Listas!$A$2:$A$9,0)),""))</f>
        <v/>
      </c>
      <c r="Q1420" s="25" t="str">
        <f aca="false">IF(OR(O1420="",O1420="Sin información"),"",IFERROR(INDEX(Listas!$C$2:$C$9,MATCH(O1420,Listas!$A$2:$A$9,0)),""))</f>
        <v/>
      </c>
      <c r="R1420" s="22"/>
      <c r="S1420" s="22"/>
      <c r="T1420" s="25" t="str">
        <f aca="false">IF(S1420="","",IFERROR(INDEX(Empleadores!$B$2:$B$601,MATCH(S1420,Empleadores!$A$2:$A$601,0)),"No encontrado"))</f>
        <v/>
      </c>
      <c r="U1420" s="25" t="str">
        <f aca="false">IF(C1420="","",IF(V1420="","No",IF(Config!$C$4-V1420&lt;=Config!$C$15,"Sí","No")))</f>
        <v/>
      </c>
      <c r="V1420" s="23"/>
      <c r="W1420" s="22"/>
      <c r="X1420" s="22"/>
      <c r="Y1420" s="22"/>
      <c r="Z1420" s="27"/>
      <c r="AA1420" s="22"/>
      <c r="AB1420" s="22"/>
    </row>
    <row r="1421" customFormat="false" ht="15" hidden="false" customHeight="false" outlineLevel="0" collapsed="false">
      <c r="A1421" s="22"/>
      <c r="B1421" s="22"/>
      <c r="C1421" s="22"/>
      <c r="D1421" s="22"/>
      <c r="E1421" s="22"/>
      <c r="F1421" s="22"/>
      <c r="G1421" s="23"/>
      <c r="H1421" s="24" t="str">
        <f aca="false">IF(G1421="","",ROUND((Config!$C$4-G1421)/365.25,2))</f>
        <v/>
      </c>
      <c r="I1421" s="25" t="str">
        <f aca="false">IF(H1421="","",IF(H1421&lt;=1,"Tramo 1",IF(H1421&lt;=3,"Tramo 2",IF(H1421&lt;=5,"Tramo 3","Tramo 4"))))</f>
        <v/>
      </c>
      <c r="J1421" s="22"/>
      <c r="K1421" s="22"/>
      <c r="L1421" s="22"/>
      <c r="M1421" s="26"/>
      <c r="N1421" s="22"/>
      <c r="O1421" s="22"/>
      <c r="P1421" s="25" t="str">
        <f aca="false">IF(OR(O1421="",O1421="Sin información"),"",IFERROR(INDEX(Listas!$B$2:$B$9,MATCH(O1421,Listas!$A$2:$A$9,0)),""))</f>
        <v/>
      </c>
      <c r="Q1421" s="25" t="str">
        <f aca="false">IF(OR(O1421="",O1421="Sin información"),"",IFERROR(INDEX(Listas!$C$2:$C$9,MATCH(O1421,Listas!$A$2:$A$9,0)),""))</f>
        <v/>
      </c>
      <c r="R1421" s="22"/>
      <c r="S1421" s="22"/>
      <c r="T1421" s="25" t="str">
        <f aca="false">IF(S1421="","",IFERROR(INDEX(Empleadores!$B$2:$B$601,MATCH(S1421,Empleadores!$A$2:$A$601,0)),"No encontrado"))</f>
        <v/>
      </c>
      <c r="U1421" s="25" t="str">
        <f aca="false">IF(C1421="","",IF(V1421="","No",IF(Config!$C$4-V1421&lt;=Config!$C$15,"Sí","No")))</f>
        <v/>
      </c>
      <c r="V1421" s="23"/>
      <c r="W1421" s="22"/>
      <c r="X1421" s="22"/>
      <c r="Y1421" s="22"/>
      <c r="Z1421" s="27"/>
      <c r="AA1421" s="22"/>
      <c r="AB1421" s="22"/>
    </row>
    <row r="1422" customFormat="false" ht="15" hidden="false" customHeight="false" outlineLevel="0" collapsed="false">
      <c r="A1422" s="22"/>
      <c r="B1422" s="22"/>
      <c r="C1422" s="22"/>
      <c r="D1422" s="22"/>
      <c r="E1422" s="22"/>
      <c r="F1422" s="22"/>
      <c r="G1422" s="23"/>
      <c r="H1422" s="24" t="str">
        <f aca="false">IF(G1422="","",ROUND((Config!$C$4-G1422)/365.25,2))</f>
        <v/>
      </c>
      <c r="I1422" s="25" t="str">
        <f aca="false">IF(H1422="","",IF(H1422&lt;=1,"Tramo 1",IF(H1422&lt;=3,"Tramo 2",IF(H1422&lt;=5,"Tramo 3","Tramo 4"))))</f>
        <v/>
      </c>
      <c r="J1422" s="22"/>
      <c r="K1422" s="22"/>
      <c r="L1422" s="22"/>
      <c r="M1422" s="26"/>
      <c r="N1422" s="22"/>
      <c r="O1422" s="22"/>
      <c r="P1422" s="25" t="str">
        <f aca="false">IF(OR(O1422="",O1422="Sin información"),"",IFERROR(INDEX(Listas!$B$2:$B$9,MATCH(O1422,Listas!$A$2:$A$9,0)),""))</f>
        <v/>
      </c>
      <c r="Q1422" s="25" t="str">
        <f aca="false">IF(OR(O1422="",O1422="Sin información"),"",IFERROR(INDEX(Listas!$C$2:$C$9,MATCH(O1422,Listas!$A$2:$A$9,0)),""))</f>
        <v/>
      </c>
      <c r="R1422" s="22"/>
      <c r="S1422" s="22"/>
      <c r="T1422" s="25" t="str">
        <f aca="false">IF(S1422="","",IFERROR(INDEX(Empleadores!$B$2:$B$601,MATCH(S1422,Empleadores!$A$2:$A$601,0)),"No encontrado"))</f>
        <v/>
      </c>
      <c r="U1422" s="25" t="str">
        <f aca="false">IF(C1422="","",IF(V1422="","No",IF(Config!$C$4-V1422&lt;=Config!$C$15,"Sí","No")))</f>
        <v/>
      </c>
      <c r="V1422" s="23"/>
      <c r="W1422" s="22"/>
      <c r="X1422" s="22"/>
      <c r="Y1422" s="22"/>
      <c r="Z1422" s="27"/>
      <c r="AA1422" s="22"/>
      <c r="AB1422" s="22"/>
    </row>
    <row r="1423" customFormat="false" ht="15" hidden="false" customHeight="false" outlineLevel="0" collapsed="false">
      <c r="A1423" s="22"/>
      <c r="B1423" s="22"/>
      <c r="C1423" s="22"/>
      <c r="D1423" s="22"/>
      <c r="E1423" s="22"/>
      <c r="F1423" s="22"/>
      <c r="G1423" s="23"/>
      <c r="H1423" s="24" t="str">
        <f aca="false">IF(G1423="","",ROUND((Config!$C$4-G1423)/365.25,2))</f>
        <v/>
      </c>
      <c r="I1423" s="25" t="str">
        <f aca="false">IF(H1423="","",IF(H1423&lt;=1,"Tramo 1",IF(H1423&lt;=3,"Tramo 2",IF(H1423&lt;=5,"Tramo 3","Tramo 4"))))</f>
        <v/>
      </c>
      <c r="J1423" s="22"/>
      <c r="K1423" s="22"/>
      <c r="L1423" s="22"/>
      <c r="M1423" s="26"/>
      <c r="N1423" s="22"/>
      <c r="O1423" s="22"/>
      <c r="P1423" s="25" t="str">
        <f aca="false">IF(OR(O1423="",O1423="Sin información"),"",IFERROR(INDEX(Listas!$B$2:$B$9,MATCH(O1423,Listas!$A$2:$A$9,0)),""))</f>
        <v/>
      </c>
      <c r="Q1423" s="25" t="str">
        <f aca="false">IF(OR(O1423="",O1423="Sin información"),"",IFERROR(INDEX(Listas!$C$2:$C$9,MATCH(O1423,Listas!$A$2:$A$9,0)),""))</f>
        <v/>
      </c>
      <c r="R1423" s="22"/>
      <c r="S1423" s="22"/>
      <c r="T1423" s="25" t="str">
        <f aca="false">IF(S1423="","",IFERROR(INDEX(Empleadores!$B$2:$B$601,MATCH(S1423,Empleadores!$A$2:$A$601,0)),"No encontrado"))</f>
        <v/>
      </c>
      <c r="U1423" s="25" t="str">
        <f aca="false">IF(C1423="","",IF(V1423="","No",IF(Config!$C$4-V1423&lt;=Config!$C$15,"Sí","No")))</f>
        <v/>
      </c>
      <c r="V1423" s="23"/>
      <c r="W1423" s="22"/>
      <c r="X1423" s="22"/>
      <c r="Y1423" s="22"/>
      <c r="Z1423" s="27"/>
      <c r="AA1423" s="22"/>
      <c r="AB1423" s="22"/>
    </row>
    <row r="1424" customFormat="false" ht="15" hidden="false" customHeight="false" outlineLevel="0" collapsed="false">
      <c r="A1424" s="22"/>
      <c r="B1424" s="22"/>
      <c r="C1424" s="22"/>
      <c r="D1424" s="22"/>
      <c r="E1424" s="22"/>
      <c r="F1424" s="22"/>
      <c r="G1424" s="23"/>
      <c r="H1424" s="24" t="str">
        <f aca="false">IF(G1424="","",ROUND((Config!$C$4-G1424)/365.25,2))</f>
        <v/>
      </c>
      <c r="I1424" s="25" t="str">
        <f aca="false">IF(H1424="","",IF(H1424&lt;=1,"Tramo 1",IF(H1424&lt;=3,"Tramo 2",IF(H1424&lt;=5,"Tramo 3","Tramo 4"))))</f>
        <v/>
      </c>
      <c r="J1424" s="22"/>
      <c r="K1424" s="22"/>
      <c r="L1424" s="22"/>
      <c r="M1424" s="26"/>
      <c r="N1424" s="22"/>
      <c r="O1424" s="22"/>
      <c r="P1424" s="25" t="str">
        <f aca="false">IF(OR(O1424="",O1424="Sin información"),"",IFERROR(INDEX(Listas!$B$2:$B$9,MATCH(O1424,Listas!$A$2:$A$9,0)),""))</f>
        <v/>
      </c>
      <c r="Q1424" s="25" t="str">
        <f aca="false">IF(OR(O1424="",O1424="Sin información"),"",IFERROR(INDEX(Listas!$C$2:$C$9,MATCH(O1424,Listas!$A$2:$A$9,0)),""))</f>
        <v/>
      </c>
      <c r="R1424" s="22"/>
      <c r="S1424" s="22"/>
      <c r="T1424" s="25" t="str">
        <f aca="false">IF(S1424="","",IFERROR(INDEX(Empleadores!$B$2:$B$601,MATCH(S1424,Empleadores!$A$2:$A$601,0)),"No encontrado"))</f>
        <v/>
      </c>
      <c r="U1424" s="25" t="str">
        <f aca="false">IF(C1424="","",IF(V1424="","No",IF(Config!$C$4-V1424&lt;=Config!$C$15,"Sí","No")))</f>
        <v/>
      </c>
      <c r="V1424" s="23"/>
      <c r="W1424" s="22"/>
      <c r="X1424" s="22"/>
      <c r="Y1424" s="22"/>
      <c r="Z1424" s="27"/>
      <c r="AA1424" s="22"/>
      <c r="AB1424" s="22"/>
    </row>
    <row r="1425" customFormat="false" ht="15" hidden="false" customHeight="false" outlineLevel="0" collapsed="false">
      <c r="A1425" s="22"/>
      <c r="B1425" s="22"/>
      <c r="C1425" s="22"/>
      <c r="D1425" s="22"/>
      <c r="E1425" s="22"/>
      <c r="F1425" s="22"/>
      <c r="G1425" s="23"/>
      <c r="H1425" s="24" t="str">
        <f aca="false">IF(G1425="","",ROUND((Config!$C$4-G1425)/365.25,2))</f>
        <v/>
      </c>
      <c r="I1425" s="25" t="str">
        <f aca="false">IF(H1425="","",IF(H1425&lt;=1,"Tramo 1",IF(H1425&lt;=3,"Tramo 2",IF(H1425&lt;=5,"Tramo 3","Tramo 4"))))</f>
        <v/>
      </c>
      <c r="J1425" s="22"/>
      <c r="K1425" s="22"/>
      <c r="L1425" s="22"/>
      <c r="M1425" s="26"/>
      <c r="N1425" s="22"/>
      <c r="O1425" s="22"/>
      <c r="P1425" s="25" t="str">
        <f aca="false">IF(OR(O1425="",O1425="Sin información"),"",IFERROR(INDEX(Listas!$B$2:$B$9,MATCH(O1425,Listas!$A$2:$A$9,0)),""))</f>
        <v/>
      </c>
      <c r="Q1425" s="25" t="str">
        <f aca="false">IF(OR(O1425="",O1425="Sin información"),"",IFERROR(INDEX(Listas!$C$2:$C$9,MATCH(O1425,Listas!$A$2:$A$9,0)),""))</f>
        <v/>
      </c>
      <c r="R1425" s="22"/>
      <c r="S1425" s="22"/>
      <c r="T1425" s="25" t="str">
        <f aca="false">IF(S1425="","",IFERROR(INDEX(Empleadores!$B$2:$B$601,MATCH(S1425,Empleadores!$A$2:$A$601,0)),"No encontrado"))</f>
        <v/>
      </c>
      <c r="U1425" s="25" t="str">
        <f aca="false">IF(C1425="","",IF(V1425="","No",IF(Config!$C$4-V1425&lt;=Config!$C$15,"Sí","No")))</f>
        <v/>
      </c>
      <c r="V1425" s="23"/>
      <c r="W1425" s="22"/>
      <c r="X1425" s="22"/>
      <c r="Y1425" s="22"/>
      <c r="Z1425" s="27"/>
      <c r="AA1425" s="22"/>
      <c r="AB1425" s="22"/>
    </row>
    <row r="1426" customFormat="false" ht="15" hidden="false" customHeight="false" outlineLevel="0" collapsed="false">
      <c r="A1426" s="22"/>
      <c r="B1426" s="22"/>
      <c r="C1426" s="22"/>
      <c r="D1426" s="22"/>
      <c r="E1426" s="22"/>
      <c r="F1426" s="22"/>
      <c r="G1426" s="23"/>
      <c r="H1426" s="24" t="str">
        <f aca="false">IF(G1426="","",ROUND((Config!$C$4-G1426)/365.25,2))</f>
        <v/>
      </c>
      <c r="I1426" s="25" t="str">
        <f aca="false">IF(H1426="","",IF(H1426&lt;=1,"Tramo 1",IF(H1426&lt;=3,"Tramo 2",IF(H1426&lt;=5,"Tramo 3","Tramo 4"))))</f>
        <v/>
      </c>
      <c r="J1426" s="22"/>
      <c r="K1426" s="22"/>
      <c r="L1426" s="22"/>
      <c r="M1426" s="26"/>
      <c r="N1426" s="22"/>
      <c r="O1426" s="22"/>
      <c r="P1426" s="25" t="str">
        <f aca="false">IF(OR(O1426="",O1426="Sin información"),"",IFERROR(INDEX(Listas!$B$2:$B$9,MATCH(O1426,Listas!$A$2:$A$9,0)),""))</f>
        <v/>
      </c>
      <c r="Q1426" s="25" t="str">
        <f aca="false">IF(OR(O1426="",O1426="Sin información"),"",IFERROR(INDEX(Listas!$C$2:$C$9,MATCH(O1426,Listas!$A$2:$A$9,0)),""))</f>
        <v/>
      </c>
      <c r="R1426" s="22"/>
      <c r="S1426" s="22"/>
      <c r="T1426" s="25" t="str">
        <f aca="false">IF(S1426="","",IFERROR(INDEX(Empleadores!$B$2:$B$601,MATCH(S1426,Empleadores!$A$2:$A$601,0)),"No encontrado"))</f>
        <v/>
      </c>
      <c r="U1426" s="25" t="str">
        <f aca="false">IF(C1426="","",IF(V1426="","No",IF(Config!$C$4-V1426&lt;=Config!$C$15,"Sí","No")))</f>
        <v/>
      </c>
      <c r="V1426" s="23"/>
      <c r="W1426" s="22"/>
      <c r="X1426" s="22"/>
      <c r="Y1426" s="22"/>
      <c r="Z1426" s="27"/>
      <c r="AA1426" s="22"/>
      <c r="AB1426" s="22"/>
    </row>
    <row r="1427" customFormat="false" ht="15" hidden="false" customHeight="false" outlineLevel="0" collapsed="false">
      <c r="A1427" s="22"/>
      <c r="B1427" s="22"/>
      <c r="C1427" s="22"/>
      <c r="D1427" s="22"/>
      <c r="E1427" s="22"/>
      <c r="F1427" s="22"/>
      <c r="G1427" s="23"/>
      <c r="H1427" s="24" t="str">
        <f aca="false">IF(G1427="","",ROUND((Config!$C$4-G1427)/365.25,2))</f>
        <v/>
      </c>
      <c r="I1427" s="25" t="str">
        <f aca="false">IF(H1427="","",IF(H1427&lt;=1,"Tramo 1",IF(H1427&lt;=3,"Tramo 2",IF(H1427&lt;=5,"Tramo 3","Tramo 4"))))</f>
        <v/>
      </c>
      <c r="J1427" s="22"/>
      <c r="K1427" s="22"/>
      <c r="L1427" s="22"/>
      <c r="M1427" s="26"/>
      <c r="N1427" s="22"/>
      <c r="O1427" s="22"/>
      <c r="P1427" s="25" t="str">
        <f aca="false">IF(OR(O1427="",O1427="Sin información"),"",IFERROR(INDEX(Listas!$B$2:$B$9,MATCH(O1427,Listas!$A$2:$A$9,0)),""))</f>
        <v/>
      </c>
      <c r="Q1427" s="25" t="str">
        <f aca="false">IF(OR(O1427="",O1427="Sin información"),"",IFERROR(INDEX(Listas!$C$2:$C$9,MATCH(O1427,Listas!$A$2:$A$9,0)),""))</f>
        <v/>
      </c>
      <c r="R1427" s="22"/>
      <c r="S1427" s="22"/>
      <c r="T1427" s="25" t="str">
        <f aca="false">IF(S1427="","",IFERROR(INDEX(Empleadores!$B$2:$B$601,MATCH(S1427,Empleadores!$A$2:$A$601,0)),"No encontrado"))</f>
        <v/>
      </c>
      <c r="U1427" s="25" t="str">
        <f aca="false">IF(C1427="","",IF(V1427="","No",IF(Config!$C$4-V1427&lt;=Config!$C$15,"Sí","No")))</f>
        <v/>
      </c>
      <c r="V1427" s="23"/>
      <c r="W1427" s="22"/>
      <c r="X1427" s="22"/>
      <c r="Y1427" s="22"/>
      <c r="Z1427" s="27"/>
      <c r="AA1427" s="22"/>
      <c r="AB1427" s="22"/>
    </row>
    <row r="1428" customFormat="false" ht="15" hidden="false" customHeight="false" outlineLevel="0" collapsed="false">
      <c r="A1428" s="22"/>
      <c r="B1428" s="22"/>
      <c r="C1428" s="22"/>
      <c r="D1428" s="22"/>
      <c r="E1428" s="22"/>
      <c r="F1428" s="22"/>
      <c r="G1428" s="23"/>
      <c r="H1428" s="24" t="str">
        <f aca="false">IF(G1428="","",ROUND((Config!$C$4-G1428)/365.25,2))</f>
        <v/>
      </c>
      <c r="I1428" s="25" t="str">
        <f aca="false">IF(H1428="","",IF(H1428&lt;=1,"Tramo 1",IF(H1428&lt;=3,"Tramo 2",IF(H1428&lt;=5,"Tramo 3","Tramo 4"))))</f>
        <v/>
      </c>
      <c r="J1428" s="22"/>
      <c r="K1428" s="22"/>
      <c r="L1428" s="22"/>
      <c r="M1428" s="26"/>
      <c r="N1428" s="22"/>
      <c r="O1428" s="22"/>
      <c r="P1428" s="25" t="str">
        <f aca="false">IF(OR(O1428="",O1428="Sin información"),"",IFERROR(INDEX(Listas!$B$2:$B$9,MATCH(O1428,Listas!$A$2:$A$9,0)),""))</f>
        <v/>
      </c>
      <c r="Q1428" s="25" t="str">
        <f aca="false">IF(OR(O1428="",O1428="Sin información"),"",IFERROR(INDEX(Listas!$C$2:$C$9,MATCH(O1428,Listas!$A$2:$A$9,0)),""))</f>
        <v/>
      </c>
      <c r="R1428" s="22"/>
      <c r="S1428" s="22"/>
      <c r="T1428" s="25" t="str">
        <f aca="false">IF(S1428="","",IFERROR(INDEX(Empleadores!$B$2:$B$601,MATCH(S1428,Empleadores!$A$2:$A$601,0)),"No encontrado"))</f>
        <v/>
      </c>
      <c r="U1428" s="25" t="str">
        <f aca="false">IF(C1428="","",IF(V1428="","No",IF(Config!$C$4-V1428&lt;=Config!$C$15,"Sí","No")))</f>
        <v/>
      </c>
      <c r="V1428" s="23"/>
      <c r="W1428" s="22"/>
      <c r="X1428" s="22"/>
      <c r="Y1428" s="22"/>
      <c r="Z1428" s="27"/>
      <c r="AA1428" s="22"/>
      <c r="AB1428" s="22"/>
    </row>
    <row r="1429" customFormat="false" ht="15" hidden="false" customHeight="false" outlineLevel="0" collapsed="false">
      <c r="A1429" s="22"/>
      <c r="B1429" s="22"/>
      <c r="C1429" s="22"/>
      <c r="D1429" s="22"/>
      <c r="E1429" s="22"/>
      <c r="F1429" s="22"/>
      <c r="G1429" s="23"/>
      <c r="H1429" s="24" t="str">
        <f aca="false">IF(G1429="","",ROUND((Config!$C$4-G1429)/365.25,2))</f>
        <v/>
      </c>
      <c r="I1429" s="25" t="str">
        <f aca="false">IF(H1429="","",IF(H1429&lt;=1,"Tramo 1",IF(H1429&lt;=3,"Tramo 2",IF(H1429&lt;=5,"Tramo 3","Tramo 4"))))</f>
        <v/>
      </c>
      <c r="J1429" s="22"/>
      <c r="K1429" s="22"/>
      <c r="L1429" s="22"/>
      <c r="M1429" s="26"/>
      <c r="N1429" s="22"/>
      <c r="O1429" s="22"/>
      <c r="P1429" s="25" t="str">
        <f aca="false">IF(OR(O1429="",O1429="Sin información"),"",IFERROR(INDEX(Listas!$B$2:$B$9,MATCH(O1429,Listas!$A$2:$A$9,0)),""))</f>
        <v/>
      </c>
      <c r="Q1429" s="25" t="str">
        <f aca="false">IF(OR(O1429="",O1429="Sin información"),"",IFERROR(INDEX(Listas!$C$2:$C$9,MATCH(O1429,Listas!$A$2:$A$9,0)),""))</f>
        <v/>
      </c>
      <c r="R1429" s="22"/>
      <c r="S1429" s="22"/>
      <c r="T1429" s="25" t="str">
        <f aca="false">IF(S1429="","",IFERROR(INDEX(Empleadores!$B$2:$B$601,MATCH(S1429,Empleadores!$A$2:$A$601,0)),"No encontrado"))</f>
        <v/>
      </c>
      <c r="U1429" s="25" t="str">
        <f aca="false">IF(C1429="","",IF(V1429="","No",IF(Config!$C$4-V1429&lt;=Config!$C$15,"Sí","No")))</f>
        <v/>
      </c>
      <c r="V1429" s="23"/>
      <c r="W1429" s="22"/>
      <c r="X1429" s="22"/>
      <c r="Y1429" s="22"/>
      <c r="Z1429" s="27"/>
      <c r="AA1429" s="22"/>
      <c r="AB1429" s="22"/>
    </row>
    <row r="1430" customFormat="false" ht="15" hidden="false" customHeight="false" outlineLevel="0" collapsed="false">
      <c r="A1430" s="22"/>
      <c r="B1430" s="22"/>
      <c r="C1430" s="22"/>
      <c r="D1430" s="22"/>
      <c r="E1430" s="22"/>
      <c r="F1430" s="22"/>
      <c r="G1430" s="23"/>
      <c r="H1430" s="24" t="str">
        <f aca="false">IF(G1430="","",ROUND((Config!$C$4-G1430)/365.25,2))</f>
        <v/>
      </c>
      <c r="I1430" s="25" t="str">
        <f aca="false">IF(H1430="","",IF(H1430&lt;=1,"Tramo 1",IF(H1430&lt;=3,"Tramo 2",IF(H1430&lt;=5,"Tramo 3","Tramo 4"))))</f>
        <v/>
      </c>
      <c r="J1430" s="22"/>
      <c r="K1430" s="22"/>
      <c r="L1430" s="22"/>
      <c r="M1430" s="26"/>
      <c r="N1430" s="22"/>
      <c r="O1430" s="22"/>
      <c r="P1430" s="25" t="str">
        <f aca="false">IF(OR(O1430="",O1430="Sin información"),"",IFERROR(INDEX(Listas!$B$2:$B$9,MATCH(O1430,Listas!$A$2:$A$9,0)),""))</f>
        <v/>
      </c>
      <c r="Q1430" s="25" t="str">
        <f aca="false">IF(OR(O1430="",O1430="Sin información"),"",IFERROR(INDEX(Listas!$C$2:$C$9,MATCH(O1430,Listas!$A$2:$A$9,0)),""))</f>
        <v/>
      </c>
      <c r="R1430" s="22"/>
      <c r="S1430" s="22"/>
      <c r="T1430" s="25" t="str">
        <f aca="false">IF(S1430="","",IFERROR(INDEX(Empleadores!$B$2:$B$601,MATCH(S1430,Empleadores!$A$2:$A$601,0)),"No encontrado"))</f>
        <v/>
      </c>
      <c r="U1430" s="25" t="str">
        <f aca="false">IF(C1430="","",IF(V1430="","No",IF(Config!$C$4-V1430&lt;=Config!$C$15,"Sí","No")))</f>
        <v/>
      </c>
      <c r="V1430" s="23"/>
      <c r="W1430" s="22"/>
      <c r="X1430" s="22"/>
      <c r="Y1430" s="22"/>
      <c r="Z1430" s="27"/>
      <c r="AA1430" s="22"/>
      <c r="AB1430" s="22"/>
    </row>
    <row r="1431" customFormat="false" ht="15" hidden="false" customHeight="false" outlineLevel="0" collapsed="false">
      <c r="A1431" s="22"/>
      <c r="B1431" s="22"/>
      <c r="C1431" s="22"/>
      <c r="D1431" s="22"/>
      <c r="E1431" s="22"/>
      <c r="F1431" s="22"/>
      <c r="G1431" s="23"/>
      <c r="H1431" s="24" t="str">
        <f aca="false">IF(G1431="","",ROUND((Config!$C$4-G1431)/365.25,2))</f>
        <v/>
      </c>
      <c r="I1431" s="25" t="str">
        <f aca="false">IF(H1431="","",IF(H1431&lt;=1,"Tramo 1",IF(H1431&lt;=3,"Tramo 2",IF(H1431&lt;=5,"Tramo 3","Tramo 4"))))</f>
        <v/>
      </c>
      <c r="J1431" s="22"/>
      <c r="K1431" s="22"/>
      <c r="L1431" s="22"/>
      <c r="M1431" s="26"/>
      <c r="N1431" s="22"/>
      <c r="O1431" s="22"/>
      <c r="P1431" s="25" t="str">
        <f aca="false">IF(OR(O1431="",O1431="Sin información"),"",IFERROR(INDEX(Listas!$B$2:$B$9,MATCH(O1431,Listas!$A$2:$A$9,0)),""))</f>
        <v/>
      </c>
      <c r="Q1431" s="25" t="str">
        <f aca="false">IF(OR(O1431="",O1431="Sin información"),"",IFERROR(INDEX(Listas!$C$2:$C$9,MATCH(O1431,Listas!$A$2:$A$9,0)),""))</f>
        <v/>
      </c>
      <c r="R1431" s="22"/>
      <c r="S1431" s="22"/>
      <c r="T1431" s="25" t="str">
        <f aca="false">IF(S1431="","",IFERROR(INDEX(Empleadores!$B$2:$B$601,MATCH(S1431,Empleadores!$A$2:$A$601,0)),"No encontrado"))</f>
        <v/>
      </c>
      <c r="U1431" s="25" t="str">
        <f aca="false">IF(C1431="","",IF(V1431="","No",IF(Config!$C$4-V1431&lt;=Config!$C$15,"Sí","No")))</f>
        <v/>
      </c>
      <c r="V1431" s="23"/>
      <c r="W1431" s="22"/>
      <c r="X1431" s="22"/>
      <c r="Y1431" s="22"/>
      <c r="Z1431" s="27"/>
      <c r="AA1431" s="22"/>
      <c r="AB1431" s="22"/>
    </row>
    <row r="1432" customFormat="false" ht="15" hidden="false" customHeight="false" outlineLevel="0" collapsed="false">
      <c r="A1432" s="22"/>
      <c r="B1432" s="22"/>
      <c r="C1432" s="22"/>
      <c r="D1432" s="22"/>
      <c r="E1432" s="22"/>
      <c r="F1432" s="22"/>
      <c r="G1432" s="23"/>
      <c r="H1432" s="24" t="str">
        <f aca="false">IF(G1432="","",ROUND((Config!$C$4-G1432)/365.25,2))</f>
        <v/>
      </c>
      <c r="I1432" s="25" t="str">
        <f aca="false">IF(H1432="","",IF(H1432&lt;=1,"Tramo 1",IF(H1432&lt;=3,"Tramo 2",IF(H1432&lt;=5,"Tramo 3","Tramo 4"))))</f>
        <v/>
      </c>
      <c r="J1432" s="22"/>
      <c r="K1432" s="22"/>
      <c r="L1432" s="22"/>
      <c r="M1432" s="26"/>
      <c r="N1432" s="22"/>
      <c r="O1432" s="22"/>
      <c r="P1432" s="25" t="str">
        <f aca="false">IF(OR(O1432="",O1432="Sin información"),"",IFERROR(INDEX(Listas!$B$2:$B$9,MATCH(O1432,Listas!$A$2:$A$9,0)),""))</f>
        <v/>
      </c>
      <c r="Q1432" s="25" t="str">
        <f aca="false">IF(OR(O1432="",O1432="Sin información"),"",IFERROR(INDEX(Listas!$C$2:$C$9,MATCH(O1432,Listas!$A$2:$A$9,0)),""))</f>
        <v/>
      </c>
      <c r="R1432" s="22"/>
      <c r="S1432" s="22"/>
      <c r="T1432" s="25" t="str">
        <f aca="false">IF(S1432="","",IFERROR(INDEX(Empleadores!$B$2:$B$601,MATCH(S1432,Empleadores!$A$2:$A$601,0)),"No encontrado"))</f>
        <v/>
      </c>
      <c r="U1432" s="25" t="str">
        <f aca="false">IF(C1432="","",IF(V1432="","No",IF(Config!$C$4-V1432&lt;=Config!$C$15,"Sí","No")))</f>
        <v/>
      </c>
      <c r="V1432" s="23"/>
      <c r="W1432" s="22"/>
      <c r="X1432" s="22"/>
      <c r="Y1432" s="22"/>
      <c r="Z1432" s="27"/>
      <c r="AA1432" s="22"/>
      <c r="AB1432" s="22"/>
    </row>
    <row r="1433" customFormat="false" ht="15" hidden="false" customHeight="false" outlineLevel="0" collapsed="false">
      <c r="A1433" s="22"/>
      <c r="B1433" s="22"/>
      <c r="C1433" s="22"/>
      <c r="D1433" s="22"/>
      <c r="E1433" s="22"/>
      <c r="F1433" s="22"/>
      <c r="G1433" s="23"/>
      <c r="H1433" s="24" t="str">
        <f aca="false">IF(G1433="","",ROUND((Config!$C$4-G1433)/365.25,2))</f>
        <v/>
      </c>
      <c r="I1433" s="25" t="str">
        <f aca="false">IF(H1433="","",IF(H1433&lt;=1,"Tramo 1",IF(H1433&lt;=3,"Tramo 2",IF(H1433&lt;=5,"Tramo 3","Tramo 4"))))</f>
        <v/>
      </c>
      <c r="J1433" s="22"/>
      <c r="K1433" s="22"/>
      <c r="L1433" s="22"/>
      <c r="M1433" s="26"/>
      <c r="N1433" s="22"/>
      <c r="O1433" s="22"/>
      <c r="P1433" s="25" t="str">
        <f aca="false">IF(OR(O1433="",O1433="Sin información"),"",IFERROR(INDEX(Listas!$B$2:$B$9,MATCH(O1433,Listas!$A$2:$A$9,0)),""))</f>
        <v/>
      </c>
      <c r="Q1433" s="25" t="str">
        <f aca="false">IF(OR(O1433="",O1433="Sin información"),"",IFERROR(INDEX(Listas!$C$2:$C$9,MATCH(O1433,Listas!$A$2:$A$9,0)),""))</f>
        <v/>
      </c>
      <c r="R1433" s="22"/>
      <c r="S1433" s="22"/>
      <c r="T1433" s="25" t="str">
        <f aca="false">IF(S1433="","",IFERROR(INDEX(Empleadores!$B$2:$B$601,MATCH(S1433,Empleadores!$A$2:$A$601,0)),"No encontrado"))</f>
        <v/>
      </c>
      <c r="U1433" s="25" t="str">
        <f aca="false">IF(C1433="","",IF(V1433="","No",IF(Config!$C$4-V1433&lt;=Config!$C$15,"Sí","No")))</f>
        <v/>
      </c>
      <c r="V1433" s="23"/>
      <c r="W1433" s="22"/>
      <c r="X1433" s="22"/>
      <c r="Y1433" s="22"/>
      <c r="Z1433" s="27"/>
      <c r="AA1433" s="22"/>
      <c r="AB1433" s="22"/>
    </row>
    <row r="1434" customFormat="false" ht="15" hidden="false" customHeight="false" outlineLevel="0" collapsed="false">
      <c r="A1434" s="22"/>
      <c r="B1434" s="22"/>
      <c r="C1434" s="22"/>
      <c r="D1434" s="22"/>
      <c r="E1434" s="22"/>
      <c r="F1434" s="22"/>
      <c r="G1434" s="23"/>
      <c r="H1434" s="24" t="str">
        <f aca="false">IF(G1434="","",ROUND((Config!$C$4-G1434)/365.25,2))</f>
        <v/>
      </c>
      <c r="I1434" s="25" t="str">
        <f aca="false">IF(H1434="","",IF(H1434&lt;=1,"Tramo 1",IF(H1434&lt;=3,"Tramo 2",IF(H1434&lt;=5,"Tramo 3","Tramo 4"))))</f>
        <v/>
      </c>
      <c r="J1434" s="22"/>
      <c r="K1434" s="22"/>
      <c r="L1434" s="22"/>
      <c r="M1434" s="26"/>
      <c r="N1434" s="22"/>
      <c r="O1434" s="22"/>
      <c r="P1434" s="25" t="str">
        <f aca="false">IF(OR(O1434="",O1434="Sin información"),"",IFERROR(INDEX(Listas!$B$2:$B$9,MATCH(O1434,Listas!$A$2:$A$9,0)),""))</f>
        <v/>
      </c>
      <c r="Q1434" s="25" t="str">
        <f aca="false">IF(OR(O1434="",O1434="Sin información"),"",IFERROR(INDEX(Listas!$C$2:$C$9,MATCH(O1434,Listas!$A$2:$A$9,0)),""))</f>
        <v/>
      </c>
      <c r="R1434" s="22"/>
      <c r="S1434" s="22"/>
      <c r="T1434" s="25" t="str">
        <f aca="false">IF(S1434="","",IFERROR(INDEX(Empleadores!$B$2:$B$601,MATCH(S1434,Empleadores!$A$2:$A$601,0)),"No encontrado"))</f>
        <v/>
      </c>
      <c r="U1434" s="25" t="str">
        <f aca="false">IF(C1434="","",IF(V1434="","No",IF(Config!$C$4-V1434&lt;=Config!$C$15,"Sí","No")))</f>
        <v/>
      </c>
      <c r="V1434" s="23"/>
      <c r="W1434" s="22"/>
      <c r="X1434" s="22"/>
      <c r="Y1434" s="22"/>
      <c r="Z1434" s="27"/>
      <c r="AA1434" s="22"/>
      <c r="AB1434" s="22"/>
    </row>
    <row r="1435" customFormat="false" ht="15" hidden="false" customHeight="false" outlineLevel="0" collapsed="false">
      <c r="A1435" s="22"/>
      <c r="B1435" s="22"/>
      <c r="C1435" s="22"/>
      <c r="D1435" s="22"/>
      <c r="E1435" s="22"/>
      <c r="F1435" s="22"/>
      <c r="G1435" s="23"/>
      <c r="H1435" s="24" t="str">
        <f aca="false">IF(G1435="","",ROUND((Config!$C$4-G1435)/365.25,2))</f>
        <v/>
      </c>
      <c r="I1435" s="25" t="str">
        <f aca="false">IF(H1435="","",IF(H1435&lt;=1,"Tramo 1",IF(H1435&lt;=3,"Tramo 2",IF(H1435&lt;=5,"Tramo 3","Tramo 4"))))</f>
        <v/>
      </c>
      <c r="J1435" s="22"/>
      <c r="K1435" s="22"/>
      <c r="L1435" s="22"/>
      <c r="M1435" s="26"/>
      <c r="N1435" s="22"/>
      <c r="O1435" s="22"/>
      <c r="P1435" s="25" t="str">
        <f aca="false">IF(OR(O1435="",O1435="Sin información"),"",IFERROR(INDEX(Listas!$B$2:$B$9,MATCH(O1435,Listas!$A$2:$A$9,0)),""))</f>
        <v/>
      </c>
      <c r="Q1435" s="25" t="str">
        <f aca="false">IF(OR(O1435="",O1435="Sin información"),"",IFERROR(INDEX(Listas!$C$2:$C$9,MATCH(O1435,Listas!$A$2:$A$9,0)),""))</f>
        <v/>
      </c>
      <c r="R1435" s="22"/>
      <c r="S1435" s="22"/>
      <c r="T1435" s="25" t="str">
        <f aca="false">IF(S1435="","",IFERROR(INDEX(Empleadores!$B$2:$B$601,MATCH(S1435,Empleadores!$A$2:$A$601,0)),"No encontrado"))</f>
        <v/>
      </c>
      <c r="U1435" s="25" t="str">
        <f aca="false">IF(C1435="","",IF(V1435="","No",IF(Config!$C$4-V1435&lt;=Config!$C$15,"Sí","No")))</f>
        <v/>
      </c>
      <c r="V1435" s="23"/>
      <c r="W1435" s="22"/>
      <c r="X1435" s="22"/>
      <c r="Y1435" s="22"/>
      <c r="Z1435" s="27"/>
      <c r="AA1435" s="22"/>
      <c r="AB1435" s="22"/>
    </row>
    <row r="1436" customFormat="false" ht="15" hidden="false" customHeight="false" outlineLevel="0" collapsed="false">
      <c r="A1436" s="22"/>
      <c r="B1436" s="22"/>
      <c r="C1436" s="22"/>
      <c r="D1436" s="22"/>
      <c r="E1436" s="22"/>
      <c r="F1436" s="22"/>
      <c r="G1436" s="23"/>
      <c r="H1436" s="24" t="str">
        <f aca="false">IF(G1436="","",ROUND((Config!$C$4-G1436)/365.25,2))</f>
        <v/>
      </c>
      <c r="I1436" s="25" t="str">
        <f aca="false">IF(H1436="","",IF(H1436&lt;=1,"Tramo 1",IF(H1436&lt;=3,"Tramo 2",IF(H1436&lt;=5,"Tramo 3","Tramo 4"))))</f>
        <v/>
      </c>
      <c r="J1436" s="22"/>
      <c r="K1436" s="22"/>
      <c r="L1436" s="22"/>
      <c r="M1436" s="26"/>
      <c r="N1436" s="22"/>
      <c r="O1436" s="22"/>
      <c r="P1436" s="25" t="str">
        <f aca="false">IF(OR(O1436="",O1436="Sin información"),"",IFERROR(INDEX(Listas!$B$2:$B$9,MATCH(O1436,Listas!$A$2:$A$9,0)),""))</f>
        <v/>
      </c>
      <c r="Q1436" s="25" t="str">
        <f aca="false">IF(OR(O1436="",O1436="Sin información"),"",IFERROR(INDEX(Listas!$C$2:$C$9,MATCH(O1436,Listas!$A$2:$A$9,0)),""))</f>
        <v/>
      </c>
      <c r="R1436" s="22"/>
      <c r="S1436" s="22"/>
      <c r="T1436" s="25" t="str">
        <f aca="false">IF(S1436="","",IFERROR(INDEX(Empleadores!$B$2:$B$601,MATCH(S1436,Empleadores!$A$2:$A$601,0)),"No encontrado"))</f>
        <v/>
      </c>
      <c r="U1436" s="25" t="str">
        <f aca="false">IF(C1436="","",IF(V1436="","No",IF(Config!$C$4-V1436&lt;=Config!$C$15,"Sí","No")))</f>
        <v/>
      </c>
      <c r="V1436" s="23"/>
      <c r="W1436" s="22"/>
      <c r="X1436" s="22"/>
      <c r="Y1436" s="22"/>
      <c r="Z1436" s="27"/>
      <c r="AA1436" s="22"/>
      <c r="AB1436" s="22"/>
    </row>
    <row r="1437" customFormat="false" ht="15" hidden="false" customHeight="false" outlineLevel="0" collapsed="false">
      <c r="A1437" s="22"/>
      <c r="B1437" s="22"/>
      <c r="C1437" s="22"/>
      <c r="D1437" s="22"/>
      <c r="E1437" s="22"/>
      <c r="F1437" s="22"/>
      <c r="G1437" s="23"/>
      <c r="H1437" s="24" t="str">
        <f aca="false">IF(G1437="","",ROUND((Config!$C$4-G1437)/365.25,2))</f>
        <v/>
      </c>
      <c r="I1437" s="25" t="str">
        <f aca="false">IF(H1437="","",IF(H1437&lt;=1,"Tramo 1",IF(H1437&lt;=3,"Tramo 2",IF(H1437&lt;=5,"Tramo 3","Tramo 4"))))</f>
        <v/>
      </c>
      <c r="J1437" s="22"/>
      <c r="K1437" s="22"/>
      <c r="L1437" s="22"/>
      <c r="M1437" s="26"/>
      <c r="N1437" s="22"/>
      <c r="O1437" s="22"/>
      <c r="P1437" s="25" t="str">
        <f aca="false">IF(OR(O1437="",O1437="Sin información"),"",IFERROR(INDEX(Listas!$B$2:$B$9,MATCH(O1437,Listas!$A$2:$A$9,0)),""))</f>
        <v/>
      </c>
      <c r="Q1437" s="25" t="str">
        <f aca="false">IF(OR(O1437="",O1437="Sin información"),"",IFERROR(INDEX(Listas!$C$2:$C$9,MATCH(O1437,Listas!$A$2:$A$9,0)),""))</f>
        <v/>
      </c>
      <c r="R1437" s="22"/>
      <c r="S1437" s="22"/>
      <c r="T1437" s="25" t="str">
        <f aca="false">IF(S1437="","",IFERROR(INDEX(Empleadores!$B$2:$B$601,MATCH(S1437,Empleadores!$A$2:$A$601,0)),"No encontrado"))</f>
        <v/>
      </c>
      <c r="U1437" s="25" t="str">
        <f aca="false">IF(C1437="","",IF(V1437="","No",IF(Config!$C$4-V1437&lt;=Config!$C$15,"Sí","No")))</f>
        <v/>
      </c>
      <c r="V1437" s="23"/>
      <c r="W1437" s="22"/>
      <c r="X1437" s="22"/>
      <c r="Y1437" s="22"/>
      <c r="Z1437" s="27"/>
      <c r="AA1437" s="22"/>
      <c r="AB1437" s="22"/>
    </row>
    <row r="1438" customFormat="false" ht="15" hidden="false" customHeight="false" outlineLevel="0" collapsed="false">
      <c r="A1438" s="22"/>
      <c r="B1438" s="22"/>
      <c r="C1438" s="22"/>
      <c r="D1438" s="22"/>
      <c r="E1438" s="22"/>
      <c r="F1438" s="22"/>
      <c r="G1438" s="23"/>
      <c r="H1438" s="24" t="str">
        <f aca="false">IF(G1438="","",ROUND((Config!$C$4-G1438)/365.25,2))</f>
        <v/>
      </c>
      <c r="I1438" s="25" t="str">
        <f aca="false">IF(H1438="","",IF(H1438&lt;=1,"Tramo 1",IF(H1438&lt;=3,"Tramo 2",IF(H1438&lt;=5,"Tramo 3","Tramo 4"))))</f>
        <v/>
      </c>
      <c r="J1438" s="22"/>
      <c r="K1438" s="22"/>
      <c r="L1438" s="22"/>
      <c r="M1438" s="26"/>
      <c r="N1438" s="22"/>
      <c r="O1438" s="22"/>
      <c r="P1438" s="25" t="str">
        <f aca="false">IF(OR(O1438="",O1438="Sin información"),"",IFERROR(INDEX(Listas!$B$2:$B$9,MATCH(O1438,Listas!$A$2:$A$9,0)),""))</f>
        <v/>
      </c>
      <c r="Q1438" s="25" t="str">
        <f aca="false">IF(OR(O1438="",O1438="Sin información"),"",IFERROR(INDEX(Listas!$C$2:$C$9,MATCH(O1438,Listas!$A$2:$A$9,0)),""))</f>
        <v/>
      </c>
      <c r="R1438" s="22"/>
      <c r="S1438" s="22"/>
      <c r="T1438" s="25" t="str">
        <f aca="false">IF(S1438="","",IFERROR(INDEX(Empleadores!$B$2:$B$601,MATCH(S1438,Empleadores!$A$2:$A$601,0)),"No encontrado"))</f>
        <v/>
      </c>
      <c r="U1438" s="25" t="str">
        <f aca="false">IF(C1438="","",IF(V1438="","No",IF(Config!$C$4-V1438&lt;=Config!$C$15,"Sí","No")))</f>
        <v/>
      </c>
      <c r="V1438" s="23"/>
      <c r="W1438" s="22"/>
      <c r="X1438" s="22"/>
      <c r="Y1438" s="22"/>
      <c r="Z1438" s="27"/>
      <c r="AA1438" s="22"/>
      <c r="AB1438" s="22"/>
    </row>
    <row r="1439" customFormat="false" ht="15" hidden="false" customHeight="false" outlineLevel="0" collapsed="false">
      <c r="A1439" s="22"/>
      <c r="B1439" s="22"/>
      <c r="C1439" s="22"/>
      <c r="D1439" s="22"/>
      <c r="E1439" s="22"/>
      <c r="F1439" s="22"/>
      <c r="G1439" s="23"/>
      <c r="H1439" s="24" t="str">
        <f aca="false">IF(G1439="","",ROUND((Config!$C$4-G1439)/365.25,2))</f>
        <v/>
      </c>
      <c r="I1439" s="25" t="str">
        <f aca="false">IF(H1439="","",IF(H1439&lt;=1,"Tramo 1",IF(H1439&lt;=3,"Tramo 2",IF(H1439&lt;=5,"Tramo 3","Tramo 4"))))</f>
        <v/>
      </c>
      <c r="J1439" s="22"/>
      <c r="K1439" s="22"/>
      <c r="L1439" s="22"/>
      <c r="M1439" s="26"/>
      <c r="N1439" s="22"/>
      <c r="O1439" s="22"/>
      <c r="P1439" s="25" t="str">
        <f aca="false">IF(OR(O1439="",O1439="Sin información"),"",IFERROR(INDEX(Listas!$B$2:$B$9,MATCH(O1439,Listas!$A$2:$A$9,0)),""))</f>
        <v/>
      </c>
      <c r="Q1439" s="25" t="str">
        <f aca="false">IF(OR(O1439="",O1439="Sin información"),"",IFERROR(INDEX(Listas!$C$2:$C$9,MATCH(O1439,Listas!$A$2:$A$9,0)),""))</f>
        <v/>
      </c>
      <c r="R1439" s="22"/>
      <c r="S1439" s="22"/>
      <c r="T1439" s="25" t="str">
        <f aca="false">IF(S1439="","",IFERROR(INDEX(Empleadores!$B$2:$B$601,MATCH(S1439,Empleadores!$A$2:$A$601,0)),"No encontrado"))</f>
        <v/>
      </c>
      <c r="U1439" s="25" t="str">
        <f aca="false">IF(C1439="","",IF(V1439="","No",IF(Config!$C$4-V1439&lt;=Config!$C$15,"Sí","No")))</f>
        <v/>
      </c>
      <c r="V1439" s="23"/>
      <c r="W1439" s="22"/>
      <c r="X1439" s="22"/>
      <c r="Y1439" s="22"/>
      <c r="Z1439" s="27"/>
      <c r="AA1439" s="22"/>
      <c r="AB1439" s="22"/>
    </row>
    <row r="1440" customFormat="false" ht="15" hidden="false" customHeight="false" outlineLevel="0" collapsed="false">
      <c r="A1440" s="22"/>
      <c r="B1440" s="22"/>
      <c r="C1440" s="22"/>
      <c r="D1440" s="22"/>
      <c r="E1440" s="22"/>
      <c r="F1440" s="22"/>
      <c r="G1440" s="23"/>
      <c r="H1440" s="24" t="str">
        <f aca="false">IF(G1440="","",ROUND((Config!$C$4-G1440)/365.25,2))</f>
        <v/>
      </c>
      <c r="I1440" s="25" t="str">
        <f aca="false">IF(H1440="","",IF(H1440&lt;=1,"Tramo 1",IF(H1440&lt;=3,"Tramo 2",IF(H1440&lt;=5,"Tramo 3","Tramo 4"))))</f>
        <v/>
      </c>
      <c r="J1440" s="22"/>
      <c r="K1440" s="22"/>
      <c r="L1440" s="22"/>
      <c r="M1440" s="26"/>
      <c r="N1440" s="22"/>
      <c r="O1440" s="22"/>
      <c r="P1440" s="25" t="str">
        <f aca="false">IF(OR(O1440="",O1440="Sin información"),"",IFERROR(INDEX(Listas!$B$2:$B$9,MATCH(O1440,Listas!$A$2:$A$9,0)),""))</f>
        <v/>
      </c>
      <c r="Q1440" s="25" t="str">
        <f aca="false">IF(OR(O1440="",O1440="Sin información"),"",IFERROR(INDEX(Listas!$C$2:$C$9,MATCH(O1440,Listas!$A$2:$A$9,0)),""))</f>
        <v/>
      </c>
      <c r="R1440" s="22"/>
      <c r="S1440" s="22"/>
      <c r="T1440" s="25" t="str">
        <f aca="false">IF(S1440="","",IFERROR(INDEX(Empleadores!$B$2:$B$601,MATCH(S1440,Empleadores!$A$2:$A$601,0)),"No encontrado"))</f>
        <v/>
      </c>
      <c r="U1440" s="25" t="str">
        <f aca="false">IF(C1440="","",IF(V1440="","No",IF(Config!$C$4-V1440&lt;=Config!$C$15,"Sí","No")))</f>
        <v/>
      </c>
      <c r="V1440" s="23"/>
      <c r="W1440" s="22"/>
      <c r="X1440" s="22"/>
      <c r="Y1440" s="22"/>
      <c r="Z1440" s="27"/>
      <c r="AA1440" s="22"/>
      <c r="AB1440" s="22"/>
    </row>
    <row r="1441" customFormat="false" ht="15" hidden="false" customHeight="false" outlineLevel="0" collapsed="false">
      <c r="A1441" s="22"/>
      <c r="B1441" s="22"/>
      <c r="C1441" s="22"/>
      <c r="D1441" s="22"/>
      <c r="E1441" s="22"/>
      <c r="F1441" s="22"/>
      <c r="G1441" s="23"/>
      <c r="H1441" s="24" t="str">
        <f aca="false">IF(G1441="","",ROUND((Config!$C$4-G1441)/365.25,2))</f>
        <v/>
      </c>
      <c r="I1441" s="25" t="str">
        <f aca="false">IF(H1441="","",IF(H1441&lt;=1,"Tramo 1",IF(H1441&lt;=3,"Tramo 2",IF(H1441&lt;=5,"Tramo 3","Tramo 4"))))</f>
        <v/>
      </c>
      <c r="J1441" s="22"/>
      <c r="K1441" s="22"/>
      <c r="L1441" s="22"/>
      <c r="M1441" s="26"/>
      <c r="N1441" s="22"/>
      <c r="O1441" s="22"/>
      <c r="P1441" s="25" t="str">
        <f aca="false">IF(OR(O1441="",O1441="Sin información"),"",IFERROR(INDEX(Listas!$B$2:$B$9,MATCH(O1441,Listas!$A$2:$A$9,0)),""))</f>
        <v/>
      </c>
      <c r="Q1441" s="25" t="str">
        <f aca="false">IF(OR(O1441="",O1441="Sin información"),"",IFERROR(INDEX(Listas!$C$2:$C$9,MATCH(O1441,Listas!$A$2:$A$9,0)),""))</f>
        <v/>
      </c>
      <c r="R1441" s="22"/>
      <c r="S1441" s="22"/>
      <c r="T1441" s="25" t="str">
        <f aca="false">IF(S1441="","",IFERROR(INDEX(Empleadores!$B$2:$B$601,MATCH(S1441,Empleadores!$A$2:$A$601,0)),"No encontrado"))</f>
        <v/>
      </c>
      <c r="U1441" s="25" t="str">
        <f aca="false">IF(C1441="","",IF(V1441="","No",IF(Config!$C$4-V1441&lt;=Config!$C$15,"Sí","No")))</f>
        <v/>
      </c>
      <c r="V1441" s="23"/>
      <c r="W1441" s="22"/>
      <c r="X1441" s="22"/>
      <c r="Y1441" s="22"/>
      <c r="Z1441" s="27"/>
      <c r="AA1441" s="22"/>
      <c r="AB1441" s="22"/>
    </row>
    <row r="1442" customFormat="false" ht="15" hidden="false" customHeight="false" outlineLevel="0" collapsed="false">
      <c r="A1442" s="22"/>
      <c r="B1442" s="22"/>
      <c r="C1442" s="22"/>
      <c r="D1442" s="22"/>
      <c r="E1442" s="22"/>
      <c r="F1442" s="22"/>
      <c r="G1442" s="23"/>
      <c r="H1442" s="24" t="str">
        <f aca="false">IF(G1442="","",ROUND((Config!$C$4-G1442)/365.25,2))</f>
        <v/>
      </c>
      <c r="I1442" s="25" t="str">
        <f aca="false">IF(H1442="","",IF(H1442&lt;=1,"Tramo 1",IF(H1442&lt;=3,"Tramo 2",IF(H1442&lt;=5,"Tramo 3","Tramo 4"))))</f>
        <v/>
      </c>
      <c r="J1442" s="22"/>
      <c r="K1442" s="22"/>
      <c r="L1442" s="22"/>
      <c r="M1442" s="26"/>
      <c r="N1442" s="22"/>
      <c r="O1442" s="22"/>
      <c r="P1442" s="25" t="str">
        <f aca="false">IF(OR(O1442="",O1442="Sin información"),"",IFERROR(INDEX(Listas!$B$2:$B$9,MATCH(O1442,Listas!$A$2:$A$9,0)),""))</f>
        <v/>
      </c>
      <c r="Q1442" s="25" t="str">
        <f aca="false">IF(OR(O1442="",O1442="Sin información"),"",IFERROR(INDEX(Listas!$C$2:$C$9,MATCH(O1442,Listas!$A$2:$A$9,0)),""))</f>
        <v/>
      </c>
      <c r="R1442" s="22"/>
      <c r="S1442" s="22"/>
      <c r="T1442" s="25" t="str">
        <f aca="false">IF(S1442="","",IFERROR(INDEX(Empleadores!$B$2:$B$601,MATCH(S1442,Empleadores!$A$2:$A$601,0)),"No encontrado"))</f>
        <v/>
      </c>
      <c r="U1442" s="25" t="str">
        <f aca="false">IF(C1442="","",IF(V1442="","No",IF(Config!$C$4-V1442&lt;=Config!$C$15,"Sí","No")))</f>
        <v/>
      </c>
      <c r="V1442" s="23"/>
      <c r="W1442" s="22"/>
      <c r="X1442" s="22"/>
      <c r="Y1442" s="22"/>
      <c r="Z1442" s="27"/>
      <c r="AA1442" s="22"/>
      <c r="AB1442" s="22"/>
    </row>
    <row r="1443" customFormat="false" ht="15" hidden="false" customHeight="false" outlineLevel="0" collapsed="false">
      <c r="A1443" s="22"/>
      <c r="B1443" s="22"/>
      <c r="C1443" s="22"/>
      <c r="D1443" s="22"/>
      <c r="E1443" s="22"/>
      <c r="F1443" s="22"/>
      <c r="G1443" s="23"/>
      <c r="H1443" s="24" t="str">
        <f aca="false">IF(G1443="","",ROUND((Config!$C$4-G1443)/365.25,2))</f>
        <v/>
      </c>
      <c r="I1443" s="25" t="str">
        <f aca="false">IF(H1443="","",IF(H1443&lt;=1,"Tramo 1",IF(H1443&lt;=3,"Tramo 2",IF(H1443&lt;=5,"Tramo 3","Tramo 4"))))</f>
        <v/>
      </c>
      <c r="J1443" s="22"/>
      <c r="K1443" s="22"/>
      <c r="L1443" s="22"/>
      <c r="M1443" s="26"/>
      <c r="N1443" s="22"/>
      <c r="O1443" s="22"/>
      <c r="P1443" s="25" t="str">
        <f aca="false">IF(OR(O1443="",O1443="Sin información"),"",IFERROR(INDEX(Listas!$B$2:$B$9,MATCH(O1443,Listas!$A$2:$A$9,0)),""))</f>
        <v/>
      </c>
      <c r="Q1443" s="25" t="str">
        <f aca="false">IF(OR(O1443="",O1443="Sin información"),"",IFERROR(INDEX(Listas!$C$2:$C$9,MATCH(O1443,Listas!$A$2:$A$9,0)),""))</f>
        <v/>
      </c>
      <c r="R1443" s="22"/>
      <c r="S1443" s="22"/>
      <c r="T1443" s="25" t="str">
        <f aca="false">IF(S1443="","",IFERROR(INDEX(Empleadores!$B$2:$B$601,MATCH(S1443,Empleadores!$A$2:$A$601,0)),"No encontrado"))</f>
        <v/>
      </c>
      <c r="U1443" s="25" t="str">
        <f aca="false">IF(C1443="","",IF(V1443="","No",IF(Config!$C$4-V1443&lt;=Config!$C$15,"Sí","No")))</f>
        <v/>
      </c>
      <c r="V1443" s="23"/>
      <c r="W1443" s="22"/>
      <c r="X1443" s="22"/>
      <c r="Y1443" s="22"/>
      <c r="Z1443" s="27"/>
      <c r="AA1443" s="22"/>
      <c r="AB1443" s="22"/>
    </row>
    <row r="1444" customFormat="false" ht="15" hidden="false" customHeight="false" outlineLevel="0" collapsed="false">
      <c r="A1444" s="22"/>
      <c r="B1444" s="22"/>
      <c r="C1444" s="22"/>
      <c r="D1444" s="22"/>
      <c r="E1444" s="22"/>
      <c r="F1444" s="22"/>
      <c r="G1444" s="23"/>
      <c r="H1444" s="24" t="str">
        <f aca="false">IF(G1444="","",ROUND((Config!$C$4-G1444)/365.25,2))</f>
        <v/>
      </c>
      <c r="I1444" s="25" t="str">
        <f aca="false">IF(H1444="","",IF(H1444&lt;=1,"Tramo 1",IF(H1444&lt;=3,"Tramo 2",IF(H1444&lt;=5,"Tramo 3","Tramo 4"))))</f>
        <v/>
      </c>
      <c r="J1444" s="22"/>
      <c r="K1444" s="22"/>
      <c r="L1444" s="22"/>
      <c r="M1444" s="26"/>
      <c r="N1444" s="22"/>
      <c r="O1444" s="22"/>
      <c r="P1444" s="25" t="str">
        <f aca="false">IF(OR(O1444="",O1444="Sin información"),"",IFERROR(INDEX(Listas!$B$2:$B$9,MATCH(O1444,Listas!$A$2:$A$9,0)),""))</f>
        <v/>
      </c>
      <c r="Q1444" s="25" t="str">
        <f aca="false">IF(OR(O1444="",O1444="Sin información"),"",IFERROR(INDEX(Listas!$C$2:$C$9,MATCH(O1444,Listas!$A$2:$A$9,0)),""))</f>
        <v/>
      </c>
      <c r="R1444" s="22"/>
      <c r="S1444" s="22"/>
      <c r="T1444" s="25" t="str">
        <f aca="false">IF(S1444="","",IFERROR(INDEX(Empleadores!$B$2:$B$601,MATCH(S1444,Empleadores!$A$2:$A$601,0)),"No encontrado"))</f>
        <v/>
      </c>
      <c r="U1444" s="25" t="str">
        <f aca="false">IF(C1444="","",IF(V1444="","No",IF(Config!$C$4-V1444&lt;=Config!$C$15,"Sí","No")))</f>
        <v/>
      </c>
      <c r="V1444" s="23"/>
      <c r="W1444" s="22"/>
      <c r="X1444" s="22"/>
      <c r="Y1444" s="22"/>
      <c r="Z1444" s="27"/>
      <c r="AA1444" s="22"/>
      <c r="AB1444" s="22"/>
    </row>
    <row r="1445" customFormat="false" ht="15" hidden="false" customHeight="false" outlineLevel="0" collapsed="false">
      <c r="A1445" s="22"/>
      <c r="B1445" s="22"/>
      <c r="C1445" s="22"/>
      <c r="D1445" s="22"/>
      <c r="E1445" s="22"/>
      <c r="F1445" s="22"/>
      <c r="G1445" s="23"/>
      <c r="H1445" s="24" t="str">
        <f aca="false">IF(G1445="","",ROUND((Config!$C$4-G1445)/365.25,2))</f>
        <v/>
      </c>
      <c r="I1445" s="25" t="str">
        <f aca="false">IF(H1445="","",IF(H1445&lt;=1,"Tramo 1",IF(H1445&lt;=3,"Tramo 2",IF(H1445&lt;=5,"Tramo 3","Tramo 4"))))</f>
        <v/>
      </c>
      <c r="J1445" s="22"/>
      <c r="K1445" s="22"/>
      <c r="L1445" s="22"/>
      <c r="M1445" s="26"/>
      <c r="N1445" s="22"/>
      <c r="O1445" s="22"/>
      <c r="P1445" s="25" t="str">
        <f aca="false">IF(OR(O1445="",O1445="Sin información"),"",IFERROR(INDEX(Listas!$B$2:$B$9,MATCH(O1445,Listas!$A$2:$A$9,0)),""))</f>
        <v/>
      </c>
      <c r="Q1445" s="25" t="str">
        <f aca="false">IF(OR(O1445="",O1445="Sin información"),"",IFERROR(INDEX(Listas!$C$2:$C$9,MATCH(O1445,Listas!$A$2:$A$9,0)),""))</f>
        <v/>
      </c>
      <c r="R1445" s="22"/>
      <c r="S1445" s="22"/>
      <c r="T1445" s="25" t="str">
        <f aca="false">IF(S1445="","",IFERROR(INDEX(Empleadores!$B$2:$B$601,MATCH(S1445,Empleadores!$A$2:$A$601,0)),"No encontrado"))</f>
        <v/>
      </c>
      <c r="U1445" s="25" t="str">
        <f aca="false">IF(C1445="","",IF(V1445="","No",IF(Config!$C$4-V1445&lt;=Config!$C$15,"Sí","No")))</f>
        <v/>
      </c>
      <c r="V1445" s="23"/>
      <c r="W1445" s="22"/>
      <c r="X1445" s="22"/>
      <c r="Y1445" s="22"/>
      <c r="Z1445" s="27"/>
      <c r="AA1445" s="22"/>
      <c r="AB1445" s="22"/>
    </row>
    <row r="1446" customFormat="false" ht="15" hidden="false" customHeight="false" outlineLevel="0" collapsed="false">
      <c r="A1446" s="22"/>
      <c r="B1446" s="22"/>
      <c r="C1446" s="22"/>
      <c r="D1446" s="22"/>
      <c r="E1446" s="22"/>
      <c r="F1446" s="22"/>
      <c r="G1446" s="23"/>
      <c r="H1446" s="24" t="str">
        <f aca="false">IF(G1446="","",ROUND((Config!$C$4-G1446)/365.25,2))</f>
        <v/>
      </c>
      <c r="I1446" s="25" t="str">
        <f aca="false">IF(H1446="","",IF(H1446&lt;=1,"Tramo 1",IF(H1446&lt;=3,"Tramo 2",IF(H1446&lt;=5,"Tramo 3","Tramo 4"))))</f>
        <v/>
      </c>
      <c r="J1446" s="22"/>
      <c r="K1446" s="22"/>
      <c r="L1446" s="22"/>
      <c r="M1446" s="26"/>
      <c r="N1446" s="22"/>
      <c r="O1446" s="22"/>
      <c r="P1446" s="25" t="str">
        <f aca="false">IF(OR(O1446="",O1446="Sin información"),"",IFERROR(INDEX(Listas!$B$2:$B$9,MATCH(O1446,Listas!$A$2:$A$9,0)),""))</f>
        <v/>
      </c>
      <c r="Q1446" s="25" t="str">
        <f aca="false">IF(OR(O1446="",O1446="Sin información"),"",IFERROR(INDEX(Listas!$C$2:$C$9,MATCH(O1446,Listas!$A$2:$A$9,0)),""))</f>
        <v/>
      </c>
      <c r="R1446" s="22"/>
      <c r="S1446" s="22"/>
      <c r="T1446" s="25" t="str">
        <f aca="false">IF(S1446="","",IFERROR(INDEX(Empleadores!$B$2:$B$601,MATCH(S1446,Empleadores!$A$2:$A$601,0)),"No encontrado"))</f>
        <v/>
      </c>
      <c r="U1446" s="25" t="str">
        <f aca="false">IF(C1446="","",IF(V1446="","No",IF(Config!$C$4-V1446&lt;=Config!$C$15,"Sí","No")))</f>
        <v/>
      </c>
      <c r="V1446" s="23"/>
      <c r="W1446" s="22"/>
      <c r="X1446" s="22"/>
      <c r="Y1446" s="22"/>
      <c r="Z1446" s="27"/>
      <c r="AA1446" s="22"/>
      <c r="AB1446" s="22"/>
    </row>
    <row r="1447" customFormat="false" ht="15" hidden="false" customHeight="false" outlineLevel="0" collapsed="false">
      <c r="A1447" s="22"/>
      <c r="B1447" s="22"/>
      <c r="C1447" s="22"/>
      <c r="D1447" s="22"/>
      <c r="E1447" s="22"/>
      <c r="F1447" s="22"/>
      <c r="G1447" s="23"/>
      <c r="H1447" s="24" t="str">
        <f aca="false">IF(G1447="","",ROUND((Config!$C$4-G1447)/365.25,2))</f>
        <v/>
      </c>
      <c r="I1447" s="25" t="str">
        <f aca="false">IF(H1447="","",IF(H1447&lt;=1,"Tramo 1",IF(H1447&lt;=3,"Tramo 2",IF(H1447&lt;=5,"Tramo 3","Tramo 4"))))</f>
        <v/>
      </c>
      <c r="J1447" s="22"/>
      <c r="K1447" s="22"/>
      <c r="L1447" s="22"/>
      <c r="M1447" s="26"/>
      <c r="N1447" s="22"/>
      <c r="O1447" s="22"/>
      <c r="P1447" s="25" t="str">
        <f aca="false">IF(OR(O1447="",O1447="Sin información"),"",IFERROR(INDEX(Listas!$B$2:$B$9,MATCH(O1447,Listas!$A$2:$A$9,0)),""))</f>
        <v/>
      </c>
      <c r="Q1447" s="25" t="str">
        <f aca="false">IF(OR(O1447="",O1447="Sin información"),"",IFERROR(INDEX(Listas!$C$2:$C$9,MATCH(O1447,Listas!$A$2:$A$9,0)),""))</f>
        <v/>
      </c>
      <c r="R1447" s="22"/>
      <c r="S1447" s="22"/>
      <c r="T1447" s="25" t="str">
        <f aca="false">IF(S1447="","",IFERROR(INDEX(Empleadores!$B$2:$B$601,MATCH(S1447,Empleadores!$A$2:$A$601,0)),"No encontrado"))</f>
        <v/>
      </c>
      <c r="U1447" s="25" t="str">
        <f aca="false">IF(C1447="","",IF(V1447="","No",IF(Config!$C$4-V1447&lt;=Config!$C$15,"Sí","No")))</f>
        <v/>
      </c>
      <c r="V1447" s="23"/>
      <c r="W1447" s="22"/>
      <c r="X1447" s="22"/>
      <c r="Y1447" s="22"/>
      <c r="Z1447" s="27"/>
      <c r="AA1447" s="22"/>
      <c r="AB1447" s="22"/>
    </row>
    <row r="1448" customFormat="false" ht="15" hidden="false" customHeight="false" outlineLevel="0" collapsed="false">
      <c r="A1448" s="22"/>
      <c r="B1448" s="22"/>
      <c r="C1448" s="22"/>
      <c r="D1448" s="22"/>
      <c r="E1448" s="22"/>
      <c r="F1448" s="22"/>
      <c r="G1448" s="23"/>
      <c r="H1448" s="24" t="str">
        <f aca="false">IF(G1448="","",ROUND((Config!$C$4-G1448)/365.25,2))</f>
        <v/>
      </c>
      <c r="I1448" s="25" t="str">
        <f aca="false">IF(H1448="","",IF(H1448&lt;=1,"Tramo 1",IF(H1448&lt;=3,"Tramo 2",IF(H1448&lt;=5,"Tramo 3","Tramo 4"))))</f>
        <v/>
      </c>
      <c r="J1448" s="22"/>
      <c r="K1448" s="22"/>
      <c r="L1448" s="22"/>
      <c r="M1448" s="26"/>
      <c r="N1448" s="22"/>
      <c r="O1448" s="22"/>
      <c r="P1448" s="25" t="str">
        <f aca="false">IF(OR(O1448="",O1448="Sin información"),"",IFERROR(INDEX(Listas!$B$2:$B$9,MATCH(O1448,Listas!$A$2:$A$9,0)),""))</f>
        <v/>
      </c>
      <c r="Q1448" s="25" t="str">
        <f aca="false">IF(OR(O1448="",O1448="Sin información"),"",IFERROR(INDEX(Listas!$C$2:$C$9,MATCH(O1448,Listas!$A$2:$A$9,0)),""))</f>
        <v/>
      </c>
      <c r="R1448" s="22"/>
      <c r="S1448" s="22"/>
      <c r="T1448" s="25" t="str">
        <f aca="false">IF(S1448="","",IFERROR(INDEX(Empleadores!$B$2:$B$601,MATCH(S1448,Empleadores!$A$2:$A$601,0)),"No encontrado"))</f>
        <v/>
      </c>
      <c r="U1448" s="25" t="str">
        <f aca="false">IF(C1448="","",IF(V1448="","No",IF(Config!$C$4-V1448&lt;=Config!$C$15,"Sí","No")))</f>
        <v/>
      </c>
      <c r="V1448" s="23"/>
      <c r="W1448" s="22"/>
      <c r="X1448" s="22"/>
      <c r="Y1448" s="22"/>
      <c r="Z1448" s="27"/>
      <c r="AA1448" s="22"/>
      <c r="AB1448" s="22"/>
    </row>
    <row r="1449" customFormat="false" ht="15" hidden="false" customHeight="false" outlineLevel="0" collapsed="false">
      <c r="A1449" s="22"/>
      <c r="B1449" s="22"/>
      <c r="C1449" s="22"/>
      <c r="D1449" s="22"/>
      <c r="E1449" s="22"/>
      <c r="F1449" s="22"/>
      <c r="G1449" s="23"/>
      <c r="H1449" s="24" t="str">
        <f aca="false">IF(G1449="","",ROUND((Config!$C$4-G1449)/365.25,2))</f>
        <v/>
      </c>
      <c r="I1449" s="25" t="str">
        <f aca="false">IF(H1449="","",IF(H1449&lt;=1,"Tramo 1",IF(H1449&lt;=3,"Tramo 2",IF(H1449&lt;=5,"Tramo 3","Tramo 4"))))</f>
        <v/>
      </c>
      <c r="J1449" s="22"/>
      <c r="K1449" s="22"/>
      <c r="L1449" s="22"/>
      <c r="M1449" s="26"/>
      <c r="N1449" s="22"/>
      <c r="O1449" s="22"/>
      <c r="P1449" s="25" t="str">
        <f aca="false">IF(OR(O1449="",O1449="Sin información"),"",IFERROR(INDEX(Listas!$B$2:$B$9,MATCH(O1449,Listas!$A$2:$A$9,0)),""))</f>
        <v/>
      </c>
      <c r="Q1449" s="25" t="str">
        <f aca="false">IF(OR(O1449="",O1449="Sin información"),"",IFERROR(INDEX(Listas!$C$2:$C$9,MATCH(O1449,Listas!$A$2:$A$9,0)),""))</f>
        <v/>
      </c>
      <c r="R1449" s="22"/>
      <c r="S1449" s="22"/>
      <c r="T1449" s="25" t="str">
        <f aca="false">IF(S1449="","",IFERROR(INDEX(Empleadores!$B$2:$B$601,MATCH(S1449,Empleadores!$A$2:$A$601,0)),"No encontrado"))</f>
        <v/>
      </c>
      <c r="U1449" s="25" t="str">
        <f aca="false">IF(C1449="","",IF(V1449="","No",IF(Config!$C$4-V1449&lt;=Config!$C$15,"Sí","No")))</f>
        <v/>
      </c>
      <c r="V1449" s="23"/>
      <c r="W1449" s="22"/>
      <c r="X1449" s="22"/>
      <c r="Y1449" s="22"/>
      <c r="Z1449" s="27"/>
      <c r="AA1449" s="22"/>
      <c r="AB1449" s="22"/>
    </row>
    <row r="1450" customFormat="false" ht="15" hidden="false" customHeight="false" outlineLevel="0" collapsed="false">
      <c r="A1450" s="22"/>
      <c r="B1450" s="22"/>
      <c r="C1450" s="22"/>
      <c r="D1450" s="22"/>
      <c r="E1450" s="22"/>
      <c r="F1450" s="22"/>
      <c r="G1450" s="23"/>
      <c r="H1450" s="24" t="str">
        <f aca="false">IF(G1450="","",ROUND((Config!$C$4-G1450)/365.25,2))</f>
        <v/>
      </c>
      <c r="I1450" s="25" t="str">
        <f aca="false">IF(H1450="","",IF(H1450&lt;=1,"Tramo 1",IF(H1450&lt;=3,"Tramo 2",IF(H1450&lt;=5,"Tramo 3","Tramo 4"))))</f>
        <v/>
      </c>
      <c r="J1450" s="22"/>
      <c r="K1450" s="22"/>
      <c r="L1450" s="22"/>
      <c r="M1450" s="26"/>
      <c r="N1450" s="22"/>
      <c r="O1450" s="22"/>
      <c r="P1450" s="25" t="str">
        <f aca="false">IF(OR(O1450="",O1450="Sin información"),"",IFERROR(INDEX(Listas!$B$2:$B$9,MATCH(O1450,Listas!$A$2:$A$9,0)),""))</f>
        <v/>
      </c>
      <c r="Q1450" s="25" t="str">
        <f aca="false">IF(OR(O1450="",O1450="Sin información"),"",IFERROR(INDEX(Listas!$C$2:$C$9,MATCH(O1450,Listas!$A$2:$A$9,0)),""))</f>
        <v/>
      </c>
      <c r="R1450" s="22"/>
      <c r="S1450" s="22"/>
      <c r="T1450" s="25" t="str">
        <f aca="false">IF(S1450="","",IFERROR(INDEX(Empleadores!$B$2:$B$601,MATCH(S1450,Empleadores!$A$2:$A$601,0)),"No encontrado"))</f>
        <v/>
      </c>
      <c r="U1450" s="25" t="str">
        <f aca="false">IF(C1450="","",IF(V1450="","No",IF(Config!$C$4-V1450&lt;=Config!$C$15,"Sí","No")))</f>
        <v/>
      </c>
      <c r="V1450" s="23"/>
      <c r="W1450" s="22"/>
      <c r="X1450" s="22"/>
      <c r="Y1450" s="22"/>
      <c r="Z1450" s="27"/>
      <c r="AA1450" s="22"/>
      <c r="AB1450" s="22"/>
    </row>
    <row r="1451" customFormat="false" ht="15" hidden="false" customHeight="false" outlineLevel="0" collapsed="false">
      <c r="A1451" s="22"/>
      <c r="B1451" s="22"/>
      <c r="C1451" s="22"/>
      <c r="D1451" s="22"/>
      <c r="E1451" s="22"/>
      <c r="F1451" s="22"/>
      <c r="G1451" s="23"/>
      <c r="H1451" s="24" t="str">
        <f aca="false">IF(G1451="","",ROUND((Config!$C$4-G1451)/365.25,2))</f>
        <v/>
      </c>
      <c r="I1451" s="25" t="str">
        <f aca="false">IF(H1451="","",IF(H1451&lt;=1,"Tramo 1",IF(H1451&lt;=3,"Tramo 2",IF(H1451&lt;=5,"Tramo 3","Tramo 4"))))</f>
        <v/>
      </c>
      <c r="J1451" s="22"/>
      <c r="K1451" s="22"/>
      <c r="L1451" s="22"/>
      <c r="M1451" s="26"/>
      <c r="N1451" s="22"/>
      <c r="O1451" s="22"/>
      <c r="P1451" s="25" t="str">
        <f aca="false">IF(OR(O1451="",O1451="Sin información"),"",IFERROR(INDEX(Listas!$B$2:$B$9,MATCH(O1451,Listas!$A$2:$A$9,0)),""))</f>
        <v/>
      </c>
      <c r="Q1451" s="25" t="str">
        <f aca="false">IF(OR(O1451="",O1451="Sin información"),"",IFERROR(INDEX(Listas!$C$2:$C$9,MATCH(O1451,Listas!$A$2:$A$9,0)),""))</f>
        <v/>
      </c>
      <c r="R1451" s="22"/>
      <c r="S1451" s="22"/>
      <c r="T1451" s="25" t="str">
        <f aca="false">IF(S1451="","",IFERROR(INDEX(Empleadores!$B$2:$B$601,MATCH(S1451,Empleadores!$A$2:$A$601,0)),"No encontrado"))</f>
        <v/>
      </c>
      <c r="U1451" s="25" t="str">
        <f aca="false">IF(C1451="","",IF(V1451="","No",IF(Config!$C$4-V1451&lt;=Config!$C$15,"Sí","No")))</f>
        <v/>
      </c>
      <c r="V1451" s="23"/>
      <c r="W1451" s="22"/>
      <c r="X1451" s="22"/>
      <c r="Y1451" s="22"/>
      <c r="Z1451" s="27"/>
      <c r="AA1451" s="22"/>
      <c r="AB1451" s="22"/>
    </row>
    <row r="1452" customFormat="false" ht="15" hidden="false" customHeight="false" outlineLevel="0" collapsed="false">
      <c r="A1452" s="22"/>
      <c r="B1452" s="22"/>
      <c r="C1452" s="22"/>
      <c r="D1452" s="22"/>
      <c r="E1452" s="22"/>
      <c r="F1452" s="22"/>
      <c r="G1452" s="23"/>
      <c r="H1452" s="24" t="str">
        <f aca="false">IF(G1452="","",ROUND((Config!$C$4-G1452)/365.25,2))</f>
        <v/>
      </c>
      <c r="I1452" s="25" t="str">
        <f aca="false">IF(H1452="","",IF(H1452&lt;=1,"Tramo 1",IF(H1452&lt;=3,"Tramo 2",IF(H1452&lt;=5,"Tramo 3","Tramo 4"))))</f>
        <v/>
      </c>
      <c r="J1452" s="22"/>
      <c r="K1452" s="22"/>
      <c r="L1452" s="22"/>
      <c r="M1452" s="26"/>
      <c r="N1452" s="22"/>
      <c r="O1452" s="22"/>
      <c r="P1452" s="25" t="str">
        <f aca="false">IF(OR(O1452="",O1452="Sin información"),"",IFERROR(INDEX(Listas!$B$2:$B$9,MATCH(O1452,Listas!$A$2:$A$9,0)),""))</f>
        <v/>
      </c>
      <c r="Q1452" s="25" t="str">
        <f aca="false">IF(OR(O1452="",O1452="Sin información"),"",IFERROR(INDEX(Listas!$C$2:$C$9,MATCH(O1452,Listas!$A$2:$A$9,0)),""))</f>
        <v/>
      </c>
      <c r="R1452" s="22"/>
      <c r="S1452" s="22"/>
      <c r="T1452" s="25" t="str">
        <f aca="false">IF(S1452="","",IFERROR(INDEX(Empleadores!$B$2:$B$601,MATCH(S1452,Empleadores!$A$2:$A$601,0)),"No encontrado"))</f>
        <v/>
      </c>
      <c r="U1452" s="25" t="str">
        <f aca="false">IF(C1452="","",IF(V1452="","No",IF(Config!$C$4-V1452&lt;=Config!$C$15,"Sí","No")))</f>
        <v/>
      </c>
      <c r="V1452" s="23"/>
      <c r="W1452" s="22"/>
      <c r="X1452" s="22"/>
      <c r="Y1452" s="22"/>
      <c r="Z1452" s="27"/>
      <c r="AA1452" s="22"/>
      <c r="AB1452" s="22"/>
    </row>
    <row r="1453" customFormat="false" ht="15" hidden="false" customHeight="false" outlineLevel="0" collapsed="false">
      <c r="A1453" s="22"/>
      <c r="B1453" s="22"/>
      <c r="C1453" s="22"/>
      <c r="D1453" s="22"/>
      <c r="E1453" s="22"/>
      <c r="F1453" s="22"/>
      <c r="G1453" s="23"/>
      <c r="H1453" s="24" t="str">
        <f aca="false">IF(G1453="","",ROUND((Config!$C$4-G1453)/365.25,2))</f>
        <v/>
      </c>
      <c r="I1453" s="25" t="str">
        <f aca="false">IF(H1453="","",IF(H1453&lt;=1,"Tramo 1",IF(H1453&lt;=3,"Tramo 2",IF(H1453&lt;=5,"Tramo 3","Tramo 4"))))</f>
        <v/>
      </c>
      <c r="J1453" s="22"/>
      <c r="K1453" s="22"/>
      <c r="L1453" s="22"/>
      <c r="M1453" s="26"/>
      <c r="N1453" s="22"/>
      <c r="O1453" s="22"/>
      <c r="P1453" s="25" t="str">
        <f aca="false">IF(OR(O1453="",O1453="Sin información"),"",IFERROR(INDEX(Listas!$B$2:$B$9,MATCH(O1453,Listas!$A$2:$A$9,0)),""))</f>
        <v/>
      </c>
      <c r="Q1453" s="25" t="str">
        <f aca="false">IF(OR(O1453="",O1453="Sin información"),"",IFERROR(INDEX(Listas!$C$2:$C$9,MATCH(O1453,Listas!$A$2:$A$9,0)),""))</f>
        <v/>
      </c>
      <c r="R1453" s="22"/>
      <c r="S1453" s="22"/>
      <c r="T1453" s="25" t="str">
        <f aca="false">IF(S1453="","",IFERROR(INDEX(Empleadores!$B$2:$B$601,MATCH(S1453,Empleadores!$A$2:$A$601,0)),"No encontrado"))</f>
        <v/>
      </c>
      <c r="U1453" s="25" t="str">
        <f aca="false">IF(C1453="","",IF(V1453="","No",IF(Config!$C$4-V1453&lt;=Config!$C$15,"Sí","No")))</f>
        <v/>
      </c>
      <c r="V1453" s="23"/>
      <c r="W1453" s="22"/>
      <c r="X1453" s="22"/>
      <c r="Y1453" s="22"/>
      <c r="Z1453" s="27"/>
      <c r="AA1453" s="22"/>
      <c r="AB1453" s="22"/>
    </row>
    <row r="1454" customFormat="false" ht="15" hidden="false" customHeight="false" outlineLevel="0" collapsed="false">
      <c r="A1454" s="22"/>
      <c r="B1454" s="22"/>
      <c r="C1454" s="22"/>
      <c r="D1454" s="22"/>
      <c r="E1454" s="22"/>
      <c r="F1454" s="22"/>
      <c r="G1454" s="23"/>
      <c r="H1454" s="24" t="str">
        <f aca="false">IF(G1454="","",ROUND((Config!$C$4-G1454)/365.25,2))</f>
        <v/>
      </c>
      <c r="I1454" s="25" t="str">
        <f aca="false">IF(H1454="","",IF(H1454&lt;=1,"Tramo 1",IF(H1454&lt;=3,"Tramo 2",IF(H1454&lt;=5,"Tramo 3","Tramo 4"))))</f>
        <v/>
      </c>
      <c r="J1454" s="22"/>
      <c r="K1454" s="22"/>
      <c r="L1454" s="22"/>
      <c r="M1454" s="26"/>
      <c r="N1454" s="22"/>
      <c r="O1454" s="22"/>
      <c r="P1454" s="25" t="str">
        <f aca="false">IF(OR(O1454="",O1454="Sin información"),"",IFERROR(INDEX(Listas!$B$2:$B$9,MATCH(O1454,Listas!$A$2:$A$9,0)),""))</f>
        <v/>
      </c>
      <c r="Q1454" s="25" t="str">
        <f aca="false">IF(OR(O1454="",O1454="Sin información"),"",IFERROR(INDEX(Listas!$C$2:$C$9,MATCH(O1454,Listas!$A$2:$A$9,0)),""))</f>
        <v/>
      </c>
      <c r="R1454" s="22"/>
      <c r="S1454" s="22"/>
      <c r="T1454" s="25" t="str">
        <f aca="false">IF(S1454="","",IFERROR(INDEX(Empleadores!$B$2:$B$601,MATCH(S1454,Empleadores!$A$2:$A$601,0)),"No encontrado"))</f>
        <v/>
      </c>
      <c r="U1454" s="25" t="str">
        <f aca="false">IF(C1454="","",IF(V1454="","No",IF(Config!$C$4-V1454&lt;=Config!$C$15,"Sí","No")))</f>
        <v/>
      </c>
      <c r="V1454" s="23"/>
      <c r="W1454" s="22"/>
      <c r="X1454" s="22"/>
      <c r="Y1454" s="22"/>
      <c r="Z1454" s="27"/>
      <c r="AA1454" s="22"/>
      <c r="AB1454" s="22"/>
    </row>
    <row r="1455" customFormat="false" ht="15" hidden="false" customHeight="false" outlineLevel="0" collapsed="false">
      <c r="A1455" s="22"/>
      <c r="B1455" s="22"/>
      <c r="C1455" s="22"/>
      <c r="D1455" s="22"/>
      <c r="E1455" s="22"/>
      <c r="F1455" s="22"/>
      <c r="G1455" s="23"/>
      <c r="H1455" s="24" t="str">
        <f aca="false">IF(G1455="","",ROUND((Config!$C$4-G1455)/365.25,2))</f>
        <v/>
      </c>
      <c r="I1455" s="25" t="str">
        <f aca="false">IF(H1455="","",IF(H1455&lt;=1,"Tramo 1",IF(H1455&lt;=3,"Tramo 2",IF(H1455&lt;=5,"Tramo 3","Tramo 4"))))</f>
        <v/>
      </c>
      <c r="J1455" s="22"/>
      <c r="K1455" s="22"/>
      <c r="L1455" s="22"/>
      <c r="M1455" s="26"/>
      <c r="N1455" s="22"/>
      <c r="O1455" s="22"/>
      <c r="P1455" s="25" t="str">
        <f aca="false">IF(OR(O1455="",O1455="Sin información"),"",IFERROR(INDEX(Listas!$B$2:$B$9,MATCH(O1455,Listas!$A$2:$A$9,0)),""))</f>
        <v/>
      </c>
      <c r="Q1455" s="25" t="str">
        <f aca="false">IF(OR(O1455="",O1455="Sin información"),"",IFERROR(INDEX(Listas!$C$2:$C$9,MATCH(O1455,Listas!$A$2:$A$9,0)),""))</f>
        <v/>
      </c>
      <c r="R1455" s="22"/>
      <c r="S1455" s="22"/>
      <c r="T1455" s="25" t="str">
        <f aca="false">IF(S1455="","",IFERROR(INDEX(Empleadores!$B$2:$B$601,MATCH(S1455,Empleadores!$A$2:$A$601,0)),"No encontrado"))</f>
        <v/>
      </c>
      <c r="U1455" s="25" t="str">
        <f aca="false">IF(C1455="","",IF(V1455="","No",IF(Config!$C$4-V1455&lt;=Config!$C$15,"Sí","No")))</f>
        <v/>
      </c>
      <c r="V1455" s="23"/>
      <c r="W1455" s="22"/>
      <c r="X1455" s="22"/>
      <c r="Y1455" s="22"/>
      <c r="Z1455" s="27"/>
      <c r="AA1455" s="22"/>
      <c r="AB1455" s="22"/>
    </row>
    <row r="1456" customFormat="false" ht="15" hidden="false" customHeight="false" outlineLevel="0" collapsed="false">
      <c r="A1456" s="22"/>
      <c r="B1456" s="22"/>
      <c r="C1456" s="22"/>
      <c r="D1456" s="22"/>
      <c r="E1456" s="22"/>
      <c r="F1456" s="22"/>
      <c r="G1456" s="23"/>
      <c r="H1456" s="24" t="str">
        <f aca="false">IF(G1456="","",ROUND((Config!$C$4-G1456)/365.25,2))</f>
        <v/>
      </c>
      <c r="I1456" s="25" t="str">
        <f aca="false">IF(H1456="","",IF(H1456&lt;=1,"Tramo 1",IF(H1456&lt;=3,"Tramo 2",IF(H1456&lt;=5,"Tramo 3","Tramo 4"))))</f>
        <v/>
      </c>
      <c r="J1456" s="22"/>
      <c r="K1456" s="22"/>
      <c r="L1456" s="22"/>
      <c r="M1456" s="26"/>
      <c r="N1456" s="22"/>
      <c r="O1456" s="22"/>
      <c r="P1456" s="25" t="str">
        <f aca="false">IF(OR(O1456="",O1456="Sin información"),"",IFERROR(INDEX(Listas!$B$2:$B$9,MATCH(O1456,Listas!$A$2:$A$9,0)),""))</f>
        <v/>
      </c>
      <c r="Q1456" s="25" t="str">
        <f aca="false">IF(OR(O1456="",O1456="Sin información"),"",IFERROR(INDEX(Listas!$C$2:$C$9,MATCH(O1456,Listas!$A$2:$A$9,0)),""))</f>
        <v/>
      </c>
      <c r="R1456" s="22"/>
      <c r="S1456" s="22"/>
      <c r="T1456" s="25" t="str">
        <f aca="false">IF(S1456="","",IFERROR(INDEX(Empleadores!$B$2:$B$601,MATCH(S1456,Empleadores!$A$2:$A$601,0)),"No encontrado"))</f>
        <v/>
      </c>
      <c r="U1456" s="25" t="str">
        <f aca="false">IF(C1456="","",IF(V1456="","No",IF(Config!$C$4-V1456&lt;=Config!$C$15,"Sí","No")))</f>
        <v/>
      </c>
      <c r="V1456" s="23"/>
      <c r="W1456" s="22"/>
      <c r="X1456" s="22"/>
      <c r="Y1456" s="22"/>
      <c r="Z1456" s="27"/>
      <c r="AA1456" s="22"/>
      <c r="AB1456" s="22"/>
    </row>
    <row r="1457" customFormat="false" ht="15" hidden="false" customHeight="false" outlineLevel="0" collapsed="false">
      <c r="A1457" s="22"/>
      <c r="B1457" s="22"/>
      <c r="C1457" s="22"/>
      <c r="D1457" s="22"/>
      <c r="E1457" s="22"/>
      <c r="F1457" s="22"/>
      <c r="G1457" s="23"/>
      <c r="H1457" s="24" t="str">
        <f aca="false">IF(G1457="","",ROUND((Config!$C$4-G1457)/365.25,2))</f>
        <v/>
      </c>
      <c r="I1457" s="25" t="str">
        <f aca="false">IF(H1457="","",IF(H1457&lt;=1,"Tramo 1",IF(H1457&lt;=3,"Tramo 2",IF(H1457&lt;=5,"Tramo 3","Tramo 4"))))</f>
        <v/>
      </c>
      <c r="J1457" s="22"/>
      <c r="K1457" s="22"/>
      <c r="L1457" s="22"/>
      <c r="M1457" s="26"/>
      <c r="N1457" s="22"/>
      <c r="O1457" s="22"/>
      <c r="P1457" s="25" t="str">
        <f aca="false">IF(OR(O1457="",O1457="Sin información"),"",IFERROR(INDEX(Listas!$B$2:$B$9,MATCH(O1457,Listas!$A$2:$A$9,0)),""))</f>
        <v/>
      </c>
      <c r="Q1457" s="25" t="str">
        <f aca="false">IF(OR(O1457="",O1457="Sin información"),"",IFERROR(INDEX(Listas!$C$2:$C$9,MATCH(O1457,Listas!$A$2:$A$9,0)),""))</f>
        <v/>
      </c>
      <c r="R1457" s="22"/>
      <c r="S1457" s="22"/>
      <c r="T1457" s="25" t="str">
        <f aca="false">IF(S1457="","",IFERROR(INDEX(Empleadores!$B$2:$B$601,MATCH(S1457,Empleadores!$A$2:$A$601,0)),"No encontrado"))</f>
        <v/>
      </c>
      <c r="U1457" s="25" t="str">
        <f aca="false">IF(C1457="","",IF(V1457="","No",IF(Config!$C$4-V1457&lt;=Config!$C$15,"Sí","No")))</f>
        <v/>
      </c>
      <c r="V1457" s="23"/>
      <c r="W1457" s="22"/>
      <c r="X1457" s="22"/>
      <c r="Y1457" s="22"/>
      <c r="Z1457" s="27"/>
      <c r="AA1457" s="22"/>
      <c r="AB1457" s="22"/>
    </row>
    <row r="1458" customFormat="false" ht="15" hidden="false" customHeight="false" outlineLevel="0" collapsed="false">
      <c r="A1458" s="22"/>
      <c r="B1458" s="22"/>
      <c r="C1458" s="22"/>
      <c r="D1458" s="22"/>
      <c r="E1458" s="22"/>
      <c r="F1458" s="22"/>
      <c r="G1458" s="23"/>
      <c r="H1458" s="24" t="str">
        <f aca="false">IF(G1458="","",ROUND((Config!$C$4-G1458)/365.25,2))</f>
        <v/>
      </c>
      <c r="I1458" s="25" t="str">
        <f aca="false">IF(H1458="","",IF(H1458&lt;=1,"Tramo 1",IF(H1458&lt;=3,"Tramo 2",IF(H1458&lt;=5,"Tramo 3","Tramo 4"))))</f>
        <v/>
      </c>
      <c r="J1458" s="22"/>
      <c r="K1458" s="22"/>
      <c r="L1458" s="22"/>
      <c r="M1458" s="26"/>
      <c r="N1458" s="22"/>
      <c r="O1458" s="22"/>
      <c r="P1458" s="25" t="str">
        <f aca="false">IF(OR(O1458="",O1458="Sin información"),"",IFERROR(INDEX(Listas!$B$2:$B$9,MATCH(O1458,Listas!$A$2:$A$9,0)),""))</f>
        <v/>
      </c>
      <c r="Q1458" s="25" t="str">
        <f aca="false">IF(OR(O1458="",O1458="Sin información"),"",IFERROR(INDEX(Listas!$C$2:$C$9,MATCH(O1458,Listas!$A$2:$A$9,0)),""))</f>
        <v/>
      </c>
      <c r="R1458" s="22"/>
      <c r="S1458" s="22"/>
      <c r="T1458" s="25" t="str">
        <f aca="false">IF(S1458="","",IFERROR(INDEX(Empleadores!$B$2:$B$601,MATCH(S1458,Empleadores!$A$2:$A$601,0)),"No encontrado"))</f>
        <v/>
      </c>
      <c r="U1458" s="25" t="str">
        <f aca="false">IF(C1458="","",IF(V1458="","No",IF(Config!$C$4-V1458&lt;=Config!$C$15,"Sí","No")))</f>
        <v/>
      </c>
      <c r="V1458" s="23"/>
      <c r="W1458" s="22"/>
      <c r="X1458" s="22"/>
      <c r="Y1458" s="22"/>
      <c r="Z1458" s="27"/>
      <c r="AA1458" s="22"/>
      <c r="AB1458" s="22"/>
    </row>
    <row r="1459" customFormat="false" ht="15" hidden="false" customHeight="false" outlineLevel="0" collapsed="false">
      <c r="A1459" s="22"/>
      <c r="B1459" s="22"/>
      <c r="C1459" s="22"/>
      <c r="D1459" s="22"/>
      <c r="E1459" s="22"/>
      <c r="F1459" s="22"/>
      <c r="G1459" s="23"/>
      <c r="H1459" s="24" t="str">
        <f aca="false">IF(G1459="","",ROUND((Config!$C$4-G1459)/365.25,2))</f>
        <v/>
      </c>
      <c r="I1459" s="25" t="str">
        <f aca="false">IF(H1459="","",IF(H1459&lt;=1,"Tramo 1",IF(H1459&lt;=3,"Tramo 2",IF(H1459&lt;=5,"Tramo 3","Tramo 4"))))</f>
        <v/>
      </c>
      <c r="J1459" s="22"/>
      <c r="K1459" s="22"/>
      <c r="L1459" s="22"/>
      <c r="M1459" s="26"/>
      <c r="N1459" s="22"/>
      <c r="O1459" s="22"/>
      <c r="P1459" s="25" t="str">
        <f aca="false">IF(OR(O1459="",O1459="Sin información"),"",IFERROR(INDEX(Listas!$B$2:$B$9,MATCH(O1459,Listas!$A$2:$A$9,0)),""))</f>
        <v/>
      </c>
      <c r="Q1459" s="25" t="str">
        <f aca="false">IF(OR(O1459="",O1459="Sin información"),"",IFERROR(INDEX(Listas!$C$2:$C$9,MATCH(O1459,Listas!$A$2:$A$9,0)),""))</f>
        <v/>
      </c>
      <c r="R1459" s="22"/>
      <c r="S1459" s="22"/>
      <c r="T1459" s="25" t="str">
        <f aca="false">IF(S1459="","",IFERROR(INDEX(Empleadores!$B$2:$B$601,MATCH(S1459,Empleadores!$A$2:$A$601,0)),"No encontrado"))</f>
        <v/>
      </c>
      <c r="U1459" s="25" t="str">
        <f aca="false">IF(C1459="","",IF(V1459="","No",IF(Config!$C$4-V1459&lt;=Config!$C$15,"Sí","No")))</f>
        <v/>
      </c>
      <c r="V1459" s="23"/>
      <c r="W1459" s="22"/>
      <c r="X1459" s="22"/>
      <c r="Y1459" s="22"/>
      <c r="Z1459" s="27"/>
      <c r="AA1459" s="22"/>
      <c r="AB1459" s="22"/>
    </row>
    <row r="1460" customFormat="false" ht="15" hidden="false" customHeight="false" outlineLevel="0" collapsed="false">
      <c r="A1460" s="22"/>
      <c r="B1460" s="22"/>
      <c r="C1460" s="22"/>
      <c r="D1460" s="22"/>
      <c r="E1460" s="22"/>
      <c r="F1460" s="22"/>
      <c r="G1460" s="23"/>
      <c r="H1460" s="24" t="str">
        <f aca="false">IF(G1460="","",ROUND((Config!$C$4-G1460)/365.25,2))</f>
        <v/>
      </c>
      <c r="I1460" s="25" t="str">
        <f aca="false">IF(H1460="","",IF(H1460&lt;=1,"Tramo 1",IF(H1460&lt;=3,"Tramo 2",IF(H1460&lt;=5,"Tramo 3","Tramo 4"))))</f>
        <v/>
      </c>
      <c r="J1460" s="22"/>
      <c r="K1460" s="22"/>
      <c r="L1460" s="22"/>
      <c r="M1460" s="26"/>
      <c r="N1460" s="22"/>
      <c r="O1460" s="22"/>
      <c r="P1460" s="25" t="str">
        <f aca="false">IF(OR(O1460="",O1460="Sin información"),"",IFERROR(INDEX(Listas!$B$2:$B$9,MATCH(O1460,Listas!$A$2:$A$9,0)),""))</f>
        <v/>
      </c>
      <c r="Q1460" s="25" t="str">
        <f aca="false">IF(OR(O1460="",O1460="Sin información"),"",IFERROR(INDEX(Listas!$C$2:$C$9,MATCH(O1460,Listas!$A$2:$A$9,0)),""))</f>
        <v/>
      </c>
      <c r="R1460" s="22"/>
      <c r="S1460" s="22"/>
      <c r="T1460" s="25" t="str">
        <f aca="false">IF(S1460="","",IFERROR(INDEX(Empleadores!$B$2:$B$601,MATCH(S1460,Empleadores!$A$2:$A$601,0)),"No encontrado"))</f>
        <v/>
      </c>
      <c r="U1460" s="25" t="str">
        <f aca="false">IF(C1460="","",IF(V1460="","No",IF(Config!$C$4-V1460&lt;=Config!$C$15,"Sí","No")))</f>
        <v/>
      </c>
      <c r="V1460" s="23"/>
      <c r="W1460" s="22"/>
      <c r="X1460" s="22"/>
      <c r="Y1460" s="22"/>
      <c r="Z1460" s="27"/>
      <c r="AA1460" s="22"/>
      <c r="AB1460" s="22"/>
    </row>
    <row r="1461" customFormat="false" ht="15" hidden="false" customHeight="false" outlineLevel="0" collapsed="false">
      <c r="A1461" s="22"/>
      <c r="B1461" s="22"/>
      <c r="C1461" s="22"/>
      <c r="D1461" s="22"/>
      <c r="E1461" s="22"/>
      <c r="F1461" s="22"/>
      <c r="G1461" s="23"/>
      <c r="H1461" s="24" t="str">
        <f aca="false">IF(G1461="","",ROUND((Config!$C$4-G1461)/365.25,2))</f>
        <v/>
      </c>
      <c r="I1461" s="25" t="str">
        <f aca="false">IF(H1461="","",IF(H1461&lt;=1,"Tramo 1",IF(H1461&lt;=3,"Tramo 2",IF(H1461&lt;=5,"Tramo 3","Tramo 4"))))</f>
        <v/>
      </c>
      <c r="J1461" s="22"/>
      <c r="K1461" s="22"/>
      <c r="L1461" s="22"/>
      <c r="M1461" s="26"/>
      <c r="N1461" s="22"/>
      <c r="O1461" s="22"/>
      <c r="P1461" s="25" t="str">
        <f aca="false">IF(OR(O1461="",O1461="Sin información"),"",IFERROR(INDEX(Listas!$B$2:$B$9,MATCH(O1461,Listas!$A$2:$A$9,0)),""))</f>
        <v/>
      </c>
      <c r="Q1461" s="25" t="str">
        <f aca="false">IF(OR(O1461="",O1461="Sin información"),"",IFERROR(INDEX(Listas!$C$2:$C$9,MATCH(O1461,Listas!$A$2:$A$9,0)),""))</f>
        <v/>
      </c>
      <c r="R1461" s="22"/>
      <c r="S1461" s="22"/>
      <c r="T1461" s="25" t="str">
        <f aca="false">IF(S1461="","",IFERROR(INDEX(Empleadores!$B$2:$B$601,MATCH(S1461,Empleadores!$A$2:$A$601,0)),"No encontrado"))</f>
        <v/>
      </c>
      <c r="U1461" s="25" t="str">
        <f aca="false">IF(C1461="","",IF(V1461="","No",IF(Config!$C$4-V1461&lt;=Config!$C$15,"Sí","No")))</f>
        <v/>
      </c>
      <c r="V1461" s="23"/>
      <c r="W1461" s="22"/>
      <c r="X1461" s="22"/>
      <c r="Y1461" s="22"/>
      <c r="Z1461" s="27"/>
      <c r="AA1461" s="22"/>
      <c r="AB1461" s="22"/>
    </row>
    <row r="1462" customFormat="false" ht="15" hidden="false" customHeight="false" outlineLevel="0" collapsed="false">
      <c r="A1462" s="22"/>
      <c r="B1462" s="22"/>
      <c r="C1462" s="22"/>
      <c r="D1462" s="22"/>
      <c r="E1462" s="22"/>
      <c r="F1462" s="22"/>
      <c r="G1462" s="23"/>
      <c r="H1462" s="24" t="str">
        <f aca="false">IF(G1462="","",ROUND((Config!$C$4-G1462)/365.25,2))</f>
        <v/>
      </c>
      <c r="I1462" s="25" t="str">
        <f aca="false">IF(H1462="","",IF(H1462&lt;=1,"Tramo 1",IF(H1462&lt;=3,"Tramo 2",IF(H1462&lt;=5,"Tramo 3","Tramo 4"))))</f>
        <v/>
      </c>
      <c r="J1462" s="22"/>
      <c r="K1462" s="22"/>
      <c r="L1462" s="22"/>
      <c r="M1462" s="26"/>
      <c r="N1462" s="22"/>
      <c r="O1462" s="22"/>
      <c r="P1462" s="25" t="str">
        <f aca="false">IF(OR(O1462="",O1462="Sin información"),"",IFERROR(INDEX(Listas!$B$2:$B$9,MATCH(O1462,Listas!$A$2:$A$9,0)),""))</f>
        <v/>
      </c>
      <c r="Q1462" s="25" t="str">
        <f aca="false">IF(OR(O1462="",O1462="Sin información"),"",IFERROR(INDEX(Listas!$C$2:$C$9,MATCH(O1462,Listas!$A$2:$A$9,0)),""))</f>
        <v/>
      </c>
      <c r="R1462" s="22"/>
      <c r="S1462" s="22"/>
      <c r="T1462" s="25" t="str">
        <f aca="false">IF(S1462="","",IFERROR(INDEX(Empleadores!$B$2:$B$601,MATCH(S1462,Empleadores!$A$2:$A$601,0)),"No encontrado"))</f>
        <v/>
      </c>
      <c r="U1462" s="25" t="str">
        <f aca="false">IF(C1462="","",IF(V1462="","No",IF(Config!$C$4-V1462&lt;=Config!$C$15,"Sí","No")))</f>
        <v/>
      </c>
      <c r="V1462" s="23"/>
      <c r="W1462" s="22"/>
      <c r="X1462" s="22"/>
      <c r="Y1462" s="22"/>
      <c r="Z1462" s="27"/>
      <c r="AA1462" s="22"/>
      <c r="AB1462" s="22"/>
    </row>
    <row r="1463" customFormat="false" ht="15" hidden="false" customHeight="false" outlineLevel="0" collapsed="false">
      <c r="A1463" s="22"/>
      <c r="B1463" s="22"/>
      <c r="C1463" s="22"/>
      <c r="D1463" s="22"/>
      <c r="E1463" s="22"/>
      <c r="F1463" s="22"/>
      <c r="G1463" s="23"/>
      <c r="H1463" s="24" t="str">
        <f aca="false">IF(G1463="","",ROUND((Config!$C$4-G1463)/365.25,2))</f>
        <v/>
      </c>
      <c r="I1463" s="25" t="str">
        <f aca="false">IF(H1463="","",IF(H1463&lt;=1,"Tramo 1",IF(H1463&lt;=3,"Tramo 2",IF(H1463&lt;=5,"Tramo 3","Tramo 4"))))</f>
        <v/>
      </c>
      <c r="J1463" s="22"/>
      <c r="K1463" s="22"/>
      <c r="L1463" s="22"/>
      <c r="M1463" s="26"/>
      <c r="N1463" s="22"/>
      <c r="O1463" s="22"/>
      <c r="P1463" s="25" t="str">
        <f aca="false">IF(OR(O1463="",O1463="Sin información"),"",IFERROR(INDEX(Listas!$B$2:$B$9,MATCH(O1463,Listas!$A$2:$A$9,0)),""))</f>
        <v/>
      </c>
      <c r="Q1463" s="25" t="str">
        <f aca="false">IF(OR(O1463="",O1463="Sin información"),"",IFERROR(INDEX(Listas!$C$2:$C$9,MATCH(O1463,Listas!$A$2:$A$9,0)),""))</f>
        <v/>
      </c>
      <c r="R1463" s="22"/>
      <c r="S1463" s="22"/>
      <c r="T1463" s="25" t="str">
        <f aca="false">IF(S1463="","",IFERROR(INDEX(Empleadores!$B$2:$B$601,MATCH(S1463,Empleadores!$A$2:$A$601,0)),"No encontrado"))</f>
        <v/>
      </c>
      <c r="U1463" s="25" t="str">
        <f aca="false">IF(C1463="","",IF(V1463="","No",IF(Config!$C$4-V1463&lt;=Config!$C$15,"Sí","No")))</f>
        <v/>
      </c>
      <c r="V1463" s="23"/>
      <c r="W1463" s="22"/>
      <c r="X1463" s="22"/>
      <c r="Y1463" s="22"/>
      <c r="Z1463" s="27"/>
      <c r="AA1463" s="22"/>
      <c r="AB1463" s="22"/>
    </row>
    <row r="1464" customFormat="false" ht="15" hidden="false" customHeight="false" outlineLevel="0" collapsed="false">
      <c r="A1464" s="22"/>
      <c r="B1464" s="22"/>
      <c r="C1464" s="22"/>
      <c r="D1464" s="22"/>
      <c r="E1464" s="22"/>
      <c r="F1464" s="22"/>
      <c r="G1464" s="23"/>
      <c r="H1464" s="24" t="str">
        <f aca="false">IF(G1464="","",ROUND((Config!$C$4-G1464)/365.25,2))</f>
        <v/>
      </c>
      <c r="I1464" s="25" t="str">
        <f aca="false">IF(H1464="","",IF(H1464&lt;=1,"Tramo 1",IF(H1464&lt;=3,"Tramo 2",IF(H1464&lt;=5,"Tramo 3","Tramo 4"))))</f>
        <v/>
      </c>
      <c r="J1464" s="22"/>
      <c r="K1464" s="22"/>
      <c r="L1464" s="22"/>
      <c r="M1464" s="26"/>
      <c r="N1464" s="22"/>
      <c r="O1464" s="22"/>
      <c r="P1464" s="25" t="str">
        <f aca="false">IF(OR(O1464="",O1464="Sin información"),"",IFERROR(INDEX(Listas!$B$2:$B$9,MATCH(O1464,Listas!$A$2:$A$9,0)),""))</f>
        <v/>
      </c>
      <c r="Q1464" s="25" t="str">
        <f aca="false">IF(OR(O1464="",O1464="Sin información"),"",IFERROR(INDEX(Listas!$C$2:$C$9,MATCH(O1464,Listas!$A$2:$A$9,0)),""))</f>
        <v/>
      </c>
      <c r="R1464" s="22"/>
      <c r="S1464" s="22"/>
      <c r="T1464" s="25" t="str">
        <f aca="false">IF(S1464="","",IFERROR(INDEX(Empleadores!$B$2:$B$601,MATCH(S1464,Empleadores!$A$2:$A$601,0)),"No encontrado"))</f>
        <v/>
      </c>
      <c r="U1464" s="25" t="str">
        <f aca="false">IF(C1464="","",IF(V1464="","No",IF(Config!$C$4-V1464&lt;=Config!$C$15,"Sí","No")))</f>
        <v/>
      </c>
      <c r="V1464" s="23"/>
      <c r="W1464" s="22"/>
      <c r="X1464" s="22"/>
      <c r="Y1464" s="22"/>
      <c r="Z1464" s="27"/>
      <c r="AA1464" s="22"/>
      <c r="AB1464" s="22"/>
    </row>
    <row r="1465" customFormat="false" ht="15" hidden="false" customHeight="false" outlineLevel="0" collapsed="false">
      <c r="A1465" s="22"/>
      <c r="B1465" s="22"/>
      <c r="C1465" s="22"/>
      <c r="D1465" s="22"/>
      <c r="E1465" s="22"/>
      <c r="F1465" s="22"/>
      <c r="G1465" s="23"/>
      <c r="H1465" s="24" t="str">
        <f aca="false">IF(G1465="","",ROUND((Config!$C$4-G1465)/365.25,2))</f>
        <v/>
      </c>
      <c r="I1465" s="25" t="str">
        <f aca="false">IF(H1465="","",IF(H1465&lt;=1,"Tramo 1",IF(H1465&lt;=3,"Tramo 2",IF(H1465&lt;=5,"Tramo 3","Tramo 4"))))</f>
        <v/>
      </c>
      <c r="J1465" s="22"/>
      <c r="K1465" s="22"/>
      <c r="L1465" s="22"/>
      <c r="M1465" s="26"/>
      <c r="N1465" s="22"/>
      <c r="O1465" s="22"/>
      <c r="P1465" s="25" t="str">
        <f aca="false">IF(OR(O1465="",O1465="Sin información"),"",IFERROR(INDEX(Listas!$B$2:$B$9,MATCH(O1465,Listas!$A$2:$A$9,0)),""))</f>
        <v/>
      </c>
      <c r="Q1465" s="25" t="str">
        <f aca="false">IF(OR(O1465="",O1465="Sin información"),"",IFERROR(INDEX(Listas!$C$2:$C$9,MATCH(O1465,Listas!$A$2:$A$9,0)),""))</f>
        <v/>
      </c>
      <c r="R1465" s="22"/>
      <c r="S1465" s="22"/>
      <c r="T1465" s="25" t="str">
        <f aca="false">IF(S1465="","",IFERROR(INDEX(Empleadores!$B$2:$B$601,MATCH(S1465,Empleadores!$A$2:$A$601,0)),"No encontrado"))</f>
        <v/>
      </c>
      <c r="U1465" s="25" t="str">
        <f aca="false">IF(C1465="","",IF(V1465="","No",IF(Config!$C$4-V1465&lt;=Config!$C$15,"Sí","No")))</f>
        <v/>
      </c>
      <c r="V1465" s="23"/>
      <c r="W1465" s="22"/>
      <c r="X1465" s="22"/>
      <c r="Y1465" s="22"/>
      <c r="Z1465" s="27"/>
      <c r="AA1465" s="22"/>
      <c r="AB1465" s="22"/>
    </row>
    <row r="1466" customFormat="false" ht="15" hidden="false" customHeight="false" outlineLevel="0" collapsed="false">
      <c r="A1466" s="22"/>
      <c r="B1466" s="22"/>
      <c r="C1466" s="22"/>
      <c r="D1466" s="22"/>
      <c r="E1466" s="22"/>
      <c r="F1466" s="22"/>
      <c r="G1466" s="23"/>
      <c r="H1466" s="24" t="str">
        <f aca="false">IF(G1466="","",ROUND((Config!$C$4-G1466)/365.25,2))</f>
        <v/>
      </c>
      <c r="I1466" s="25" t="str">
        <f aca="false">IF(H1466="","",IF(H1466&lt;=1,"Tramo 1",IF(H1466&lt;=3,"Tramo 2",IF(H1466&lt;=5,"Tramo 3","Tramo 4"))))</f>
        <v/>
      </c>
      <c r="J1466" s="22"/>
      <c r="K1466" s="22"/>
      <c r="L1466" s="22"/>
      <c r="M1466" s="26"/>
      <c r="N1466" s="22"/>
      <c r="O1466" s="22"/>
      <c r="P1466" s="25" t="str">
        <f aca="false">IF(OR(O1466="",O1466="Sin información"),"",IFERROR(INDEX(Listas!$B$2:$B$9,MATCH(O1466,Listas!$A$2:$A$9,0)),""))</f>
        <v/>
      </c>
      <c r="Q1466" s="25" t="str">
        <f aca="false">IF(OR(O1466="",O1466="Sin información"),"",IFERROR(INDEX(Listas!$C$2:$C$9,MATCH(O1466,Listas!$A$2:$A$9,0)),""))</f>
        <v/>
      </c>
      <c r="R1466" s="22"/>
      <c r="S1466" s="22"/>
      <c r="T1466" s="25" t="str">
        <f aca="false">IF(S1466="","",IFERROR(INDEX(Empleadores!$B$2:$B$601,MATCH(S1466,Empleadores!$A$2:$A$601,0)),"No encontrado"))</f>
        <v/>
      </c>
      <c r="U1466" s="25" t="str">
        <f aca="false">IF(C1466="","",IF(V1466="","No",IF(Config!$C$4-V1466&lt;=Config!$C$15,"Sí","No")))</f>
        <v/>
      </c>
      <c r="V1466" s="23"/>
      <c r="W1466" s="22"/>
      <c r="X1466" s="22"/>
      <c r="Y1466" s="22"/>
      <c r="Z1466" s="27"/>
      <c r="AA1466" s="22"/>
      <c r="AB1466" s="22"/>
    </row>
    <row r="1467" customFormat="false" ht="15" hidden="false" customHeight="false" outlineLevel="0" collapsed="false">
      <c r="A1467" s="22"/>
      <c r="B1467" s="22"/>
      <c r="C1467" s="22"/>
      <c r="D1467" s="22"/>
      <c r="E1467" s="22"/>
      <c r="F1467" s="22"/>
      <c r="G1467" s="23"/>
      <c r="H1467" s="24" t="str">
        <f aca="false">IF(G1467="","",ROUND((Config!$C$4-G1467)/365.25,2))</f>
        <v/>
      </c>
      <c r="I1467" s="25" t="str">
        <f aca="false">IF(H1467="","",IF(H1467&lt;=1,"Tramo 1",IF(H1467&lt;=3,"Tramo 2",IF(H1467&lt;=5,"Tramo 3","Tramo 4"))))</f>
        <v/>
      </c>
      <c r="J1467" s="22"/>
      <c r="K1467" s="22"/>
      <c r="L1467" s="22"/>
      <c r="M1467" s="26"/>
      <c r="N1467" s="22"/>
      <c r="O1467" s="22"/>
      <c r="P1467" s="25" t="str">
        <f aca="false">IF(OR(O1467="",O1467="Sin información"),"",IFERROR(INDEX(Listas!$B$2:$B$9,MATCH(O1467,Listas!$A$2:$A$9,0)),""))</f>
        <v/>
      </c>
      <c r="Q1467" s="25" t="str">
        <f aca="false">IF(OR(O1467="",O1467="Sin información"),"",IFERROR(INDEX(Listas!$C$2:$C$9,MATCH(O1467,Listas!$A$2:$A$9,0)),""))</f>
        <v/>
      </c>
      <c r="R1467" s="22"/>
      <c r="S1467" s="22"/>
      <c r="T1467" s="25" t="str">
        <f aca="false">IF(S1467="","",IFERROR(INDEX(Empleadores!$B$2:$B$601,MATCH(S1467,Empleadores!$A$2:$A$601,0)),"No encontrado"))</f>
        <v/>
      </c>
      <c r="U1467" s="25" t="str">
        <f aca="false">IF(C1467="","",IF(V1467="","No",IF(Config!$C$4-V1467&lt;=Config!$C$15,"Sí","No")))</f>
        <v/>
      </c>
      <c r="V1467" s="23"/>
      <c r="W1467" s="22"/>
      <c r="X1467" s="22"/>
      <c r="Y1467" s="22"/>
      <c r="Z1467" s="27"/>
      <c r="AA1467" s="22"/>
      <c r="AB1467" s="22"/>
    </row>
    <row r="1468" customFormat="false" ht="15" hidden="false" customHeight="false" outlineLevel="0" collapsed="false">
      <c r="A1468" s="22"/>
      <c r="B1468" s="22"/>
      <c r="C1468" s="22"/>
      <c r="D1468" s="22"/>
      <c r="E1468" s="22"/>
      <c r="F1468" s="22"/>
      <c r="G1468" s="23"/>
      <c r="H1468" s="24" t="str">
        <f aca="false">IF(G1468="","",ROUND((Config!$C$4-G1468)/365.25,2))</f>
        <v/>
      </c>
      <c r="I1468" s="25" t="str">
        <f aca="false">IF(H1468="","",IF(H1468&lt;=1,"Tramo 1",IF(H1468&lt;=3,"Tramo 2",IF(H1468&lt;=5,"Tramo 3","Tramo 4"))))</f>
        <v/>
      </c>
      <c r="J1468" s="22"/>
      <c r="K1468" s="22"/>
      <c r="L1468" s="22"/>
      <c r="M1468" s="26"/>
      <c r="N1468" s="22"/>
      <c r="O1468" s="22"/>
      <c r="P1468" s="25" t="str">
        <f aca="false">IF(OR(O1468="",O1468="Sin información"),"",IFERROR(INDEX(Listas!$B$2:$B$9,MATCH(O1468,Listas!$A$2:$A$9,0)),""))</f>
        <v/>
      </c>
      <c r="Q1468" s="25" t="str">
        <f aca="false">IF(OR(O1468="",O1468="Sin información"),"",IFERROR(INDEX(Listas!$C$2:$C$9,MATCH(O1468,Listas!$A$2:$A$9,0)),""))</f>
        <v/>
      </c>
      <c r="R1468" s="22"/>
      <c r="S1468" s="22"/>
      <c r="T1468" s="25" t="str">
        <f aca="false">IF(S1468="","",IFERROR(INDEX(Empleadores!$B$2:$B$601,MATCH(S1468,Empleadores!$A$2:$A$601,0)),"No encontrado"))</f>
        <v/>
      </c>
      <c r="U1468" s="25" t="str">
        <f aca="false">IF(C1468="","",IF(V1468="","No",IF(Config!$C$4-V1468&lt;=Config!$C$15,"Sí","No")))</f>
        <v/>
      </c>
      <c r="V1468" s="23"/>
      <c r="W1468" s="22"/>
      <c r="X1468" s="22"/>
      <c r="Y1468" s="22"/>
      <c r="Z1468" s="27"/>
      <c r="AA1468" s="22"/>
      <c r="AB1468" s="22"/>
    </row>
    <row r="1469" customFormat="false" ht="15" hidden="false" customHeight="false" outlineLevel="0" collapsed="false">
      <c r="A1469" s="22"/>
      <c r="B1469" s="22"/>
      <c r="C1469" s="22"/>
      <c r="D1469" s="22"/>
      <c r="E1469" s="22"/>
      <c r="F1469" s="22"/>
      <c r="G1469" s="23"/>
      <c r="H1469" s="24" t="str">
        <f aca="false">IF(G1469="","",ROUND((Config!$C$4-G1469)/365.25,2))</f>
        <v/>
      </c>
      <c r="I1469" s="25" t="str">
        <f aca="false">IF(H1469="","",IF(H1469&lt;=1,"Tramo 1",IF(H1469&lt;=3,"Tramo 2",IF(H1469&lt;=5,"Tramo 3","Tramo 4"))))</f>
        <v/>
      </c>
      <c r="J1469" s="22"/>
      <c r="K1469" s="22"/>
      <c r="L1469" s="22"/>
      <c r="M1469" s="26"/>
      <c r="N1469" s="22"/>
      <c r="O1469" s="22"/>
      <c r="P1469" s="25" t="str">
        <f aca="false">IF(OR(O1469="",O1469="Sin información"),"",IFERROR(INDEX(Listas!$B$2:$B$9,MATCH(O1469,Listas!$A$2:$A$9,0)),""))</f>
        <v/>
      </c>
      <c r="Q1469" s="25" t="str">
        <f aca="false">IF(OR(O1469="",O1469="Sin información"),"",IFERROR(INDEX(Listas!$C$2:$C$9,MATCH(O1469,Listas!$A$2:$A$9,0)),""))</f>
        <v/>
      </c>
      <c r="R1469" s="22"/>
      <c r="S1469" s="22"/>
      <c r="T1469" s="25" t="str">
        <f aca="false">IF(S1469="","",IFERROR(INDEX(Empleadores!$B$2:$B$601,MATCH(S1469,Empleadores!$A$2:$A$601,0)),"No encontrado"))</f>
        <v/>
      </c>
      <c r="U1469" s="25" t="str">
        <f aca="false">IF(C1469="","",IF(V1469="","No",IF(Config!$C$4-V1469&lt;=Config!$C$15,"Sí","No")))</f>
        <v/>
      </c>
      <c r="V1469" s="23"/>
      <c r="W1469" s="22"/>
      <c r="X1469" s="22"/>
      <c r="Y1469" s="22"/>
      <c r="Z1469" s="27"/>
      <c r="AA1469" s="22"/>
      <c r="AB1469" s="22"/>
    </row>
    <row r="1470" customFormat="false" ht="15" hidden="false" customHeight="false" outlineLevel="0" collapsed="false">
      <c r="A1470" s="22"/>
      <c r="B1470" s="22"/>
      <c r="C1470" s="22"/>
      <c r="D1470" s="22"/>
      <c r="E1470" s="22"/>
      <c r="F1470" s="22"/>
      <c r="G1470" s="23"/>
      <c r="H1470" s="24" t="str">
        <f aca="false">IF(G1470="","",ROUND((Config!$C$4-G1470)/365.25,2))</f>
        <v/>
      </c>
      <c r="I1470" s="25" t="str">
        <f aca="false">IF(H1470="","",IF(H1470&lt;=1,"Tramo 1",IF(H1470&lt;=3,"Tramo 2",IF(H1470&lt;=5,"Tramo 3","Tramo 4"))))</f>
        <v/>
      </c>
      <c r="J1470" s="22"/>
      <c r="K1470" s="22"/>
      <c r="L1470" s="22"/>
      <c r="M1470" s="26"/>
      <c r="N1470" s="22"/>
      <c r="O1470" s="22"/>
      <c r="P1470" s="25" t="str">
        <f aca="false">IF(OR(O1470="",O1470="Sin información"),"",IFERROR(INDEX(Listas!$B$2:$B$9,MATCH(O1470,Listas!$A$2:$A$9,0)),""))</f>
        <v/>
      </c>
      <c r="Q1470" s="25" t="str">
        <f aca="false">IF(OR(O1470="",O1470="Sin información"),"",IFERROR(INDEX(Listas!$C$2:$C$9,MATCH(O1470,Listas!$A$2:$A$9,0)),""))</f>
        <v/>
      </c>
      <c r="R1470" s="22"/>
      <c r="S1470" s="22"/>
      <c r="T1470" s="25" t="str">
        <f aca="false">IF(S1470="","",IFERROR(INDEX(Empleadores!$B$2:$B$601,MATCH(S1470,Empleadores!$A$2:$A$601,0)),"No encontrado"))</f>
        <v/>
      </c>
      <c r="U1470" s="25" t="str">
        <f aca="false">IF(C1470="","",IF(V1470="","No",IF(Config!$C$4-V1470&lt;=Config!$C$15,"Sí","No")))</f>
        <v/>
      </c>
      <c r="V1470" s="23"/>
      <c r="W1470" s="22"/>
      <c r="X1470" s="22"/>
      <c r="Y1470" s="22"/>
      <c r="Z1470" s="27"/>
      <c r="AA1470" s="22"/>
      <c r="AB1470" s="22"/>
    </row>
    <row r="1471" customFormat="false" ht="15" hidden="false" customHeight="false" outlineLevel="0" collapsed="false">
      <c r="A1471" s="22"/>
      <c r="B1471" s="22"/>
      <c r="C1471" s="22"/>
      <c r="D1471" s="22"/>
      <c r="E1471" s="22"/>
      <c r="F1471" s="22"/>
      <c r="G1471" s="23"/>
      <c r="H1471" s="24" t="str">
        <f aca="false">IF(G1471="","",ROUND((Config!$C$4-G1471)/365.25,2))</f>
        <v/>
      </c>
      <c r="I1471" s="25" t="str">
        <f aca="false">IF(H1471="","",IF(H1471&lt;=1,"Tramo 1",IF(H1471&lt;=3,"Tramo 2",IF(H1471&lt;=5,"Tramo 3","Tramo 4"))))</f>
        <v/>
      </c>
      <c r="J1471" s="22"/>
      <c r="K1471" s="22"/>
      <c r="L1471" s="22"/>
      <c r="M1471" s="26"/>
      <c r="N1471" s="22"/>
      <c r="O1471" s="22"/>
      <c r="P1471" s="25" t="str">
        <f aca="false">IF(OR(O1471="",O1471="Sin información"),"",IFERROR(INDEX(Listas!$B$2:$B$9,MATCH(O1471,Listas!$A$2:$A$9,0)),""))</f>
        <v/>
      </c>
      <c r="Q1471" s="25" t="str">
        <f aca="false">IF(OR(O1471="",O1471="Sin información"),"",IFERROR(INDEX(Listas!$C$2:$C$9,MATCH(O1471,Listas!$A$2:$A$9,0)),""))</f>
        <v/>
      </c>
      <c r="R1471" s="22"/>
      <c r="S1471" s="22"/>
      <c r="T1471" s="25" t="str">
        <f aca="false">IF(S1471="","",IFERROR(INDEX(Empleadores!$B$2:$B$601,MATCH(S1471,Empleadores!$A$2:$A$601,0)),"No encontrado"))</f>
        <v/>
      </c>
      <c r="U1471" s="25" t="str">
        <f aca="false">IF(C1471="","",IF(V1471="","No",IF(Config!$C$4-V1471&lt;=Config!$C$15,"Sí","No")))</f>
        <v/>
      </c>
      <c r="V1471" s="23"/>
      <c r="W1471" s="22"/>
      <c r="X1471" s="22"/>
      <c r="Y1471" s="22"/>
      <c r="Z1471" s="27"/>
      <c r="AA1471" s="22"/>
      <c r="AB1471" s="22"/>
    </row>
    <row r="1472" customFormat="false" ht="15" hidden="false" customHeight="false" outlineLevel="0" collapsed="false">
      <c r="A1472" s="22"/>
      <c r="B1472" s="22"/>
      <c r="C1472" s="22"/>
      <c r="D1472" s="22"/>
      <c r="E1472" s="22"/>
      <c r="F1472" s="22"/>
      <c r="G1472" s="23"/>
      <c r="H1472" s="24" t="str">
        <f aca="false">IF(G1472="","",ROUND((Config!$C$4-G1472)/365.25,2))</f>
        <v/>
      </c>
      <c r="I1472" s="25" t="str">
        <f aca="false">IF(H1472="","",IF(H1472&lt;=1,"Tramo 1",IF(H1472&lt;=3,"Tramo 2",IF(H1472&lt;=5,"Tramo 3","Tramo 4"))))</f>
        <v/>
      </c>
      <c r="J1472" s="22"/>
      <c r="K1472" s="22"/>
      <c r="L1472" s="22"/>
      <c r="M1472" s="26"/>
      <c r="N1472" s="22"/>
      <c r="O1472" s="22"/>
      <c r="P1472" s="25" t="str">
        <f aca="false">IF(OR(O1472="",O1472="Sin información"),"",IFERROR(INDEX(Listas!$B$2:$B$9,MATCH(O1472,Listas!$A$2:$A$9,0)),""))</f>
        <v/>
      </c>
      <c r="Q1472" s="25" t="str">
        <f aca="false">IF(OR(O1472="",O1472="Sin información"),"",IFERROR(INDEX(Listas!$C$2:$C$9,MATCH(O1472,Listas!$A$2:$A$9,0)),""))</f>
        <v/>
      </c>
      <c r="R1472" s="22"/>
      <c r="S1472" s="22"/>
      <c r="T1472" s="25" t="str">
        <f aca="false">IF(S1472="","",IFERROR(INDEX(Empleadores!$B$2:$B$601,MATCH(S1472,Empleadores!$A$2:$A$601,0)),"No encontrado"))</f>
        <v/>
      </c>
      <c r="U1472" s="25" t="str">
        <f aca="false">IF(C1472="","",IF(V1472="","No",IF(Config!$C$4-V1472&lt;=Config!$C$15,"Sí","No")))</f>
        <v/>
      </c>
      <c r="V1472" s="23"/>
      <c r="W1472" s="22"/>
      <c r="X1472" s="22"/>
      <c r="Y1472" s="22"/>
      <c r="Z1472" s="27"/>
      <c r="AA1472" s="22"/>
      <c r="AB1472" s="22"/>
    </row>
    <row r="1473" customFormat="false" ht="15" hidden="false" customHeight="false" outlineLevel="0" collapsed="false">
      <c r="A1473" s="22"/>
      <c r="B1473" s="22"/>
      <c r="C1473" s="22"/>
      <c r="D1473" s="22"/>
      <c r="E1473" s="22"/>
      <c r="F1473" s="22"/>
      <c r="G1473" s="23"/>
      <c r="H1473" s="24" t="str">
        <f aca="false">IF(G1473="","",ROUND((Config!$C$4-G1473)/365.25,2))</f>
        <v/>
      </c>
      <c r="I1473" s="25" t="str">
        <f aca="false">IF(H1473="","",IF(H1473&lt;=1,"Tramo 1",IF(H1473&lt;=3,"Tramo 2",IF(H1473&lt;=5,"Tramo 3","Tramo 4"))))</f>
        <v/>
      </c>
      <c r="J1473" s="22"/>
      <c r="K1473" s="22"/>
      <c r="L1473" s="22"/>
      <c r="M1473" s="26"/>
      <c r="N1473" s="22"/>
      <c r="O1473" s="22"/>
      <c r="P1473" s="25" t="str">
        <f aca="false">IF(OR(O1473="",O1473="Sin información"),"",IFERROR(INDEX(Listas!$B$2:$B$9,MATCH(O1473,Listas!$A$2:$A$9,0)),""))</f>
        <v/>
      </c>
      <c r="Q1473" s="25" t="str">
        <f aca="false">IF(OR(O1473="",O1473="Sin información"),"",IFERROR(INDEX(Listas!$C$2:$C$9,MATCH(O1473,Listas!$A$2:$A$9,0)),""))</f>
        <v/>
      </c>
      <c r="R1473" s="22"/>
      <c r="S1473" s="22"/>
      <c r="T1473" s="25" t="str">
        <f aca="false">IF(S1473="","",IFERROR(INDEX(Empleadores!$B$2:$B$601,MATCH(S1473,Empleadores!$A$2:$A$601,0)),"No encontrado"))</f>
        <v/>
      </c>
      <c r="U1473" s="25" t="str">
        <f aca="false">IF(C1473="","",IF(V1473="","No",IF(Config!$C$4-V1473&lt;=Config!$C$15,"Sí","No")))</f>
        <v/>
      </c>
      <c r="V1473" s="23"/>
      <c r="W1473" s="22"/>
      <c r="X1473" s="22"/>
      <c r="Y1473" s="22"/>
      <c r="Z1473" s="27"/>
      <c r="AA1473" s="22"/>
      <c r="AB1473" s="22"/>
    </row>
    <row r="1474" customFormat="false" ht="15" hidden="false" customHeight="false" outlineLevel="0" collapsed="false">
      <c r="A1474" s="22"/>
      <c r="B1474" s="22"/>
      <c r="C1474" s="22"/>
      <c r="D1474" s="22"/>
      <c r="E1474" s="22"/>
      <c r="F1474" s="22"/>
      <c r="G1474" s="23"/>
      <c r="H1474" s="24" t="str">
        <f aca="false">IF(G1474="","",ROUND((Config!$C$4-G1474)/365.25,2))</f>
        <v/>
      </c>
      <c r="I1474" s="25" t="str">
        <f aca="false">IF(H1474="","",IF(H1474&lt;=1,"Tramo 1",IF(H1474&lt;=3,"Tramo 2",IF(H1474&lt;=5,"Tramo 3","Tramo 4"))))</f>
        <v/>
      </c>
      <c r="J1474" s="22"/>
      <c r="K1474" s="22"/>
      <c r="L1474" s="22"/>
      <c r="M1474" s="26"/>
      <c r="N1474" s="22"/>
      <c r="O1474" s="22"/>
      <c r="P1474" s="25" t="str">
        <f aca="false">IF(OR(O1474="",O1474="Sin información"),"",IFERROR(INDEX(Listas!$B$2:$B$9,MATCH(O1474,Listas!$A$2:$A$9,0)),""))</f>
        <v/>
      </c>
      <c r="Q1474" s="25" t="str">
        <f aca="false">IF(OR(O1474="",O1474="Sin información"),"",IFERROR(INDEX(Listas!$C$2:$C$9,MATCH(O1474,Listas!$A$2:$A$9,0)),""))</f>
        <v/>
      </c>
      <c r="R1474" s="22"/>
      <c r="S1474" s="22"/>
      <c r="T1474" s="25" t="str">
        <f aca="false">IF(S1474="","",IFERROR(INDEX(Empleadores!$B$2:$B$601,MATCH(S1474,Empleadores!$A$2:$A$601,0)),"No encontrado"))</f>
        <v/>
      </c>
      <c r="U1474" s="25" t="str">
        <f aca="false">IF(C1474="","",IF(V1474="","No",IF(Config!$C$4-V1474&lt;=Config!$C$15,"Sí","No")))</f>
        <v/>
      </c>
      <c r="V1474" s="23"/>
      <c r="W1474" s="22"/>
      <c r="X1474" s="22"/>
      <c r="Y1474" s="22"/>
      <c r="Z1474" s="27"/>
      <c r="AA1474" s="22"/>
      <c r="AB1474" s="22"/>
    </row>
    <row r="1475" customFormat="false" ht="15" hidden="false" customHeight="false" outlineLevel="0" collapsed="false">
      <c r="A1475" s="22"/>
      <c r="B1475" s="22"/>
      <c r="C1475" s="22"/>
      <c r="D1475" s="22"/>
      <c r="E1475" s="22"/>
      <c r="F1475" s="22"/>
      <c r="G1475" s="23"/>
      <c r="H1475" s="24" t="str">
        <f aca="false">IF(G1475="","",ROUND((Config!$C$4-G1475)/365.25,2))</f>
        <v/>
      </c>
      <c r="I1475" s="25" t="str">
        <f aca="false">IF(H1475="","",IF(H1475&lt;=1,"Tramo 1",IF(H1475&lt;=3,"Tramo 2",IF(H1475&lt;=5,"Tramo 3","Tramo 4"))))</f>
        <v/>
      </c>
      <c r="J1475" s="22"/>
      <c r="K1475" s="22"/>
      <c r="L1475" s="22"/>
      <c r="M1475" s="26"/>
      <c r="N1475" s="22"/>
      <c r="O1475" s="22"/>
      <c r="P1475" s="25" t="str">
        <f aca="false">IF(OR(O1475="",O1475="Sin información"),"",IFERROR(INDEX(Listas!$B$2:$B$9,MATCH(O1475,Listas!$A$2:$A$9,0)),""))</f>
        <v/>
      </c>
      <c r="Q1475" s="25" t="str">
        <f aca="false">IF(OR(O1475="",O1475="Sin información"),"",IFERROR(INDEX(Listas!$C$2:$C$9,MATCH(O1475,Listas!$A$2:$A$9,0)),""))</f>
        <v/>
      </c>
      <c r="R1475" s="22"/>
      <c r="S1475" s="22"/>
      <c r="T1475" s="25" t="str">
        <f aca="false">IF(S1475="","",IFERROR(INDEX(Empleadores!$B$2:$B$601,MATCH(S1475,Empleadores!$A$2:$A$601,0)),"No encontrado"))</f>
        <v/>
      </c>
      <c r="U1475" s="25" t="str">
        <f aca="false">IF(C1475="","",IF(V1475="","No",IF(Config!$C$4-V1475&lt;=Config!$C$15,"Sí","No")))</f>
        <v/>
      </c>
      <c r="V1475" s="23"/>
      <c r="W1475" s="22"/>
      <c r="X1475" s="22"/>
      <c r="Y1475" s="22"/>
      <c r="Z1475" s="27"/>
      <c r="AA1475" s="22"/>
      <c r="AB1475" s="22"/>
    </row>
    <row r="1476" customFormat="false" ht="15" hidden="false" customHeight="false" outlineLevel="0" collapsed="false">
      <c r="A1476" s="22"/>
      <c r="B1476" s="22"/>
      <c r="C1476" s="22"/>
      <c r="D1476" s="22"/>
      <c r="E1476" s="22"/>
      <c r="F1476" s="22"/>
      <c r="G1476" s="23"/>
      <c r="H1476" s="24" t="str">
        <f aca="false">IF(G1476="","",ROUND((Config!$C$4-G1476)/365.25,2))</f>
        <v/>
      </c>
      <c r="I1476" s="25" t="str">
        <f aca="false">IF(H1476="","",IF(H1476&lt;=1,"Tramo 1",IF(H1476&lt;=3,"Tramo 2",IF(H1476&lt;=5,"Tramo 3","Tramo 4"))))</f>
        <v/>
      </c>
      <c r="J1476" s="22"/>
      <c r="K1476" s="22"/>
      <c r="L1476" s="22"/>
      <c r="M1476" s="26"/>
      <c r="N1476" s="22"/>
      <c r="O1476" s="22"/>
      <c r="P1476" s="25" t="str">
        <f aca="false">IF(OR(O1476="",O1476="Sin información"),"",IFERROR(INDEX(Listas!$B$2:$B$9,MATCH(O1476,Listas!$A$2:$A$9,0)),""))</f>
        <v/>
      </c>
      <c r="Q1476" s="25" t="str">
        <f aca="false">IF(OR(O1476="",O1476="Sin información"),"",IFERROR(INDEX(Listas!$C$2:$C$9,MATCH(O1476,Listas!$A$2:$A$9,0)),""))</f>
        <v/>
      </c>
      <c r="R1476" s="22"/>
      <c r="S1476" s="22"/>
      <c r="T1476" s="25" t="str">
        <f aca="false">IF(S1476="","",IFERROR(INDEX(Empleadores!$B$2:$B$601,MATCH(S1476,Empleadores!$A$2:$A$601,0)),"No encontrado"))</f>
        <v/>
      </c>
      <c r="U1476" s="25" t="str">
        <f aca="false">IF(C1476="","",IF(V1476="","No",IF(Config!$C$4-V1476&lt;=Config!$C$15,"Sí","No")))</f>
        <v/>
      </c>
      <c r="V1476" s="23"/>
      <c r="W1476" s="22"/>
      <c r="X1476" s="22"/>
      <c r="Y1476" s="22"/>
      <c r="Z1476" s="27"/>
      <c r="AA1476" s="22"/>
      <c r="AB1476" s="22"/>
    </row>
    <row r="1477" customFormat="false" ht="15" hidden="false" customHeight="false" outlineLevel="0" collapsed="false">
      <c r="A1477" s="22"/>
      <c r="B1477" s="22"/>
      <c r="C1477" s="22"/>
      <c r="D1477" s="22"/>
      <c r="E1477" s="22"/>
      <c r="F1477" s="22"/>
      <c r="G1477" s="23"/>
      <c r="H1477" s="24" t="str">
        <f aca="false">IF(G1477="","",ROUND((Config!$C$4-G1477)/365.25,2))</f>
        <v/>
      </c>
      <c r="I1477" s="25" t="str">
        <f aca="false">IF(H1477="","",IF(H1477&lt;=1,"Tramo 1",IF(H1477&lt;=3,"Tramo 2",IF(H1477&lt;=5,"Tramo 3","Tramo 4"))))</f>
        <v/>
      </c>
      <c r="J1477" s="22"/>
      <c r="K1477" s="22"/>
      <c r="L1477" s="22"/>
      <c r="M1477" s="26"/>
      <c r="N1477" s="22"/>
      <c r="O1477" s="22"/>
      <c r="P1477" s="25" t="str">
        <f aca="false">IF(OR(O1477="",O1477="Sin información"),"",IFERROR(INDEX(Listas!$B$2:$B$9,MATCH(O1477,Listas!$A$2:$A$9,0)),""))</f>
        <v/>
      </c>
      <c r="Q1477" s="25" t="str">
        <f aca="false">IF(OR(O1477="",O1477="Sin información"),"",IFERROR(INDEX(Listas!$C$2:$C$9,MATCH(O1477,Listas!$A$2:$A$9,0)),""))</f>
        <v/>
      </c>
      <c r="R1477" s="22"/>
      <c r="S1477" s="22"/>
      <c r="T1477" s="25" t="str">
        <f aca="false">IF(S1477="","",IFERROR(INDEX(Empleadores!$B$2:$B$601,MATCH(S1477,Empleadores!$A$2:$A$601,0)),"No encontrado"))</f>
        <v/>
      </c>
      <c r="U1477" s="25" t="str">
        <f aca="false">IF(C1477="","",IF(V1477="","No",IF(Config!$C$4-V1477&lt;=Config!$C$15,"Sí","No")))</f>
        <v/>
      </c>
      <c r="V1477" s="23"/>
      <c r="W1477" s="22"/>
      <c r="X1477" s="22"/>
      <c r="Y1477" s="22"/>
      <c r="Z1477" s="27"/>
      <c r="AA1477" s="22"/>
      <c r="AB1477" s="22"/>
    </row>
    <row r="1478" customFormat="false" ht="15" hidden="false" customHeight="false" outlineLevel="0" collapsed="false">
      <c r="A1478" s="22"/>
      <c r="B1478" s="22"/>
      <c r="C1478" s="22"/>
      <c r="D1478" s="22"/>
      <c r="E1478" s="22"/>
      <c r="F1478" s="22"/>
      <c r="G1478" s="23"/>
      <c r="H1478" s="24" t="str">
        <f aca="false">IF(G1478="","",ROUND((Config!$C$4-G1478)/365.25,2))</f>
        <v/>
      </c>
      <c r="I1478" s="25" t="str">
        <f aca="false">IF(H1478="","",IF(H1478&lt;=1,"Tramo 1",IF(H1478&lt;=3,"Tramo 2",IF(H1478&lt;=5,"Tramo 3","Tramo 4"))))</f>
        <v/>
      </c>
      <c r="J1478" s="22"/>
      <c r="K1478" s="22"/>
      <c r="L1478" s="22"/>
      <c r="M1478" s="26"/>
      <c r="N1478" s="22"/>
      <c r="O1478" s="22"/>
      <c r="P1478" s="25" t="str">
        <f aca="false">IF(OR(O1478="",O1478="Sin información"),"",IFERROR(INDEX(Listas!$B$2:$B$9,MATCH(O1478,Listas!$A$2:$A$9,0)),""))</f>
        <v/>
      </c>
      <c r="Q1478" s="25" t="str">
        <f aca="false">IF(OR(O1478="",O1478="Sin información"),"",IFERROR(INDEX(Listas!$C$2:$C$9,MATCH(O1478,Listas!$A$2:$A$9,0)),""))</f>
        <v/>
      </c>
      <c r="R1478" s="22"/>
      <c r="S1478" s="22"/>
      <c r="T1478" s="25" t="str">
        <f aca="false">IF(S1478="","",IFERROR(INDEX(Empleadores!$B$2:$B$601,MATCH(S1478,Empleadores!$A$2:$A$601,0)),"No encontrado"))</f>
        <v/>
      </c>
      <c r="U1478" s="25" t="str">
        <f aca="false">IF(C1478="","",IF(V1478="","No",IF(Config!$C$4-V1478&lt;=Config!$C$15,"Sí","No")))</f>
        <v/>
      </c>
      <c r="V1478" s="23"/>
      <c r="W1478" s="22"/>
      <c r="X1478" s="22"/>
      <c r="Y1478" s="22"/>
      <c r="Z1478" s="27"/>
      <c r="AA1478" s="22"/>
      <c r="AB1478" s="22"/>
    </row>
    <row r="1479" customFormat="false" ht="15" hidden="false" customHeight="false" outlineLevel="0" collapsed="false">
      <c r="A1479" s="22"/>
      <c r="B1479" s="22"/>
      <c r="C1479" s="22"/>
      <c r="D1479" s="22"/>
      <c r="E1479" s="22"/>
      <c r="F1479" s="22"/>
      <c r="G1479" s="23"/>
      <c r="H1479" s="24" t="str">
        <f aca="false">IF(G1479="","",ROUND((Config!$C$4-G1479)/365.25,2))</f>
        <v/>
      </c>
      <c r="I1479" s="25" t="str">
        <f aca="false">IF(H1479="","",IF(H1479&lt;=1,"Tramo 1",IF(H1479&lt;=3,"Tramo 2",IF(H1479&lt;=5,"Tramo 3","Tramo 4"))))</f>
        <v/>
      </c>
      <c r="J1479" s="22"/>
      <c r="K1479" s="22"/>
      <c r="L1479" s="22"/>
      <c r="M1479" s="26"/>
      <c r="N1479" s="22"/>
      <c r="O1479" s="22"/>
      <c r="P1479" s="25" t="str">
        <f aca="false">IF(OR(O1479="",O1479="Sin información"),"",IFERROR(INDEX(Listas!$B$2:$B$9,MATCH(O1479,Listas!$A$2:$A$9,0)),""))</f>
        <v/>
      </c>
      <c r="Q1479" s="25" t="str">
        <f aca="false">IF(OR(O1479="",O1479="Sin información"),"",IFERROR(INDEX(Listas!$C$2:$C$9,MATCH(O1479,Listas!$A$2:$A$9,0)),""))</f>
        <v/>
      </c>
      <c r="R1479" s="22"/>
      <c r="S1479" s="22"/>
      <c r="T1479" s="25" t="str">
        <f aca="false">IF(S1479="","",IFERROR(INDEX(Empleadores!$B$2:$B$601,MATCH(S1479,Empleadores!$A$2:$A$601,0)),"No encontrado"))</f>
        <v/>
      </c>
      <c r="U1479" s="25" t="str">
        <f aca="false">IF(C1479="","",IF(V1479="","No",IF(Config!$C$4-V1479&lt;=Config!$C$15,"Sí","No")))</f>
        <v/>
      </c>
      <c r="V1479" s="23"/>
      <c r="W1479" s="22"/>
      <c r="X1479" s="22"/>
      <c r="Y1479" s="22"/>
      <c r="Z1479" s="27"/>
      <c r="AA1479" s="22"/>
      <c r="AB1479" s="22"/>
    </row>
    <row r="1480" customFormat="false" ht="15" hidden="false" customHeight="false" outlineLevel="0" collapsed="false">
      <c r="A1480" s="22"/>
      <c r="B1480" s="22"/>
      <c r="C1480" s="22"/>
      <c r="D1480" s="22"/>
      <c r="E1480" s="22"/>
      <c r="F1480" s="22"/>
      <c r="G1480" s="23"/>
      <c r="H1480" s="24" t="str">
        <f aca="false">IF(G1480="","",ROUND((Config!$C$4-G1480)/365.25,2))</f>
        <v/>
      </c>
      <c r="I1480" s="25" t="str">
        <f aca="false">IF(H1480="","",IF(H1480&lt;=1,"Tramo 1",IF(H1480&lt;=3,"Tramo 2",IF(H1480&lt;=5,"Tramo 3","Tramo 4"))))</f>
        <v/>
      </c>
      <c r="J1480" s="22"/>
      <c r="K1480" s="22"/>
      <c r="L1480" s="22"/>
      <c r="M1480" s="26"/>
      <c r="N1480" s="22"/>
      <c r="O1480" s="22"/>
      <c r="P1480" s="25" t="str">
        <f aca="false">IF(OR(O1480="",O1480="Sin información"),"",IFERROR(INDEX(Listas!$B$2:$B$9,MATCH(O1480,Listas!$A$2:$A$9,0)),""))</f>
        <v/>
      </c>
      <c r="Q1480" s="25" t="str">
        <f aca="false">IF(OR(O1480="",O1480="Sin información"),"",IFERROR(INDEX(Listas!$C$2:$C$9,MATCH(O1480,Listas!$A$2:$A$9,0)),""))</f>
        <v/>
      </c>
      <c r="R1480" s="22"/>
      <c r="S1480" s="22"/>
      <c r="T1480" s="25" t="str">
        <f aca="false">IF(S1480="","",IFERROR(INDEX(Empleadores!$B$2:$B$601,MATCH(S1480,Empleadores!$A$2:$A$601,0)),"No encontrado"))</f>
        <v/>
      </c>
      <c r="U1480" s="25" t="str">
        <f aca="false">IF(C1480="","",IF(V1480="","No",IF(Config!$C$4-V1480&lt;=Config!$C$15,"Sí","No")))</f>
        <v/>
      </c>
      <c r="V1480" s="23"/>
      <c r="W1480" s="22"/>
      <c r="X1480" s="22"/>
      <c r="Y1480" s="22"/>
      <c r="Z1480" s="27"/>
      <c r="AA1480" s="22"/>
      <c r="AB1480" s="22"/>
    </row>
    <row r="1481" customFormat="false" ht="15" hidden="false" customHeight="false" outlineLevel="0" collapsed="false">
      <c r="A1481" s="22"/>
      <c r="B1481" s="22"/>
      <c r="C1481" s="22"/>
      <c r="D1481" s="22"/>
      <c r="E1481" s="22"/>
      <c r="F1481" s="22"/>
      <c r="G1481" s="23"/>
      <c r="H1481" s="24" t="str">
        <f aca="false">IF(G1481="","",ROUND((Config!$C$4-G1481)/365.25,2))</f>
        <v/>
      </c>
      <c r="I1481" s="25" t="str">
        <f aca="false">IF(H1481="","",IF(H1481&lt;=1,"Tramo 1",IF(H1481&lt;=3,"Tramo 2",IF(H1481&lt;=5,"Tramo 3","Tramo 4"))))</f>
        <v/>
      </c>
      <c r="J1481" s="22"/>
      <c r="K1481" s="22"/>
      <c r="L1481" s="22"/>
      <c r="M1481" s="26"/>
      <c r="N1481" s="22"/>
      <c r="O1481" s="22"/>
      <c r="P1481" s="25" t="str">
        <f aca="false">IF(OR(O1481="",O1481="Sin información"),"",IFERROR(INDEX(Listas!$B$2:$B$9,MATCH(O1481,Listas!$A$2:$A$9,0)),""))</f>
        <v/>
      </c>
      <c r="Q1481" s="25" t="str">
        <f aca="false">IF(OR(O1481="",O1481="Sin información"),"",IFERROR(INDEX(Listas!$C$2:$C$9,MATCH(O1481,Listas!$A$2:$A$9,0)),""))</f>
        <v/>
      </c>
      <c r="R1481" s="22"/>
      <c r="S1481" s="22"/>
      <c r="T1481" s="25" t="str">
        <f aca="false">IF(S1481="","",IFERROR(INDEX(Empleadores!$B$2:$B$601,MATCH(S1481,Empleadores!$A$2:$A$601,0)),"No encontrado"))</f>
        <v/>
      </c>
      <c r="U1481" s="25" t="str">
        <f aca="false">IF(C1481="","",IF(V1481="","No",IF(Config!$C$4-V1481&lt;=Config!$C$15,"Sí","No")))</f>
        <v/>
      </c>
      <c r="V1481" s="23"/>
      <c r="W1481" s="22"/>
      <c r="X1481" s="22"/>
      <c r="Y1481" s="22"/>
      <c r="Z1481" s="27"/>
      <c r="AA1481" s="22"/>
      <c r="AB1481" s="22"/>
    </row>
    <row r="1482" customFormat="false" ht="15" hidden="false" customHeight="false" outlineLevel="0" collapsed="false">
      <c r="A1482" s="22"/>
      <c r="B1482" s="22"/>
      <c r="C1482" s="22"/>
      <c r="D1482" s="22"/>
      <c r="E1482" s="22"/>
      <c r="F1482" s="22"/>
      <c r="G1482" s="23"/>
      <c r="H1482" s="24" t="str">
        <f aca="false">IF(G1482="","",ROUND((Config!$C$4-G1482)/365.25,2))</f>
        <v/>
      </c>
      <c r="I1482" s="25" t="str">
        <f aca="false">IF(H1482="","",IF(H1482&lt;=1,"Tramo 1",IF(H1482&lt;=3,"Tramo 2",IF(H1482&lt;=5,"Tramo 3","Tramo 4"))))</f>
        <v/>
      </c>
      <c r="J1482" s="22"/>
      <c r="K1482" s="22"/>
      <c r="L1482" s="22"/>
      <c r="M1482" s="26"/>
      <c r="N1482" s="22"/>
      <c r="O1482" s="22"/>
      <c r="P1482" s="25" t="str">
        <f aca="false">IF(OR(O1482="",O1482="Sin información"),"",IFERROR(INDEX(Listas!$B$2:$B$9,MATCH(O1482,Listas!$A$2:$A$9,0)),""))</f>
        <v/>
      </c>
      <c r="Q1482" s="25" t="str">
        <f aca="false">IF(OR(O1482="",O1482="Sin información"),"",IFERROR(INDEX(Listas!$C$2:$C$9,MATCH(O1482,Listas!$A$2:$A$9,0)),""))</f>
        <v/>
      </c>
      <c r="R1482" s="22"/>
      <c r="S1482" s="22"/>
      <c r="T1482" s="25" t="str">
        <f aca="false">IF(S1482="","",IFERROR(INDEX(Empleadores!$B$2:$B$601,MATCH(S1482,Empleadores!$A$2:$A$601,0)),"No encontrado"))</f>
        <v/>
      </c>
      <c r="U1482" s="25" t="str">
        <f aca="false">IF(C1482="","",IF(V1482="","No",IF(Config!$C$4-V1482&lt;=Config!$C$15,"Sí","No")))</f>
        <v/>
      </c>
      <c r="V1482" s="23"/>
      <c r="W1482" s="22"/>
      <c r="X1482" s="22"/>
      <c r="Y1482" s="22"/>
      <c r="Z1482" s="27"/>
      <c r="AA1482" s="22"/>
      <c r="AB1482" s="22"/>
    </row>
    <row r="1483" customFormat="false" ht="15" hidden="false" customHeight="false" outlineLevel="0" collapsed="false">
      <c r="A1483" s="22"/>
      <c r="B1483" s="22"/>
      <c r="C1483" s="22"/>
      <c r="D1483" s="22"/>
      <c r="E1483" s="22"/>
      <c r="F1483" s="22"/>
      <c r="G1483" s="23"/>
      <c r="H1483" s="24" t="str">
        <f aca="false">IF(G1483="","",ROUND((Config!$C$4-G1483)/365.25,2))</f>
        <v/>
      </c>
      <c r="I1483" s="25" t="str">
        <f aca="false">IF(H1483="","",IF(H1483&lt;=1,"Tramo 1",IF(H1483&lt;=3,"Tramo 2",IF(H1483&lt;=5,"Tramo 3","Tramo 4"))))</f>
        <v/>
      </c>
      <c r="J1483" s="22"/>
      <c r="K1483" s="22"/>
      <c r="L1483" s="22"/>
      <c r="M1483" s="26"/>
      <c r="N1483" s="22"/>
      <c r="O1483" s="22"/>
      <c r="P1483" s="25" t="str">
        <f aca="false">IF(OR(O1483="",O1483="Sin información"),"",IFERROR(INDEX(Listas!$B$2:$B$9,MATCH(O1483,Listas!$A$2:$A$9,0)),""))</f>
        <v/>
      </c>
      <c r="Q1483" s="25" t="str">
        <f aca="false">IF(OR(O1483="",O1483="Sin información"),"",IFERROR(INDEX(Listas!$C$2:$C$9,MATCH(O1483,Listas!$A$2:$A$9,0)),""))</f>
        <v/>
      </c>
      <c r="R1483" s="22"/>
      <c r="S1483" s="22"/>
      <c r="T1483" s="25" t="str">
        <f aca="false">IF(S1483="","",IFERROR(INDEX(Empleadores!$B$2:$B$601,MATCH(S1483,Empleadores!$A$2:$A$601,0)),"No encontrado"))</f>
        <v/>
      </c>
      <c r="U1483" s="25" t="str">
        <f aca="false">IF(C1483="","",IF(V1483="","No",IF(Config!$C$4-V1483&lt;=Config!$C$15,"Sí","No")))</f>
        <v/>
      </c>
      <c r="V1483" s="23"/>
      <c r="W1483" s="22"/>
      <c r="X1483" s="22"/>
      <c r="Y1483" s="22"/>
      <c r="Z1483" s="27"/>
      <c r="AA1483" s="22"/>
      <c r="AB1483" s="22"/>
    </row>
    <row r="1484" customFormat="false" ht="15" hidden="false" customHeight="false" outlineLevel="0" collapsed="false">
      <c r="A1484" s="22"/>
      <c r="B1484" s="22"/>
      <c r="C1484" s="22"/>
      <c r="D1484" s="22"/>
      <c r="E1484" s="22"/>
      <c r="F1484" s="22"/>
      <c r="G1484" s="23"/>
      <c r="H1484" s="24" t="str">
        <f aca="false">IF(G1484="","",ROUND((Config!$C$4-G1484)/365.25,2))</f>
        <v/>
      </c>
      <c r="I1484" s="25" t="str">
        <f aca="false">IF(H1484="","",IF(H1484&lt;=1,"Tramo 1",IF(H1484&lt;=3,"Tramo 2",IF(H1484&lt;=5,"Tramo 3","Tramo 4"))))</f>
        <v/>
      </c>
      <c r="J1484" s="22"/>
      <c r="K1484" s="22"/>
      <c r="L1484" s="22"/>
      <c r="M1484" s="26"/>
      <c r="N1484" s="22"/>
      <c r="O1484" s="22"/>
      <c r="P1484" s="25" t="str">
        <f aca="false">IF(OR(O1484="",O1484="Sin información"),"",IFERROR(INDEX(Listas!$B$2:$B$9,MATCH(O1484,Listas!$A$2:$A$9,0)),""))</f>
        <v/>
      </c>
      <c r="Q1484" s="25" t="str">
        <f aca="false">IF(OR(O1484="",O1484="Sin información"),"",IFERROR(INDEX(Listas!$C$2:$C$9,MATCH(O1484,Listas!$A$2:$A$9,0)),""))</f>
        <v/>
      </c>
      <c r="R1484" s="22"/>
      <c r="S1484" s="22"/>
      <c r="T1484" s="25" t="str">
        <f aca="false">IF(S1484="","",IFERROR(INDEX(Empleadores!$B$2:$B$601,MATCH(S1484,Empleadores!$A$2:$A$601,0)),"No encontrado"))</f>
        <v/>
      </c>
      <c r="U1484" s="25" t="str">
        <f aca="false">IF(C1484="","",IF(V1484="","No",IF(Config!$C$4-V1484&lt;=Config!$C$15,"Sí","No")))</f>
        <v/>
      </c>
      <c r="V1484" s="23"/>
      <c r="W1484" s="22"/>
      <c r="X1484" s="22"/>
      <c r="Y1484" s="22"/>
      <c r="Z1484" s="27"/>
      <c r="AA1484" s="22"/>
      <c r="AB1484" s="22"/>
    </row>
    <row r="1485" customFormat="false" ht="15" hidden="false" customHeight="false" outlineLevel="0" collapsed="false">
      <c r="A1485" s="22"/>
      <c r="B1485" s="22"/>
      <c r="C1485" s="22"/>
      <c r="D1485" s="22"/>
      <c r="E1485" s="22"/>
      <c r="F1485" s="22"/>
      <c r="G1485" s="23"/>
      <c r="H1485" s="24" t="str">
        <f aca="false">IF(G1485="","",ROUND((Config!$C$4-G1485)/365.25,2))</f>
        <v/>
      </c>
      <c r="I1485" s="25" t="str">
        <f aca="false">IF(H1485="","",IF(H1485&lt;=1,"Tramo 1",IF(H1485&lt;=3,"Tramo 2",IF(H1485&lt;=5,"Tramo 3","Tramo 4"))))</f>
        <v/>
      </c>
      <c r="J1485" s="22"/>
      <c r="K1485" s="22"/>
      <c r="L1485" s="22"/>
      <c r="M1485" s="26"/>
      <c r="N1485" s="22"/>
      <c r="O1485" s="22"/>
      <c r="P1485" s="25" t="str">
        <f aca="false">IF(OR(O1485="",O1485="Sin información"),"",IFERROR(INDEX(Listas!$B$2:$B$9,MATCH(O1485,Listas!$A$2:$A$9,0)),""))</f>
        <v/>
      </c>
      <c r="Q1485" s="25" t="str">
        <f aca="false">IF(OR(O1485="",O1485="Sin información"),"",IFERROR(INDEX(Listas!$C$2:$C$9,MATCH(O1485,Listas!$A$2:$A$9,0)),""))</f>
        <v/>
      </c>
      <c r="R1485" s="22"/>
      <c r="S1485" s="22"/>
      <c r="T1485" s="25" t="str">
        <f aca="false">IF(S1485="","",IFERROR(INDEX(Empleadores!$B$2:$B$601,MATCH(S1485,Empleadores!$A$2:$A$601,0)),"No encontrado"))</f>
        <v/>
      </c>
      <c r="U1485" s="25" t="str">
        <f aca="false">IF(C1485="","",IF(V1485="","No",IF(Config!$C$4-V1485&lt;=Config!$C$15,"Sí","No")))</f>
        <v/>
      </c>
      <c r="V1485" s="23"/>
      <c r="W1485" s="22"/>
      <c r="X1485" s="22"/>
      <c r="Y1485" s="22"/>
      <c r="Z1485" s="27"/>
      <c r="AA1485" s="22"/>
      <c r="AB1485" s="22"/>
    </row>
    <row r="1486" customFormat="false" ht="15" hidden="false" customHeight="false" outlineLevel="0" collapsed="false">
      <c r="A1486" s="22"/>
      <c r="B1486" s="22"/>
      <c r="C1486" s="22"/>
      <c r="D1486" s="22"/>
      <c r="E1486" s="22"/>
      <c r="F1486" s="22"/>
      <c r="G1486" s="23"/>
      <c r="H1486" s="24" t="str">
        <f aca="false">IF(G1486="","",ROUND((Config!$C$4-G1486)/365.25,2))</f>
        <v/>
      </c>
      <c r="I1486" s="25" t="str">
        <f aca="false">IF(H1486="","",IF(H1486&lt;=1,"Tramo 1",IF(H1486&lt;=3,"Tramo 2",IF(H1486&lt;=5,"Tramo 3","Tramo 4"))))</f>
        <v/>
      </c>
      <c r="J1486" s="22"/>
      <c r="K1486" s="22"/>
      <c r="L1486" s="22"/>
      <c r="M1486" s="26"/>
      <c r="N1486" s="22"/>
      <c r="O1486" s="22"/>
      <c r="P1486" s="25" t="str">
        <f aca="false">IF(OR(O1486="",O1486="Sin información"),"",IFERROR(INDEX(Listas!$B$2:$B$9,MATCH(O1486,Listas!$A$2:$A$9,0)),""))</f>
        <v/>
      </c>
      <c r="Q1486" s="25" t="str">
        <f aca="false">IF(OR(O1486="",O1486="Sin información"),"",IFERROR(INDEX(Listas!$C$2:$C$9,MATCH(O1486,Listas!$A$2:$A$9,0)),""))</f>
        <v/>
      </c>
      <c r="R1486" s="22"/>
      <c r="S1486" s="22"/>
      <c r="T1486" s="25" t="str">
        <f aca="false">IF(S1486="","",IFERROR(INDEX(Empleadores!$B$2:$B$601,MATCH(S1486,Empleadores!$A$2:$A$601,0)),"No encontrado"))</f>
        <v/>
      </c>
      <c r="U1486" s="25" t="str">
        <f aca="false">IF(C1486="","",IF(V1486="","No",IF(Config!$C$4-V1486&lt;=Config!$C$15,"Sí","No")))</f>
        <v/>
      </c>
      <c r="V1486" s="23"/>
      <c r="W1486" s="22"/>
      <c r="X1486" s="22"/>
      <c r="Y1486" s="22"/>
      <c r="Z1486" s="27"/>
      <c r="AA1486" s="22"/>
      <c r="AB1486" s="22"/>
    </row>
    <row r="1487" customFormat="false" ht="15" hidden="false" customHeight="false" outlineLevel="0" collapsed="false">
      <c r="A1487" s="22"/>
      <c r="B1487" s="22"/>
      <c r="C1487" s="22"/>
      <c r="D1487" s="22"/>
      <c r="E1487" s="22"/>
      <c r="F1487" s="22"/>
      <c r="G1487" s="23"/>
      <c r="H1487" s="24" t="str">
        <f aca="false">IF(G1487="","",ROUND((Config!$C$4-G1487)/365.25,2))</f>
        <v/>
      </c>
      <c r="I1487" s="25" t="str">
        <f aca="false">IF(H1487="","",IF(H1487&lt;=1,"Tramo 1",IF(H1487&lt;=3,"Tramo 2",IF(H1487&lt;=5,"Tramo 3","Tramo 4"))))</f>
        <v/>
      </c>
      <c r="J1487" s="22"/>
      <c r="K1487" s="22"/>
      <c r="L1487" s="22"/>
      <c r="M1487" s="26"/>
      <c r="N1487" s="22"/>
      <c r="O1487" s="22"/>
      <c r="P1487" s="25" t="str">
        <f aca="false">IF(OR(O1487="",O1487="Sin información"),"",IFERROR(INDEX(Listas!$B$2:$B$9,MATCH(O1487,Listas!$A$2:$A$9,0)),""))</f>
        <v/>
      </c>
      <c r="Q1487" s="25" t="str">
        <f aca="false">IF(OR(O1487="",O1487="Sin información"),"",IFERROR(INDEX(Listas!$C$2:$C$9,MATCH(O1487,Listas!$A$2:$A$9,0)),""))</f>
        <v/>
      </c>
      <c r="R1487" s="22"/>
      <c r="S1487" s="22"/>
      <c r="T1487" s="25" t="str">
        <f aca="false">IF(S1487="","",IFERROR(INDEX(Empleadores!$B$2:$B$601,MATCH(S1487,Empleadores!$A$2:$A$601,0)),"No encontrado"))</f>
        <v/>
      </c>
      <c r="U1487" s="25" t="str">
        <f aca="false">IF(C1487="","",IF(V1487="","No",IF(Config!$C$4-V1487&lt;=Config!$C$15,"Sí","No")))</f>
        <v/>
      </c>
      <c r="V1487" s="23"/>
      <c r="W1487" s="22"/>
      <c r="X1487" s="22"/>
      <c r="Y1487" s="22"/>
      <c r="Z1487" s="27"/>
      <c r="AA1487" s="22"/>
      <c r="AB1487" s="22"/>
    </row>
    <row r="1488" customFormat="false" ht="15" hidden="false" customHeight="false" outlineLevel="0" collapsed="false">
      <c r="A1488" s="22"/>
      <c r="B1488" s="22"/>
      <c r="C1488" s="22"/>
      <c r="D1488" s="22"/>
      <c r="E1488" s="22"/>
      <c r="F1488" s="22"/>
      <c r="G1488" s="23"/>
      <c r="H1488" s="24" t="str">
        <f aca="false">IF(G1488="","",ROUND((Config!$C$4-G1488)/365.25,2))</f>
        <v/>
      </c>
      <c r="I1488" s="25" t="str">
        <f aca="false">IF(H1488="","",IF(H1488&lt;=1,"Tramo 1",IF(H1488&lt;=3,"Tramo 2",IF(H1488&lt;=5,"Tramo 3","Tramo 4"))))</f>
        <v/>
      </c>
      <c r="J1488" s="22"/>
      <c r="K1488" s="22"/>
      <c r="L1488" s="22"/>
      <c r="M1488" s="26"/>
      <c r="N1488" s="22"/>
      <c r="O1488" s="22"/>
      <c r="P1488" s="25" t="str">
        <f aca="false">IF(OR(O1488="",O1488="Sin información"),"",IFERROR(INDEX(Listas!$B$2:$B$9,MATCH(O1488,Listas!$A$2:$A$9,0)),""))</f>
        <v/>
      </c>
      <c r="Q1488" s="25" t="str">
        <f aca="false">IF(OR(O1488="",O1488="Sin información"),"",IFERROR(INDEX(Listas!$C$2:$C$9,MATCH(O1488,Listas!$A$2:$A$9,0)),""))</f>
        <v/>
      </c>
      <c r="R1488" s="22"/>
      <c r="S1488" s="22"/>
      <c r="T1488" s="25" t="str">
        <f aca="false">IF(S1488="","",IFERROR(INDEX(Empleadores!$B$2:$B$601,MATCH(S1488,Empleadores!$A$2:$A$601,0)),"No encontrado"))</f>
        <v/>
      </c>
      <c r="U1488" s="25" t="str">
        <f aca="false">IF(C1488="","",IF(V1488="","No",IF(Config!$C$4-V1488&lt;=Config!$C$15,"Sí","No")))</f>
        <v/>
      </c>
      <c r="V1488" s="23"/>
      <c r="W1488" s="22"/>
      <c r="X1488" s="22"/>
      <c r="Y1488" s="22"/>
      <c r="Z1488" s="27"/>
      <c r="AA1488" s="22"/>
      <c r="AB1488" s="22"/>
    </row>
    <row r="1489" customFormat="false" ht="15" hidden="false" customHeight="false" outlineLevel="0" collapsed="false">
      <c r="A1489" s="22"/>
      <c r="B1489" s="22"/>
      <c r="C1489" s="22"/>
      <c r="D1489" s="22"/>
      <c r="E1489" s="22"/>
      <c r="F1489" s="22"/>
      <c r="G1489" s="23"/>
      <c r="H1489" s="24" t="str">
        <f aca="false">IF(G1489="","",ROUND((Config!$C$4-G1489)/365.25,2))</f>
        <v/>
      </c>
      <c r="I1489" s="25" t="str">
        <f aca="false">IF(H1489="","",IF(H1489&lt;=1,"Tramo 1",IF(H1489&lt;=3,"Tramo 2",IF(H1489&lt;=5,"Tramo 3","Tramo 4"))))</f>
        <v/>
      </c>
      <c r="J1489" s="22"/>
      <c r="K1489" s="22"/>
      <c r="L1489" s="22"/>
      <c r="M1489" s="26"/>
      <c r="N1489" s="22"/>
      <c r="O1489" s="22"/>
      <c r="P1489" s="25" t="str">
        <f aca="false">IF(OR(O1489="",O1489="Sin información"),"",IFERROR(INDEX(Listas!$B$2:$B$9,MATCH(O1489,Listas!$A$2:$A$9,0)),""))</f>
        <v/>
      </c>
      <c r="Q1489" s="25" t="str">
        <f aca="false">IF(OR(O1489="",O1489="Sin información"),"",IFERROR(INDEX(Listas!$C$2:$C$9,MATCH(O1489,Listas!$A$2:$A$9,0)),""))</f>
        <v/>
      </c>
      <c r="R1489" s="22"/>
      <c r="S1489" s="22"/>
      <c r="T1489" s="25" t="str">
        <f aca="false">IF(S1489="","",IFERROR(INDEX(Empleadores!$B$2:$B$601,MATCH(S1489,Empleadores!$A$2:$A$601,0)),"No encontrado"))</f>
        <v/>
      </c>
      <c r="U1489" s="25" t="str">
        <f aca="false">IF(C1489="","",IF(V1489="","No",IF(Config!$C$4-V1489&lt;=Config!$C$15,"Sí","No")))</f>
        <v/>
      </c>
      <c r="V1489" s="23"/>
      <c r="W1489" s="22"/>
      <c r="X1489" s="22"/>
      <c r="Y1489" s="22"/>
      <c r="Z1489" s="27"/>
      <c r="AA1489" s="22"/>
      <c r="AB1489" s="22"/>
    </row>
    <row r="1490" customFormat="false" ht="15" hidden="false" customHeight="false" outlineLevel="0" collapsed="false">
      <c r="A1490" s="22"/>
      <c r="B1490" s="22"/>
      <c r="C1490" s="22"/>
      <c r="D1490" s="22"/>
      <c r="E1490" s="22"/>
      <c r="F1490" s="22"/>
      <c r="G1490" s="23"/>
      <c r="H1490" s="24" t="str">
        <f aca="false">IF(G1490="","",ROUND((Config!$C$4-G1490)/365.25,2))</f>
        <v/>
      </c>
      <c r="I1490" s="25" t="str">
        <f aca="false">IF(H1490="","",IF(H1490&lt;=1,"Tramo 1",IF(H1490&lt;=3,"Tramo 2",IF(H1490&lt;=5,"Tramo 3","Tramo 4"))))</f>
        <v/>
      </c>
      <c r="J1490" s="22"/>
      <c r="K1490" s="22"/>
      <c r="L1490" s="22"/>
      <c r="M1490" s="26"/>
      <c r="N1490" s="22"/>
      <c r="O1490" s="22"/>
      <c r="P1490" s="25" t="str">
        <f aca="false">IF(OR(O1490="",O1490="Sin información"),"",IFERROR(INDEX(Listas!$B$2:$B$9,MATCH(O1490,Listas!$A$2:$A$9,0)),""))</f>
        <v/>
      </c>
      <c r="Q1490" s="25" t="str">
        <f aca="false">IF(OR(O1490="",O1490="Sin información"),"",IFERROR(INDEX(Listas!$C$2:$C$9,MATCH(O1490,Listas!$A$2:$A$9,0)),""))</f>
        <v/>
      </c>
      <c r="R1490" s="22"/>
      <c r="S1490" s="22"/>
      <c r="T1490" s="25" t="str">
        <f aca="false">IF(S1490="","",IFERROR(INDEX(Empleadores!$B$2:$B$601,MATCH(S1490,Empleadores!$A$2:$A$601,0)),"No encontrado"))</f>
        <v/>
      </c>
      <c r="U1490" s="25" t="str">
        <f aca="false">IF(C1490="","",IF(V1490="","No",IF(Config!$C$4-V1490&lt;=Config!$C$15,"Sí","No")))</f>
        <v/>
      </c>
      <c r="V1490" s="23"/>
      <c r="W1490" s="22"/>
      <c r="X1490" s="22"/>
      <c r="Y1490" s="22"/>
      <c r="Z1490" s="27"/>
      <c r="AA1490" s="22"/>
      <c r="AB1490" s="22"/>
    </row>
    <row r="1491" customFormat="false" ht="15" hidden="false" customHeight="false" outlineLevel="0" collapsed="false">
      <c r="A1491" s="22"/>
      <c r="B1491" s="22"/>
      <c r="C1491" s="22"/>
      <c r="D1491" s="22"/>
      <c r="E1491" s="22"/>
      <c r="F1491" s="22"/>
      <c r="G1491" s="23"/>
      <c r="H1491" s="24" t="str">
        <f aca="false">IF(G1491="","",ROUND((Config!$C$4-G1491)/365.25,2))</f>
        <v/>
      </c>
      <c r="I1491" s="25" t="str">
        <f aca="false">IF(H1491="","",IF(H1491&lt;=1,"Tramo 1",IF(H1491&lt;=3,"Tramo 2",IF(H1491&lt;=5,"Tramo 3","Tramo 4"))))</f>
        <v/>
      </c>
      <c r="J1491" s="22"/>
      <c r="K1491" s="22"/>
      <c r="L1491" s="22"/>
      <c r="M1491" s="26"/>
      <c r="N1491" s="22"/>
      <c r="O1491" s="22"/>
      <c r="P1491" s="25" t="str">
        <f aca="false">IF(OR(O1491="",O1491="Sin información"),"",IFERROR(INDEX(Listas!$B$2:$B$9,MATCH(O1491,Listas!$A$2:$A$9,0)),""))</f>
        <v/>
      </c>
      <c r="Q1491" s="25" t="str">
        <f aca="false">IF(OR(O1491="",O1491="Sin información"),"",IFERROR(INDEX(Listas!$C$2:$C$9,MATCH(O1491,Listas!$A$2:$A$9,0)),""))</f>
        <v/>
      </c>
      <c r="R1491" s="22"/>
      <c r="S1491" s="22"/>
      <c r="T1491" s="25" t="str">
        <f aca="false">IF(S1491="","",IFERROR(INDEX(Empleadores!$B$2:$B$601,MATCH(S1491,Empleadores!$A$2:$A$601,0)),"No encontrado"))</f>
        <v/>
      </c>
      <c r="U1491" s="25" t="str">
        <f aca="false">IF(C1491="","",IF(V1491="","No",IF(Config!$C$4-V1491&lt;=Config!$C$15,"Sí","No")))</f>
        <v/>
      </c>
      <c r="V1491" s="23"/>
      <c r="W1491" s="22"/>
      <c r="X1491" s="22"/>
      <c r="Y1491" s="22"/>
      <c r="Z1491" s="27"/>
      <c r="AA1491" s="22"/>
      <c r="AB1491" s="22"/>
    </row>
    <row r="1492" customFormat="false" ht="15" hidden="false" customHeight="false" outlineLevel="0" collapsed="false">
      <c r="A1492" s="22"/>
      <c r="B1492" s="22"/>
      <c r="C1492" s="22"/>
      <c r="D1492" s="22"/>
      <c r="E1492" s="22"/>
      <c r="F1492" s="22"/>
      <c r="G1492" s="23"/>
      <c r="H1492" s="24" t="str">
        <f aca="false">IF(G1492="","",ROUND((Config!$C$4-G1492)/365.25,2))</f>
        <v/>
      </c>
      <c r="I1492" s="25" t="str">
        <f aca="false">IF(H1492="","",IF(H1492&lt;=1,"Tramo 1",IF(H1492&lt;=3,"Tramo 2",IF(H1492&lt;=5,"Tramo 3","Tramo 4"))))</f>
        <v/>
      </c>
      <c r="J1492" s="22"/>
      <c r="K1492" s="22"/>
      <c r="L1492" s="22"/>
      <c r="M1492" s="26"/>
      <c r="N1492" s="22"/>
      <c r="O1492" s="22"/>
      <c r="P1492" s="25" t="str">
        <f aca="false">IF(OR(O1492="",O1492="Sin información"),"",IFERROR(INDEX(Listas!$B$2:$B$9,MATCH(O1492,Listas!$A$2:$A$9,0)),""))</f>
        <v/>
      </c>
      <c r="Q1492" s="25" t="str">
        <f aca="false">IF(OR(O1492="",O1492="Sin información"),"",IFERROR(INDEX(Listas!$C$2:$C$9,MATCH(O1492,Listas!$A$2:$A$9,0)),""))</f>
        <v/>
      </c>
      <c r="R1492" s="22"/>
      <c r="S1492" s="22"/>
      <c r="T1492" s="25" t="str">
        <f aca="false">IF(S1492="","",IFERROR(INDEX(Empleadores!$B$2:$B$601,MATCH(S1492,Empleadores!$A$2:$A$601,0)),"No encontrado"))</f>
        <v/>
      </c>
      <c r="U1492" s="25" t="str">
        <f aca="false">IF(C1492="","",IF(V1492="","No",IF(Config!$C$4-V1492&lt;=Config!$C$15,"Sí","No")))</f>
        <v/>
      </c>
      <c r="V1492" s="23"/>
      <c r="W1492" s="22"/>
      <c r="X1492" s="22"/>
      <c r="Y1492" s="22"/>
      <c r="Z1492" s="27"/>
      <c r="AA1492" s="22"/>
      <c r="AB1492" s="22"/>
    </row>
    <row r="1493" customFormat="false" ht="15" hidden="false" customHeight="false" outlineLevel="0" collapsed="false">
      <c r="A1493" s="22"/>
      <c r="B1493" s="22"/>
      <c r="C1493" s="22"/>
      <c r="D1493" s="22"/>
      <c r="E1493" s="22"/>
      <c r="F1493" s="22"/>
      <c r="G1493" s="23"/>
      <c r="H1493" s="24" t="str">
        <f aca="false">IF(G1493="","",ROUND((Config!$C$4-G1493)/365.25,2))</f>
        <v/>
      </c>
      <c r="I1493" s="25" t="str">
        <f aca="false">IF(H1493="","",IF(H1493&lt;=1,"Tramo 1",IF(H1493&lt;=3,"Tramo 2",IF(H1493&lt;=5,"Tramo 3","Tramo 4"))))</f>
        <v/>
      </c>
      <c r="J1493" s="22"/>
      <c r="K1493" s="22"/>
      <c r="L1493" s="22"/>
      <c r="M1493" s="26"/>
      <c r="N1493" s="22"/>
      <c r="O1493" s="22"/>
      <c r="P1493" s="25" t="str">
        <f aca="false">IF(OR(O1493="",O1493="Sin información"),"",IFERROR(INDEX(Listas!$B$2:$B$9,MATCH(O1493,Listas!$A$2:$A$9,0)),""))</f>
        <v/>
      </c>
      <c r="Q1493" s="25" t="str">
        <f aca="false">IF(OR(O1493="",O1493="Sin información"),"",IFERROR(INDEX(Listas!$C$2:$C$9,MATCH(O1493,Listas!$A$2:$A$9,0)),""))</f>
        <v/>
      </c>
      <c r="R1493" s="22"/>
      <c r="S1493" s="22"/>
      <c r="T1493" s="25" t="str">
        <f aca="false">IF(S1493="","",IFERROR(INDEX(Empleadores!$B$2:$B$601,MATCH(S1493,Empleadores!$A$2:$A$601,0)),"No encontrado"))</f>
        <v/>
      </c>
      <c r="U1493" s="25" t="str">
        <f aca="false">IF(C1493="","",IF(V1493="","No",IF(Config!$C$4-V1493&lt;=Config!$C$15,"Sí","No")))</f>
        <v/>
      </c>
      <c r="V1493" s="23"/>
      <c r="W1493" s="22"/>
      <c r="X1493" s="22"/>
      <c r="Y1493" s="22"/>
      <c r="Z1493" s="27"/>
      <c r="AA1493" s="22"/>
      <c r="AB1493" s="22"/>
    </row>
    <row r="1494" customFormat="false" ht="15" hidden="false" customHeight="false" outlineLevel="0" collapsed="false">
      <c r="A1494" s="22"/>
      <c r="B1494" s="22"/>
      <c r="C1494" s="22"/>
      <c r="D1494" s="22"/>
      <c r="E1494" s="22"/>
      <c r="F1494" s="22"/>
      <c r="G1494" s="23"/>
      <c r="H1494" s="24" t="str">
        <f aca="false">IF(G1494="","",ROUND((Config!$C$4-G1494)/365.25,2))</f>
        <v/>
      </c>
      <c r="I1494" s="25" t="str">
        <f aca="false">IF(H1494="","",IF(H1494&lt;=1,"Tramo 1",IF(H1494&lt;=3,"Tramo 2",IF(H1494&lt;=5,"Tramo 3","Tramo 4"))))</f>
        <v/>
      </c>
      <c r="J1494" s="22"/>
      <c r="K1494" s="22"/>
      <c r="L1494" s="22"/>
      <c r="M1494" s="26"/>
      <c r="N1494" s="22"/>
      <c r="O1494" s="22"/>
      <c r="P1494" s="25" t="str">
        <f aca="false">IF(OR(O1494="",O1494="Sin información"),"",IFERROR(INDEX(Listas!$B$2:$B$9,MATCH(O1494,Listas!$A$2:$A$9,0)),""))</f>
        <v/>
      </c>
      <c r="Q1494" s="25" t="str">
        <f aca="false">IF(OR(O1494="",O1494="Sin información"),"",IFERROR(INDEX(Listas!$C$2:$C$9,MATCH(O1494,Listas!$A$2:$A$9,0)),""))</f>
        <v/>
      </c>
      <c r="R1494" s="22"/>
      <c r="S1494" s="22"/>
      <c r="T1494" s="25" t="str">
        <f aca="false">IF(S1494="","",IFERROR(INDEX(Empleadores!$B$2:$B$601,MATCH(S1494,Empleadores!$A$2:$A$601,0)),"No encontrado"))</f>
        <v/>
      </c>
      <c r="U1494" s="25" t="str">
        <f aca="false">IF(C1494="","",IF(V1494="","No",IF(Config!$C$4-V1494&lt;=Config!$C$15,"Sí","No")))</f>
        <v/>
      </c>
      <c r="V1494" s="23"/>
      <c r="W1494" s="22"/>
      <c r="X1494" s="22"/>
      <c r="Y1494" s="22"/>
      <c r="Z1494" s="27"/>
      <c r="AA1494" s="22"/>
      <c r="AB1494" s="22"/>
    </row>
    <row r="1495" customFormat="false" ht="15" hidden="false" customHeight="false" outlineLevel="0" collapsed="false">
      <c r="A1495" s="22"/>
      <c r="B1495" s="22"/>
      <c r="C1495" s="22"/>
      <c r="D1495" s="22"/>
      <c r="E1495" s="22"/>
      <c r="F1495" s="22"/>
      <c r="G1495" s="23"/>
      <c r="H1495" s="24" t="str">
        <f aca="false">IF(G1495="","",ROUND((Config!$C$4-G1495)/365.25,2))</f>
        <v/>
      </c>
      <c r="I1495" s="25" t="str">
        <f aca="false">IF(H1495="","",IF(H1495&lt;=1,"Tramo 1",IF(H1495&lt;=3,"Tramo 2",IF(H1495&lt;=5,"Tramo 3","Tramo 4"))))</f>
        <v/>
      </c>
      <c r="J1495" s="22"/>
      <c r="K1495" s="22"/>
      <c r="L1495" s="22"/>
      <c r="M1495" s="26"/>
      <c r="N1495" s="22"/>
      <c r="O1495" s="22"/>
      <c r="P1495" s="25" t="str">
        <f aca="false">IF(OR(O1495="",O1495="Sin información"),"",IFERROR(INDEX(Listas!$B$2:$B$9,MATCH(O1495,Listas!$A$2:$A$9,0)),""))</f>
        <v/>
      </c>
      <c r="Q1495" s="25" t="str">
        <f aca="false">IF(OR(O1495="",O1495="Sin información"),"",IFERROR(INDEX(Listas!$C$2:$C$9,MATCH(O1495,Listas!$A$2:$A$9,0)),""))</f>
        <v/>
      </c>
      <c r="R1495" s="22"/>
      <c r="S1495" s="22"/>
      <c r="T1495" s="25" t="str">
        <f aca="false">IF(S1495="","",IFERROR(INDEX(Empleadores!$B$2:$B$601,MATCH(S1495,Empleadores!$A$2:$A$601,0)),"No encontrado"))</f>
        <v/>
      </c>
      <c r="U1495" s="25" t="str">
        <f aca="false">IF(C1495="","",IF(V1495="","No",IF(Config!$C$4-V1495&lt;=Config!$C$15,"Sí","No")))</f>
        <v/>
      </c>
      <c r="V1495" s="23"/>
      <c r="W1495" s="22"/>
      <c r="X1495" s="22"/>
      <c r="Y1495" s="22"/>
      <c r="Z1495" s="27"/>
      <c r="AA1495" s="22"/>
      <c r="AB1495" s="22"/>
    </row>
    <row r="1496" customFormat="false" ht="15" hidden="false" customHeight="false" outlineLevel="0" collapsed="false">
      <c r="A1496" s="22"/>
      <c r="B1496" s="22"/>
      <c r="C1496" s="22"/>
      <c r="D1496" s="22"/>
      <c r="E1496" s="22"/>
      <c r="F1496" s="22"/>
      <c r="G1496" s="23"/>
      <c r="H1496" s="24" t="str">
        <f aca="false">IF(G1496="","",ROUND((Config!$C$4-G1496)/365.25,2))</f>
        <v/>
      </c>
      <c r="I1496" s="25" t="str">
        <f aca="false">IF(H1496="","",IF(H1496&lt;=1,"Tramo 1",IF(H1496&lt;=3,"Tramo 2",IF(H1496&lt;=5,"Tramo 3","Tramo 4"))))</f>
        <v/>
      </c>
      <c r="J1496" s="22"/>
      <c r="K1496" s="22"/>
      <c r="L1496" s="22"/>
      <c r="M1496" s="26"/>
      <c r="N1496" s="22"/>
      <c r="O1496" s="22"/>
      <c r="P1496" s="25" t="str">
        <f aca="false">IF(OR(O1496="",O1496="Sin información"),"",IFERROR(INDEX(Listas!$B$2:$B$9,MATCH(O1496,Listas!$A$2:$A$9,0)),""))</f>
        <v/>
      </c>
      <c r="Q1496" s="25" t="str">
        <f aca="false">IF(OR(O1496="",O1496="Sin información"),"",IFERROR(INDEX(Listas!$C$2:$C$9,MATCH(O1496,Listas!$A$2:$A$9,0)),""))</f>
        <v/>
      </c>
      <c r="R1496" s="22"/>
      <c r="S1496" s="22"/>
      <c r="T1496" s="25" t="str">
        <f aca="false">IF(S1496="","",IFERROR(INDEX(Empleadores!$B$2:$B$601,MATCH(S1496,Empleadores!$A$2:$A$601,0)),"No encontrado"))</f>
        <v/>
      </c>
      <c r="U1496" s="25" t="str">
        <f aca="false">IF(C1496="","",IF(V1496="","No",IF(Config!$C$4-V1496&lt;=Config!$C$15,"Sí","No")))</f>
        <v/>
      </c>
      <c r="V1496" s="23"/>
      <c r="W1496" s="22"/>
      <c r="X1496" s="22"/>
      <c r="Y1496" s="22"/>
      <c r="Z1496" s="27"/>
      <c r="AA1496" s="22"/>
      <c r="AB1496" s="22"/>
    </row>
    <row r="1497" customFormat="false" ht="15" hidden="false" customHeight="false" outlineLevel="0" collapsed="false">
      <c r="A1497" s="22"/>
      <c r="B1497" s="22"/>
      <c r="C1497" s="22"/>
      <c r="D1497" s="22"/>
      <c r="E1497" s="22"/>
      <c r="F1497" s="22"/>
      <c r="G1497" s="23"/>
      <c r="H1497" s="24" t="str">
        <f aca="false">IF(G1497="","",ROUND((Config!$C$4-G1497)/365.25,2))</f>
        <v/>
      </c>
      <c r="I1497" s="25" t="str">
        <f aca="false">IF(H1497="","",IF(H1497&lt;=1,"Tramo 1",IF(H1497&lt;=3,"Tramo 2",IF(H1497&lt;=5,"Tramo 3","Tramo 4"))))</f>
        <v/>
      </c>
      <c r="J1497" s="22"/>
      <c r="K1497" s="22"/>
      <c r="L1497" s="22"/>
      <c r="M1497" s="26"/>
      <c r="N1497" s="22"/>
      <c r="O1497" s="22"/>
      <c r="P1497" s="25" t="str">
        <f aca="false">IF(OR(O1497="",O1497="Sin información"),"",IFERROR(INDEX(Listas!$B$2:$B$9,MATCH(O1497,Listas!$A$2:$A$9,0)),""))</f>
        <v/>
      </c>
      <c r="Q1497" s="25" t="str">
        <f aca="false">IF(OR(O1497="",O1497="Sin información"),"",IFERROR(INDEX(Listas!$C$2:$C$9,MATCH(O1497,Listas!$A$2:$A$9,0)),""))</f>
        <v/>
      </c>
      <c r="R1497" s="22"/>
      <c r="S1497" s="22"/>
      <c r="T1497" s="25" t="str">
        <f aca="false">IF(S1497="","",IFERROR(INDEX(Empleadores!$B$2:$B$601,MATCH(S1497,Empleadores!$A$2:$A$601,0)),"No encontrado"))</f>
        <v/>
      </c>
      <c r="U1497" s="25" t="str">
        <f aca="false">IF(C1497="","",IF(V1497="","No",IF(Config!$C$4-V1497&lt;=Config!$C$15,"Sí","No")))</f>
        <v/>
      </c>
      <c r="V1497" s="23"/>
      <c r="W1497" s="22"/>
      <c r="X1497" s="22"/>
      <c r="Y1497" s="22"/>
      <c r="Z1497" s="27"/>
      <c r="AA1497" s="22"/>
      <c r="AB1497" s="22"/>
    </row>
    <row r="1498" customFormat="false" ht="15" hidden="false" customHeight="false" outlineLevel="0" collapsed="false">
      <c r="A1498" s="22"/>
      <c r="B1498" s="22"/>
      <c r="C1498" s="22"/>
      <c r="D1498" s="22"/>
      <c r="E1498" s="22"/>
      <c r="F1498" s="22"/>
      <c r="G1498" s="23"/>
      <c r="H1498" s="24" t="str">
        <f aca="false">IF(G1498="","",ROUND((Config!$C$4-G1498)/365.25,2))</f>
        <v/>
      </c>
      <c r="I1498" s="25" t="str">
        <f aca="false">IF(H1498="","",IF(H1498&lt;=1,"Tramo 1",IF(H1498&lt;=3,"Tramo 2",IF(H1498&lt;=5,"Tramo 3","Tramo 4"))))</f>
        <v/>
      </c>
      <c r="J1498" s="22"/>
      <c r="K1498" s="22"/>
      <c r="L1498" s="22"/>
      <c r="M1498" s="26"/>
      <c r="N1498" s="22"/>
      <c r="O1498" s="22"/>
      <c r="P1498" s="25" t="str">
        <f aca="false">IF(OR(O1498="",O1498="Sin información"),"",IFERROR(INDEX(Listas!$B$2:$B$9,MATCH(O1498,Listas!$A$2:$A$9,0)),""))</f>
        <v/>
      </c>
      <c r="Q1498" s="25" t="str">
        <f aca="false">IF(OR(O1498="",O1498="Sin información"),"",IFERROR(INDEX(Listas!$C$2:$C$9,MATCH(O1498,Listas!$A$2:$A$9,0)),""))</f>
        <v/>
      </c>
      <c r="R1498" s="22"/>
      <c r="S1498" s="22"/>
      <c r="T1498" s="25" t="str">
        <f aca="false">IF(S1498="","",IFERROR(INDEX(Empleadores!$B$2:$B$601,MATCH(S1498,Empleadores!$A$2:$A$601,0)),"No encontrado"))</f>
        <v/>
      </c>
      <c r="U1498" s="25" t="str">
        <f aca="false">IF(C1498="","",IF(V1498="","No",IF(Config!$C$4-V1498&lt;=Config!$C$15,"Sí","No")))</f>
        <v/>
      </c>
      <c r="V1498" s="23"/>
      <c r="W1498" s="22"/>
      <c r="X1498" s="22"/>
      <c r="Y1498" s="22"/>
      <c r="Z1498" s="27"/>
      <c r="AA1498" s="22"/>
      <c r="AB1498" s="22"/>
    </row>
    <row r="1499" customFormat="false" ht="15" hidden="false" customHeight="false" outlineLevel="0" collapsed="false">
      <c r="A1499" s="22"/>
      <c r="B1499" s="22"/>
      <c r="C1499" s="22"/>
      <c r="D1499" s="22"/>
      <c r="E1499" s="22"/>
      <c r="F1499" s="22"/>
      <c r="G1499" s="23"/>
      <c r="H1499" s="24" t="str">
        <f aca="false">IF(G1499="","",ROUND((Config!$C$4-G1499)/365.25,2))</f>
        <v/>
      </c>
      <c r="I1499" s="25" t="str">
        <f aca="false">IF(H1499="","",IF(H1499&lt;=1,"Tramo 1",IF(H1499&lt;=3,"Tramo 2",IF(H1499&lt;=5,"Tramo 3","Tramo 4"))))</f>
        <v/>
      </c>
      <c r="J1499" s="22"/>
      <c r="K1499" s="22"/>
      <c r="L1499" s="22"/>
      <c r="M1499" s="26"/>
      <c r="N1499" s="22"/>
      <c r="O1499" s="22"/>
      <c r="P1499" s="25" t="str">
        <f aca="false">IF(OR(O1499="",O1499="Sin información"),"",IFERROR(INDEX(Listas!$B$2:$B$9,MATCH(O1499,Listas!$A$2:$A$9,0)),""))</f>
        <v/>
      </c>
      <c r="Q1499" s="25" t="str">
        <f aca="false">IF(OR(O1499="",O1499="Sin información"),"",IFERROR(INDEX(Listas!$C$2:$C$9,MATCH(O1499,Listas!$A$2:$A$9,0)),""))</f>
        <v/>
      </c>
      <c r="R1499" s="22"/>
      <c r="S1499" s="22"/>
      <c r="T1499" s="25" t="str">
        <f aca="false">IF(S1499="","",IFERROR(INDEX(Empleadores!$B$2:$B$601,MATCH(S1499,Empleadores!$A$2:$A$601,0)),"No encontrado"))</f>
        <v/>
      </c>
      <c r="U1499" s="25" t="str">
        <f aca="false">IF(C1499="","",IF(V1499="","No",IF(Config!$C$4-V1499&lt;=Config!$C$15,"Sí","No")))</f>
        <v/>
      </c>
      <c r="V1499" s="23"/>
      <c r="W1499" s="22"/>
      <c r="X1499" s="22"/>
      <c r="Y1499" s="22"/>
      <c r="Z1499" s="27"/>
      <c r="AA1499" s="22"/>
      <c r="AB1499" s="22"/>
    </row>
    <row r="1500" customFormat="false" ht="15" hidden="false" customHeight="false" outlineLevel="0" collapsed="false">
      <c r="A1500" s="22"/>
      <c r="B1500" s="22"/>
      <c r="C1500" s="22"/>
      <c r="D1500" s="22"/>
      <c r="E1500" s="22"/>
      <c r="F1500" s="22"/>
      <c r="G1500" s="23"/>
      <c r="H1500" s="24" t="str">
        <f aca="false">IF(G1500="","",ROUND((Config!$C$4-G1500)/365.25,2))</f>
        <v/>
      </c>
      <c r="I1500" s="25" t="str">
        <f aca="false">IF(H1500="","",IF(H1500&lt;=1,"Tramo 1",IF(H1500&lt;=3,"Tramo 2",IF(H1500&lt;=5,"Tramo 3","Tramo 4"))))</f>
        <v/>
      </c>
      <c r="J1500" s="22"/>
      <c r="K1500" s="22"/>
      <c r="L1500" s="22"/>
      <c r="M1500" s="26"/>
      <c r="N1500" s="22"/>
      <c r="O1500" s="22"/>
      <c r="P1500" s="25" t="str">
        <f aca="false">IF(OR(O1500="",O1500="Sin información"),"",IFERROR(INDEX(Listas!$B$2:$B$9,MATCH(O1500,Listas!$A$2:$A$9,0)),""))</f>
        <v/>
      </c>
      <c r="Q1500" s="25" t="str">
        <f aca="false">IF(OR(O1500="",O1500="Sin información"),"",IFERROR(INDEX(Listas!$C$2:$C$9,MATCH(O1500,Listas!$A$2:$A$9,0)),""))</f>
        <v/>
      </c>
      <c r="R1500" s="22"/>
      <c r="S1500" s="22"/>
      <c r="T1500" s="25" t="str">
        <f aca="false">IF(S1500="","",IFERROR(INDEX(Empleadores!$B$2:$B$601,MATCH(S1500,Empleadores!$A$2:$A$601,0)),"No encontrado"))</f>
        <v/>
      </c>
      <c r="U1500" s="25" t="str">
        <f aca="false">IF(C1500="","",IF(V1500="","No",IF(Config!$C$4-V1500&lt;=Config!$C$15,"Sí","No")))</f>
        <v/>
      </c>
      <c r="V1500" s="23"/>
      <c r="W1500" s="22"/>
      <c r="X1500" s="22"/>
      <c r="Y1500" s="22"/>
      <c r="Z1500" s="27"/>
      <c r="AA1500" s="22"/>
      <c r="AB1500" s="22"/>
    </row>
    <row r="1501" customFormat="false" ht="15" hidden="false" customHeight="false" outlineLevel="0" collapsed="false">
      <c r="A1501" s="22"/>
      <c r="B1501" s="22"/>
      <c r="C1501" s="22"/>
      <c r="D1501" s="22"/>
      <c r="E1501" s="22"/>
      <c r="F1501" s="22"/>
      <c r="G1501" s="23"/>
      <c r="H1501" s="24" t="str">
        <f aca="false">IF(G1501="","",ROUND((Config!$C$4-G1501)/365.25,2))</f>
        <v/>
      </c>
      <c r="I1501" s="25" t="str">
        <f aca="false">IF(H1501="","",IF(H1501&lt;=1,"Tramo 1",IF(H1501&lt;=3,"Tramo 2",IF(H1501&lt;=5,"Tramo 3","Tramo 4"))))</f>
        <v/>
      </c>
      <c r="J1501" s="22"/>
      <c r="K1501" s="22"/>
      <c r="L1501" s="22"/>
      <c r="M1501" s="26"/>
      <c r="N1501" s="22"/>
      <c r="O1501" s="22"/>
      <c r="P1501" s="25" t="str">
        <f aca="false">IF(OR(O1501="",O1501="Sin información"),"",IFERROR(INDEX(Listas!$B$2:$B$9,MATCH(O1501,Listas!$A$2:$A$9,0)),""))</f>
        <v/>
      </c>
      <c r="Q1501" s="25" t="str">
        <f aca="false">IF(OR(O1501="",O1501="Sin información"),"",IFERROR(INDEX(Listas!$C$2:$C$9,MATCH(O1501,Listas!$A$2:$A$9,0)),""))</f>
        <v/>
      </c>
      <c r="R1501" s="22"/>
      <c r="S1501" s="22"/>
      <c r="T1501" s="25" t="str">
        <f aca="false">IF(S1501="","",IFERROR(INDEX(Empleadores!$B$2:$B$601,MATCH(S1501,Empleadores!$A$2:$A$601,0)),"No encontrado"))</f>
        <v/>
      </c>
      <c r="U1501" s="25" t="str">
        <f aca="false">IF(C1501="","",IF(V1501="","No",IF(Config!$C$4-V1501&lt;=Config!$C$15,"Sí","No")))</f>
        <v/>
      </c>
      <c r="V1501" s="23"/>
      <c r="W1501" s="22"/>
      <c r="X1501" s="22"/>
      <c r="Y1501" s="22"/>
      <c r="Z1501" s="27"/>
      <c r="AA1501" s="22"/>
      <c r="AB1501" s="22"/>
    </row>
  </sheetData>
  <autoFilter ref="A1:AB977"/>
  <dataValidations count="8">
    <dataValidation allowBlank="true" errorStyle="stop" operator="between" showDropDown="false" showErrorMessage="false" showInputMessage="false" sqref="D2:D1501" type="list">
      <formula1>Listas!$H$2:$H$3</formula1>
      <formula2>0</formula2>
    </dataValidation>
    <dataValidation allowBlank="true" errorStyle="stop" operator="between" showDropDown="false" showErrorMessage="false" showInputMessage="false" sqref="E2:E1501" type="list">
      <formula1>Listas!$G$2:$G$5</formula1>
      <formula2>0</formula2>
    </dataValidation>
    <dataValidation allowBlank="true" errorStyle="stop" operator="between" showDropDown="false" showErrorMessage="false" showInputMessage="false" sqref="J2:J1501" type="list">
      <formula1>Listas!$F$2:$F$4</formula1>
      <formula2>0</formula2>
    </dataValidation>
    <dataValidation allowBlank="true" errorStyle="stop" operator="between" showDropDown="false" showErrorMessage="false" showInputMessage="false" sqref="W2:W1501" type="list">
      <formula1>Listas!$E$2:$E$3</formula1>
      <formula2>0</formula2>
    </dataValidation>
    <dataValidation allowBlank="true" errorStyle="stop" operator="between" showDropDown="false" showErrorMessage="false" showInputMessage="false" sqref="Y2:Y1501" type="list">
      <formula1>Listas!$E$2:$E$3</formula1>
      <formula2>0</formula2>
    </dataValidation>
    <dataValidation allowBlank="true" errorStyle="stop" operator="between" showDropDown="false" showErrorMessage="false" showInputMessage="false" sqref="X2:X1501" type="list">
      <formula1>Listas!$N$2:$N$6</formula1>
      <formula2>0</formula2>
    </dataValidation>
    <dataValidation allowBlank="true" errorStyle="stop" operator="between" showDropDown="false" showErrorMessage="false" showInputMessage="false" sqref="O2:O1501" type="list">
      <formula1>Listas!$A$2:$A$9</formula1>
      <formula2>0</formula2>
    </dataValidation>
    <dataValidation allowBlank="true" error="Use el formato AAAA-I o AAAA-II (ej. 2024-II)" errorStyle="stop" operator="between" showDropDown="false" showErrorMessage="true" showInputMessage="false" sqref="F2:F1501" type="custom">
      <formula1>OR(RIGHT(F2,3)="-II",RIGHT(F2,2)="-I")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9" min="7" style="0" width="20"/>
    <col collapsed="false" customWidth="true" hidden="false" outlineLevel="0" max="10" min="10" style="0" width="24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4"/>
  </cols>
  <sheetData>
    <row r="1" customFormat="false" ht="35.05" hidden="false" customHeight="false" outlineLevel="0" collapsed="false">
      <c r="A1" s="16" t="s">
        <v>126</v>
      </c>
      <c r="B1" s="16" t="s">
        <v>4090</v>
      </c>
      <c r="C1" s="16" t="s">
        <v>4091</v>
      </c>
      <c r="D1" s="16" t="s">
        <v>4092</v>
      </c>
      <c r="E1" s="16" t="s">
        <v>4093</v>
      </c>
      <c r="F1" s="16" t="s">
        <v>4094</v>
      </c>
      <c r="G1" s="16" t="s">
        <v>4095</v>
      </c>
      <c r="H1" s="16" t="s">
        <v>4096</v>
      </c>
      <c r="I1" s="16" t="s">
        <v>4097</v>
      </c>
      <c r="J1" s="16" t="s">
        <v>121</v>
      </c>
      <c r="K1" s="16" t="s">
        <v>4098</v>
      </c>
      <c r="L1" s="16" t="s">
        <v>4099</v>
      </c>
      <c r="M1" s="16" t="s">
        <v>4100</v>
      </c>
      <c r="N1" s="16" t="s">
        <v>4101</v>
      </c>
      <c r="O1" s="16" t="s">
        <v>4102</v>
      </c>
    </row>
    <row r="2" customFormat="false" ht="15" hidden="false" customHeight="false" outlineLevel="0" collapsed="false">
      <c r="A2" s="22" t="s">
        <v>180</v>
      </c>
      <c r="B2" s="22" t="s">
        <v>4103</v>
      </c>
      <c r="C2" s="22"/>
      <c r="D2" s="22" t="s">
        <v>4104</v>
      </c>
      <c r="E2" s="22" t="s">
        <v>4105</v>
      </c>
      <c r="F2" s="22" t="s">
        <v>4106</v>
      </c>
      <c r="G2" s="22" t="s">
        <v>139</v>
      </c>
      <c r="H2" s="22"/>
      <c r="I2" s="22"/>
      <c r="J2" s="22"/>
      <c r="K2" s="22"/>
      <c r="L2" s="25" t="n">
        <f aca="false">IF(A2="","",COUNTIF(Egresados!$S$2:$S$1501,A2))</f>
        <v>4</v>
      </c>
      <c r="M2" s="22"/>
      <c r="N2" s="22"/>
      <c r="O2" s="23"/>
    </row>
    <row r="3" customFormat="false" ht="15" hidden="false" customHeight="false" outlineLevel="0" collapsed="false">
      <c r="A3" s="22" t="s">
        <v>1072</v>
      </c>
      <c r="B3" s="22" t="s">
        <v>4107</v>
      </c>
      <c r="C3" s="22"/>
      <c r="D3" s="22" t="s">
        <v>4108</v>
      </c>
      <c r="E3" s="22" t="s">
        <v>4109</v>
      </c>
      <c r="F3" s="22" t="s">
        <v>4110</v>
      </c>
      <c r="G3" s="22" t="s">
        <v>139</v>
      </c>
      <c r="H3" s="22"/>
      <c r="I3" s="22"/>
      <c r="J3" s="22"/>
      <c r="K3" s="22"/>
      <c r="L3" s="25" t="n">
        <f aca="false">IF(A3="","",COUNTIF(Egresados!$S$2:$S$1501,A3))</f>
        <v>3</v>
      </c>
      <c r="M3" s="22"/>
      <c r="N3" s="22"/>
      <c r="O3" s="23"/>
    </row>
    <row r="4" customFormat="false" ht="15" hidden="false" customHeight="false" outlineLevel="0" collapsed="false">
      <c r="A4" s="22" t="s">
        <v>533</v>
      </c>
      <c r="B4" s="22" t="s">
        <v>4111</v>
      </c>
      <c r="C4" s="22"/>
      <c r="D4" s="22" t="s">
        <v>4104</v>
      </c>
      <c r="E4" s="22" t="s">
        <v>4112</v>
      </c>
      <c r="F4" s="22" t="s">
        <v>4113</v>
      </c>
      <c r="G4" s="22" t="s">
        <v>139</v>
      </c>
      <c r="H4" s="22"/>
      <c r="I4" s="22"/>
      <c r="J4" s="22"/>
      <c r="K4" s="22"/>
      <c r="L4" s="25" t="n">
        <f aca="false">IF(A4="","",COUNTIF(Egresados!$S$2:$S$1501,A4))</f>
        <v>3</v>
      </c>
      <c r="M4" s="22"/>
      <c r="N4" s="22"/>
      <c r="O4" s="23"/>
    </row>
    <row r="5" customFormat="false" ht="15" hidden="false" customHeight="false" outlineLevel="0" collapsed="false">
      <c r="A5" s="22" t="s">
        <v>563</v>
      </c>
      <c r="B5" s="22" t="s">
        <v>4114</v>
      </c>
      <c r="C5" s="22"/>
      <c r="D5" s="22" t="s">
        <v>4115</v>
      </c>
      <c r="E5" s="22" t="s">
        <v>4115</v>
      </c>
      <c r="F5" s="22" t="s">
        <v>4110</v>
      </c>
      <c r="G5" s="22" t="s">
        <v>139</v>
      </c>
      <c r="H5" s="22"/>
      <c r="I5" s="22"/>
      <c r="J5" s="22"/>
      <c r="K5" s="22"/>
      <c r="L5" s="25" t="n">
        <f aca="false">IF(A5="","",COUNTIF(Egresados!$S$2:$S$1501,A5))</f>
        <v>3</v>
      </c>
      <c r="M5" s="22"/>
      <c r="N5" s="22"/>
      <c r="O5" s="23"/>
    </row>
    <row r="6" customFormat="false" ht="15" hidden="false" customHeight="false" outlineLevel="0" collapsed="false">
      <c r="A6" s="22" t="s">
        <v>318</v>
      </c>
      <c r="B6" s="22" t="s">
        <v>4116</v>
      </c>
      <c r="C6" s="22"/>
      <c r="D6" s="22" t="s">
        <v>4104</v>
      </c>
      <c r="E6" s="22" t="s">
        <v>4105</v>
      </c>
      <c r="F6" s="22" t="s">
        <v>4106</v>
      </c>
      <c r="G6" s="22" t="s">
        <v>139</v>
      </c>
      <c r="H6" s="22"/>
      <c r="I6" s="22"/>
      <c r="J6" s="22"/>
      <c r="K6" s="22"/>
      <c r="L6" s="25" t="n">
        <f aca="false">IF(A6="","",COUNTIF(Egresados!$S$2:$S$1501,A6))</f>
        <v>2</v>
      </c>
      <c r="M6" s="22"/>
      <c r="N6" s="22"/>
      <c r="O6" s="23"/>
    </row>
    <row r="7" customFormat="false" ht="15" hidden="false" customHeight="false" outlineLevel="0" collapsed="false">
      <c r="A7" s="22" t="s">
        <v>301</v>
      </c>
      <c r="B7" s="22" t="s">
        <v>4117</v>
      </c>
      <c r="C7" s="22"/>
      <c r="D7" s="22" t="s">
        <v>4104</v>
      </c>
      <c r="E7" s="22" t="s">
        <v>4118</v>
      </c>
      <c r="F7" s="22" t="s">
        <v>4119</v>
      </c>
      <c r="G7" s="22" t="s">
        <v>139</v>
      </c>
      <c r="H7" s="22"/>
      <c r="I7" s="22"/>
      <c r="J7" s="22"/>
      <c r="K7" s="22"/>
      <c r="L7" s="25" t="n">
        <f aca="false">IF(A7="","",COUNTIF(Egresados!$S$2:$S$1501,A7))</f>
        <v>2</v>
      </c>
      <c r="M7" s="22"/>
      <c r="N7" s="22"/>
      <c r="O7" s="23"/>
    </row>
    <row r="8" customFormat="false" ht="15" hidden="false" customHeight="false" outlineLevel="0" collapsed="false">
      <c r="A8" s="22" t="s">
        <v>988</v>
      </c>
      <c r="B8" s="22" t="s">
        <v>4120</v>
      </c>
      <c r="C8" s="22"/>
      <c r="D8" s="22" t="s">
        <v>4121</v>
      </c>
      <c r="E8" s="22" t="s">
        <v>4105</v>
      </c>
      <c r="F8" s="22" t="s">
        <v>4106</v>
      </c>
      <c r="G8" s="22" t="s">
        <v>4122</v>
      </c>
      <c r="H8" s="22"/>
      <c r="I8" s="22"/>
      <c r="J8" s="22"/>
      <c r="K8" s="22"/>
      <c r="L8" s="25" t="n">
        <f aca="false">IF(A8="","",COUNTIF(Egresados!$S$2:$S$1501,A8))</f>
        <v>1</v>
      </c>
      <c r="M8" s="22"/>
      <c r="N8" s="22"/>
      <c r="O8" s="23"/>
    </row>
    <row r="9" customFormat="false" ht="15" hidden="false" customHeight="false" outlineLevel="0" collapsed="false">
      <c r="A9" s="22" t="s">
        <v>918</v>
      </c>
      <c r="B9" s="22" t="s">
        <v>4123</v>
      </c>
      <c r="C9" s="22"/>
      <c r="D9" s="22" t="s">
        <v>4121</v>
      </c>
      <c r="E9" s="22" t="s">
        <v>4105</v>
      </c>
      <c r="F9" s="22" t="s">
        <v>4106</v>
      </c>
      <c r="G9" s="22" t="s">
        <v>4124</v>
      </c>
      <c r="H9" s="22"/>
      <c r="I9" s="22"/>
      <c r="J9" s="22"/>
      <c r="K9" s="22"/>
      <c r="L9" s="25" t="n">
        <f aca="false">IF(A9="","",COUNTIF(Egresados!$S$2:$S$1501,A9))</f>
        <v>1</v>
      </c>
      <c r="M9" s="22"/>
      <c r="N9" s="22"/>
      <c r="O9" s="23"/>
    </row>
    <row r="10" customFormat="false" ht="15" hidden="false" customHeight="false" outlineLevel="0" collapsed="false">
      <c r="A10" s="22" t="s">
        <v>840</v>
      </c>
      <c r="B10" s="22" t="s">
        <v>4125</v>
      </c>
      <c r="C10" s="22"/>
      <c r="D10" s="22" t="s">
        <v>4121</v>
      </c>
      <c r="E10" s="22" t="s">
        <v>4105</v>
      </c>
      <c r="F10" s="22" t="s">
        <v>4106</v>
      </c>
      <c r="G10" s="22" t="s">
        <v>4126</v>
      </c>
      <c r="H10" s="22"/>
      <c r="I10" s="22"/>
      <c r="J10" s="22"/>
      <c r="K10" s="22"/>
      <c r="L10" s="25" t="n">
        <f aca="false">IF(A10="","",COUNTIF(Egresados!$S$2:$S$1501,A10))</f>
        <v>1</v>
      </c>
      <c r="M10" s="22"/>
      <c r="N10" s="22"/>
      <c r="O10" s="23"/>
    </row>
    <row r="11" customFormat="false" ht="15" hidden="false" customHeight="false" outlineLevel="0" collapsed="false">
      <c r="A11" s="22" t="s">
        <v>690</v>
      </c>
      <c r="B11" s="22" t="s">
        <v>4127</v>
      </c>
      <c r="C11" s="22"/>
      <c r="D11" s="22" t="s">
        <v>4121</v>
      </c>
      <c r="E11" s="22" t="s">
        <v>4105</v>
      </c>
      <c r="F11" s="22" t="s">
        <v>4106</v>
      </c>
      <c r="G11" s="22" t="s">
        <v>4128</v>
      </c>
      <c r="H11" s="22"/>
      <c r="I11" s="22"/>
      <c r="J11" s="22"/>
      <c r="K11" s="22"/>
      <c r="L11" s="25" t="n">
        <f aca="false">IF(A11="","",COUNTIF(Egresados!$S$2:$S$1501,A11))</f>
        <v>1</v>
      </c>
      <c r="M11" s="22"/>
      <c r="N11" s="22"/>
      <c r="O11" s="23"/>
    </row>
    <row r="12" customFormat="false" ht="15" hidden="false" customHeight="false" outlineLevel="0" collapsed="false">
      <c r="A12" s="22" t="s">
        <v>1110</v>
      </c>
      <c r="B12" s="22" t="s">
        <v>4129</v>
      </c>
      <c r="C12" s="22"/>
      <c r="D12" s="22" t="s">
        <v>4121</v>
      </c>
      <c r="E12" s="22" t="s">
        <v>4105</v>
      </c>
      <c r="F12" s="22" t="s">
        <v>4106</v>
      </c>
      <c r="G12" s="22" t="s">
        <v>4130</v>
      </c>
      <c r="H12" s="22"/>
      <c r="I12" s="22"/>
      <c r="J12" s="22"/>
      <c r="K12" s="22"/>
      <c r="L12" s="25" t="n">
        <f aca="false">IF(A12="","",COUNTIF(Egresados!$S$2:$S$1501,A12))</f>
        <v>1</v>
      </c>
      <c r="M12" s="22"/>
      <c r="N12" s="22"/>
      <c r="O12" s="23"/>
    </row>
    <row r="13" customFormat="false" ht="15" hidden="false" customHeight="false" outlineLevel="0" collapsed="false">
      <c r="A13" s="22" t="s">
        <v>1001</v>
      </c>
      <c r="B13" s="22" t="s">
        <v>4131</v>
      </c>
      <c r="C13" s="22"/>
      <c r="D13" s="22" t="s">
        <v>4121</v>
      </c>
      <c r="E13" s="22" t="s">
        <v>4105</v>
      </c>
      <c r="F13" s="22" t="s">
        <v>4132</v>
      </c>
      <c r="G13" s="22" t="s">
        <v>2482</v>
      </c>
      <c r="H13" s="22"/>
      <c r="I13" s="22"/>
      <c r="J13" s="22"/>
      <c r="K13" s="22"/>
      <c r="L13" s="25" t="n">
        <f aca="false">IF(A13="","",COUNTIF(Egresados!$S$2:$S$1501,A13))</f>
        <v>1</v>
      </c>
      <c r="M13" s="22"/>
      <c r="N13" s="22"/>
      <c r="O13" s="23"/>
    </row>
    <row r="14" customFormat="false" ht="15" hidden="false" customHeight="false" outlineLevel="0" collapsed="false">
      <c r="A14" s="22" t="s">
        <v>1055</v>
      </c>
      <c r="B14" s="22" t="s">
        <v>4133</v>
      </c>
      <c r="C14" s="22"/>
      <c r="D14" s="22" t="s">
        <v>4121</v>
      </c>
      <c r="E14" s="22" t="s">
        <v>4105</v>
      </c>
      <c r="F14" s="22" t="s">
        <v>4106</v>
      </c>
      <c r="G14" s="22" t="s">
        <v>4134</v>
      </c>
      <c r="H14" s="22"/>
      <c r="I14" s="22"/>
      <c r="J14" s="22"/>
      <c r="K14" s="22"/>
      <c r="L14" s="25" t="n">
        <f aca="false">IF(A14="","",COUNTIF(Egresados!$S$2:$S$1501,A14))</f>
        <v>1</v>
      </c>
      <c r="M14" s="22"/>
      <c r="N14" s="22"/>
      <c r="O14" s="23"/>
    </row>
    <row r="15" customFormat="false" ht="15" hidden="false" customHeight="false" outlineLevel="0" collapsed="false">
      <c r="A15" s="22" t="s">
        <v>3063</v>
      </c>
      <c r="B15" s="22" t="s">
        <v>4135</v>
      </c>
      <c r="C15" s="22"/>
      <c r="D15" s="22" t="s">
        <v>4121</v>
      </c>
      <c r="E15" s="22" t="s">
        <v>4118</v>
      </c>
      <c r="F15" s="22" t="s">
        <v>4119</v>
      </c>
      <c r="G15" s="22" t="s">
        <v>4136</v>
      </c>
      <c r="H15" s="22"/>
      <c r="I15" s="22"/>
      <c r="J15" s="22"/>
      <c r="K15" s="22"/>
      <c r="L15" s="25" t="n">
        <f aca="false">IF(A15="","",COUNTIF(Egresados!$S$2:$S$1501,A15))</f>
        <v>1</v>
      </c>
      <c r="M15" s="22"/>
      <c r="N15" s="22"/>
      <c r="O15" s="23"/>
    </row>
    <row r="16" customFormat="false" ht="15" hidden="false" customHeight="false" outlineLevel="0" collapsed="false">
      <c r="A16" s="22" t="s">
        <v>879</v>
      </c>
      <c r="B16" s="22" t="s">
        <v>4137</v>
      </c>
      <c r="C16" s="22"/>
      <c r="D16" s="22" t="s">
        <v>4108</v>
      </c>
      <c r="E16" s="22" t="s">
        <v>4109</v>
      </c>
      <c r="F16" s="22" t="s">
        <v>4110</v>
      </c>
      <c r="G16" s="22" t="s">
        <v>139</v>
      </c>
      <c r="H16" s="22"/>
      <c r="I16" s="22"/>
      <c r="J16" s="22"/>
      <c r="K16" s="22"/>
      <c r="L16" s="25" t="n">
        <f aca="false">IF(A16="","",COUNTIF(Egresados!$S$2:$S$1501,A16))</f>
        <v>1</v>
      </c>
      <c r="M16" s="22"/>
      <c r="N16" s="22"/>
      <c r="O16" s="23"/>
    </row>
    <row r="17" customFormat="false" ht="15" hidden="false" customHeight="false" outlineLevel="0" collapsed="false">
      <c r="A17" s="22" t="s">
        <v>901</v>
      </c>
      <c r="B17" s="22" t="s">
        <v>4138</v>
      </c>
      <c r="C17" s="22"/>
      <c r="D17" s="22" t="s">
        <v>4108</v>
      </c>
      <c r="E17" s="22" t="s">
        <v>4109</v>
      </c>
      <c r="F17" s="22" t="s">
        <v>4110</v>
      </c>
      <c r="G17" s="22" t="s">
        <v>139</v>
      </c>
      <c r="H17" s="22"/>
      <c r="I17" s="22"/>
      <c r="J17" s="22"/>
      <c r="K17" s="22"/>
      <c r="L17" s="25" t="n">
        <f aca="false">IF(A17="","",COUNTIF(Egresados!$S$2:$S$1501,A17))</f>
        <v>1</v>
      </c>
      <c r="M17" s="22"/>
      <c r="N17" s="22"/>
      <c r="O17" s="23"/>
    </row>
    <row r="18" customFormat="false" ht="15" hidden="false" customHeight="false" outlineLevel="0" collapsed="false">
      <c r="A18" s="22" t="s">
        <v>856</v>
      </c>
      <c r="B18" s="22" t="s">
        <v>4139</v>
      </c>
      <c r="C18" s="22"/>
      <c r="D18" s="22" t="s">
        <v>4108</v>
      </c>
      <c r="E18" s="22" t="s">
        <v>4109</v>
      </c>
      <c r="F18" s="22" t="s">
        <v>4110</v>
      </c>
      <c r="G18" s="22" t="s">
        <v>139</v>
      </c>
      <c r="H18" s="22"/>
      <c r="I18" s="22"/>
      <c r="J18" s="22"/>
      <c r="K18" s="22"/>
      <c r="L18" s="25" t="n">
        <f aca="false">IF(A18="","",COUNTIF(Egresados!$S$2:$S$1501,A18))</f>
        <v>1</v>
      </c>
      <c r="M18" s="22"/>
      <c r="N18" s="22"/>
      <c r="O18" s="23"/>
    </row>
    <row r="19" customFormat="false" ht="15" hidden="false" customHeight="false" outlineLevel="0" collapsed="false">
      <c r="A19" s="22" t="s">
        <v>485</v>
      </c>
      <c r="B19" s="22" t="s">
        <v>4140</v>
      </c>
      <c r="C19" s="22"/>
      <c r="D19" s="22" t="s">
        <v>4121</v>
      </c>
      <c r="E19" s="22" t="s">
        <v>4115</v>
      </c>
      <c r="F19" s="22" t="s">
        <v>4110</v>
      </c>
      <c r="G19" s="22" t="s">
        <v>139</v>
      </c>
      <c r="H19" s="22"/>
      <c r="I19" s="22"/>
      <c r="J19" s="22"/>
      <c r="K19" s="22"/>
      <c r="L19" s="25" t="n">
        <f aca="false">IF(A19="","",COUNTIF(Egresados!$S$2:$S$1501,A19))</f>
        <v>1</v>
      </c>
      <c r="M19" s="22"/>
      <c r="N19" s="22"/>
      <c r="O19" s="23"/>
    </row>
    <row r="20" customFormat="false" ht="15" hidden="false" customHeight="false" outlineLevel="0" collapsed="false">
      <c r="A20" s="22" t="s">
        <v>2401</v>
      </c>
      <c r="B20" s="22" t="s">
        <v>4141</v>
      </c>
      <c r="C20" s="22"/>
      <c r="D20" s="22" t="s">
        <v>4112</v>
      </c>
      <c r="E20" s="22" t="s">
        <v>4109</v>
      </c>
      <c r="F20" s="22" t="s">
        <v>4110</v>
      </c>
      <c r="G20" s="22" t="s">
        <v>139</v>
      </c>
      <c r="H20" s="22"/>
      <c r="I20" s="22"/>
      <c r="J20" s="22"/>
      <c r="K20" s="22"/>
      <c r="L20" s="25" t="n">
        <f aca="false">IF(A20="","",COUNTIF(Egresados!$S$2:$S$1501,A20))</f>
        <v>1</v>
      </c>
      <c r="M20" s="22"/>
      <c r="N20" s="22"/>
      <c r="O20" s="23"/>
    </row>
    <row r="21" customFormat="false" ht="15" hidden="false" customHeight="false" outlineLevel="0" collapsed="false">
      <c r="A21" s="22" t="s">
        <v>1551</v>
      </c>
      <c r="B21" s="22" t="s">
        <v>4142</v>
      </c>
      <c r="C21" s="22"/>
      <c r="D21" s="22" t="s">
        <v>4108</v>
      </c>
      <c r="E21" s="22" t="s">
        <v>4109</v>
      </c>
      <c r="F21" s="22" t="s">
        <v>4110</v>
      </c>
      <c r="G21" s="22" t="s">
        <v>139</v>
      </c>
      <c r="H21" s="22"/>
      <c r="I21" s="22"/>
      <c r="J21" s="22"/>
      <c r="K21" s="22"/>
      <c r="L21" s="25" t="n">
        <f aca="false">IF(A21="","",COUNTIF(Egresados!$S$2:$S$1501,A21))</f>
        <v>1</v>
      </c>
      <c r="M21" s="22"/>
      <c r="N21" s="22"/>
      <c r="O21" s="23"/>
    </row>
    <row r="22" customFormat="false" ht="15" hidden="false" customHeight="false" outlineLevel="0" collapsed="false">
      <c r="A22" s="22" t="s">
        <v>872</v>
      </c>
      <c r="B22" s="22" t="s">
        <v>4143</v>
      </c>
      <c r="C22" s="22"/>
      <c r="D22" s="22" t="s">
        <v>4108</v>
      </c>
      <c r="E22" s="22" t="s">
        <v>4109</v>
      </c>
      <c r="F22" s="22" t="s">
        <v>4110</v>
      </c>
      <c r="G22" s="22" t="s">
        <v>139</v>
      </c>
      <c r="H22" s="22"/>
      <c r="I22" s="22"/>
      <c r="J22" s="22"/>
      <c r="K22" s="22"/>
      <c r="L22" s="25" t="n">
        <f aca="false">IF(A22="","",COUNTIF(Egresados!$S$2:$S$1501,A22))</f>
        <v>1</v>
      </c>
      <c r="M22" s="22"/>
      <c r="N22" s="22"/>
      <c r="O22" s="23"/>
    </row>
    <row r="23" customFormat="false" ht="15" hidden="false" customHeight="false" outlineLevel="0" collapsed="false">
      <c r="A23" s="22" t="s">
        <v>279</v>
      </c>
      <c r="B23" s="22" t="s">
        <v>4144</v>
      </c>
      <c r="C23" s="22"/>
      <c r="D23" s="22" t="s">
        <v>4108</v>
      </c>
      <c r="E23" s="22" t="s">
        <v>4109</v>
      </c>
      <c r="F23" s="22" t="s">
        <v>4110</v>
      </c>
      <c r="G23" s="22" t="s">
        <v>139</v>
      </c>
      <c r="H23" s="22"/>
      <c r="I23" s="22"/>
      <c r="J23" s="22"/>
      <c r="K23" s="22"/>
      <c r="L23" s="25" t="n">
        <f aca="false">IF(A23="","",COUNTIF(Egresados!$S$2:$S$1501,A23))</f>
        <v>1</v>
      </c>
      <c r="M23" s="22"/>
      <c r="N23" s="22"/>
      <c r="O23" s="23"/>
    </row>
    <row r="24" customFormat="false" ht="15" hidden="false" customHeight="false" outlineLevel="0" collapsed="false">
      <c r="A24" s="22" t="s">
        <v>351</v>
      </c>
      <c r="B24" s="22" t="s">
        <v>4145</v>
      </c>
      <c r="C24" s="22"/>
      <c r="D24" s="22" t="s">
        <v>4104</v>
      </c>
      <c r="E24" s="22" t="s">
        <v>4118</v>
      </c>
      <c r="F24" s="22" t="s">
        <v>4146</v>
      </c>
      <c r="G24" s="22" t="s">
        <v>4147</v>
      </c>
      <c r="H24" s="22"/>
      <c r="I24" s="22"/>
      <c r="J24" s="22"/>
      <c r="K24" s="22"/>
      <c r="L24" s="25" t="n">
        <f aca="false">IF(A24="","",COUNTIF(Egresados!$S$2:$S$1501,A24))</f>
        <v>1</v>
      </c>
      <c r="M24" s="22"/>
      <c r="N24" s="22"/>
      <c r="O24" s="23"/>
    </row>
    <row r="25" customFormat="false" ht="15" hidden="false" customHeight="false" outlineLevel="0" collapsed="false">
      <c r="A25" s="22" t="s">
        <v>930</v>
      </c>
      <c r="B25" s="22" t="s">
        <v>4148</v>
      </c>
      <c r="C25" s="22"/>
      <c r="D25" s="22" t="s">
        <v>4104</v>
      </c>
      <c r="E25" s="22" t="s">
        <v>4105</v>
      </c>
      <c r="F25" s="22" t="s">
        <v>4149</v>
      </c>
      <c r="G25" s="22" t="s">
        <v>4150</v>
      </c>
      <c r="H25" s="22"/>
      <c r="I25" s="22"/>
      <c r="J25" s="22"/>
      <c r="K25" s="22"/>
      <c r="L25" s="25" t="n">
        <f aca="false">IF(A25="","",COUNTIF(Egresados!$S$2:$S$1501,A25))</f>
        <v>1</v>
      </c>
      <c r="M25" s="22"/>
      <c r="N25" s="22"/>
      <c r="O25" s="23"/>
    </row>
    <row r="26" customFormat="false" ht="15" hidden="false" customHeight="false" outlineLevel="0" collapsed="false">
      <c r="A26" s="22" t="s">
        <v>976</v>
      </c>
      <c r="B26" s="22" t="s">
        <v>4151</v>
      </c>
      <c r="C26" s="22"/>
      <c r="D26" s="22" t="s">
        <v>4104</v>
      </c>
      <c r="E26" s="22" t="s">
        <v>4118</v>
      </c>
      <c r="F26" s="22" t="s">
        <v>4152</v>
      </c>
      <c r="G26" s="22" t="s">
        <v>4150</v>
      </c>
      <c r="H26" s="22"/>
      <c r="I26" s="22"/>
      <c r="J26" s="22"/>
      <c r="K26" s="22"/>
      <c r="L26" s="25" t="n">
        <f aca="false">IF(A26="","",COUNTIF(Egresados!$S$2:$S$1501,A26))</f>
        <v>1</v>
      </c>
      <c r="M26" s="22"/>
      <c r="N26" s="22"/>
      <c r="O26" s="23"/>
    </row>
    <row r="27" customFormat="false" ht="15" hidden="false" customHeight="false" outlineLevel="0" collapsed="false">
      <c r="A27" s="22" t="s">
        <v>849</v>
      </c>
      <c r="B27" s="22" t="s">
        <v>4153</v>
      </c>
      <c r="C27" s="22"/>
      <c r="D27" s="22" t="s">
        <v>4104</v>
      </c>
      <c r="E27" s="22" t="s">
        <v>4105</v>
      </c>
      <c r="F27" s="22" t="s">
        <v>4154</v>
      </c>
      <c r="G27" s="22" t="s">
        <v>4150</v>
      </c>
      <c r="H27" s="22"/>
      <c r="I27" s="22"/>
      <c r="J27" s="22"/>
      <c r="K27" s="22"/>
      <c r="L27" s="25" t="n">
        <f aca="false">IF(A27="","",COUNTIF(Egresados!$S$2:$S$1501,A27))</f>
        <v>1</v>
      </c>
      <c r="M27" s="22"/>
      <c r="N27" s="22"/>
      <c r="O27" s="23"/>
    </row>
    <row r="28" customFormat="false" ht="15" hidden="false" customHeight="false" outlineLevel="0" collapsed="false">
      <c r="A28" s="22" t="s">
        <v>292</v>
      </c>
      <c r="B28" s="22" t="s">
        <v>4155</v>
      </c>
      <c r="C28" s="22"/>
      <c r="D28" s="22" t="s">
        <v>4104</v>
      </c>
      <c r="E28" s="22" t="s">
        <v>4156</v>
      </c>
      <c r="F28" s="22" t="s">
        <v>4157</v>
      </c>
      <c r="G28" s="22" t="s">
        <v>4150</v>
      </c>
      <c r="H28" s="22"/>
      <c r="I28" s="22"/>
      <c r="J28" s="22"/>
      <c r="K28" s="22"/>
      <c r="L28" s="25" t="n">
        <f aca="false">IF(A28="","",COUNTIF(Egresados!$S$2:$S$1501,A28))</f>
        <v>1</v>
      </c>
      <c r="M28" s="22"/>
      <c r="N28" s="22"/>
      <c r="O28" s="23"/>
    </row>
    <row r="29" customFormat="false" ht="15" hidden="false" customHeight="false" outlineLevel="0" collapsed="false">
      <c r="A29" s="22" t="s">
        <v>476</v>
      </c>
      <c r="B29" s="22" t="s">
        <v>4158</v>
      </c>
      <c r="C29" s="22"/>
      <c r="D29" s="22" t="s">
        <v>4104</v>
      </c>
      <c r="E29" s="22" t="s">
        <v>4105</v>
      </c>
      <c r="F29" s="22" t="s">
        <v>4159</v>
      </c>
      <c r="G29" s="22" t="s">
        <v>4160</v>
      </c>
      <c r="H29" s="22"/>
      <c r="I29" s="22"/>
      <c r="J29" s="22"/>
      <c r="K29" s="22"/>
      <c r="L29" s="25" t="n">
        <f aca="false">IF(A29="","",COUNTIF(Egresados!$S$2:$S$1501,A29))</f>
        <v>1</v>
      </c>
      <c r="M29" s="22"/>
      <c r="N29" s="22"/>
      <c r="O29" s="23"/>
    </row>
    <row r="30" customFormat="false" ht="15" hidden="false" customHeight="false" outlineLevel="0" collapsed="false">
      <c r="A30" s="22" t="s">
        <v>424</v>
      </c>
      <c r="B30" s="22" t="s">
        <v>4161</v>
      </c>
      <c r="C30" s="22"/>
      <c r="D30" s="22" t="s">
        <v>4104</v>
      </c>
      <c r="E30" s="22" t="s">
        <v>4105</v>
      </c>
      <c r="F30" s="22" t="s">
        <v>4110</v>
      </c>
      <c r="G30" s="22" t="s">
        <v>4150</v>
      </c>
      <c r="H30" s="22"/>
      <c r="I30" s="22"/>
      <c r="J30" s="22"/>
      <c r="K30" s="22"/>
      <c r="L30" s="25" t="n">
        <f aca="false">IF(A30="","",COUNTIF(Egresados!$S$2:$S$1501,A30))</f>
        <v>1</v>
      </c>
      <c r="M30" s="22"/>
      <c r="N30" s="22"/>
      <c r="O30" s="23"/>
    </row>
    <row r="31" customFormat="false" ht="15" hidden="false" customHeight="false" outlineLevel="0" collapsed="false">
      <c r="A31" s="22" t="s">
        <v>2555</v>
      </c>
      <c r="B31" s="22" t="s">
        <v>4162</v>
      </c>
      <c r="C31" s="22"/>
      <c r="D31" s="22" t="s">
        <v>4108</v>
      </c>
      <c r="E31" s="22" t="s">
        <v>4109</v>
      </c>
      <c r="F31" s="22" t="s">
        <v>4110</v>
      </c>
      <c r="G31" s="22" t="s">
        <v>139</v>
      </c>
      <c r="H31" s="22"/>
      <c r="I31" s="22"/>
      <c r="J31" s="22"/>
      <c r="K31" s="22"/>
      <c r="L31" s="25" t="n">
        <f aca="false">IF(A31="","",COUNTIF(Egresados!$S$2:$S$1501,A31))</f>
        <v>1</v>
      </c>
      <c r="M31" s="22"/>
      <c r="N31" s="22"/>
      <c r="O31" s="23"/>
    </row>
    <row r="32" customFormat="false" ht="15" hidden="false" customHeight="false" outlineLevel="0" collapsed="false">
      <c r="A32" s="22" t="s">
        <v>2495</v>
      </c>
      <c r="B32" s="22" t="s">
        <v>4163</v>
      </c>
      <c r="C32" s="22"/>
      <c r="D32" s="22" t="s">
        <v>4108</v>
      </c>
      <c r="E32" s="22" t="s">
        <v>4109</v>
      </c>
      <c r="F32" s="22" t="s">
        <v>4110</v>
      </c>
      <c r="G32" s="22" t="s">
        <v>2494</v>
      </c>
      <c r="H32" s="22"/>
      <c r="I32" s="22"/>
      <c r="J32" s="22"/>
      <c r="K32" s="22"/>
      <c r="L32" s="25" t="n">
        <f aca="false">IF(A32="","",COUNTIF(Egresados!$S$2:$S$1501,A32))</f>
        <v>1</v>
      </c>
      <c r="M32" s="22"/>
      <c r="N32" s="22"/>
      <c r="O32" s="23"/>
    </row>
    <row r="33" customFormat="false" ht="15" hidden="false" customHeight="false" outlineLevel="0" collapsed="false">
      <c r="A33" s="22" t="s">
        <v>3037</v>
      </c>
      <c r="B33" s="22" t="s">
        <v>4164</v>
      </c>
      <c r="C33" s="22"/>
      <c r="D33" s="22" t="s">
        <v>4121</v>
      </c>
      <c r="E33" s="22" t="s">
        <v>4105</v>
      </c>
      <c r="F33" s="22" t="s">
        <v>4106</v>
      </c>
      <c r="G33" s="22" t="s">
        <v>4122</v>
      </c>
      <c r="H33" s="22"/>
      <c r="I33" s="22"/>
      <c r="J33" s="22"/>
      <c r="K33" s="22"/>
      <c r="L33" s="25" t="n">
        <f aca="false">IF(A33="","",COUNTIF(Egresados!$S$2:$S$1501,A33))</f>
        <v>1</v>
      </c>
      <c r="M33" s="22"/>
      <c r="N33" s="22"/>
      <c r="O33" s="23"/>
    </row>
    <row r="34" customFormat="false" ht="15" hidden="false" customHeight="false" outlineLevel="0" collapsed="false">
      <c r="A34" s="22" t="s">
        <v>2915</v>
      </c>
      <c r="B34" s="22" t="s">
        <v>4165</v>
      </c>
      <c r="C34" s="22"/>
      <c r="D34" s="22" t="s">
        <v>4121</v>
      </c>
      <c r="E34" s="22" t="s">
        <v>4105</v>
      </c>
      <c r="F34" s="22" t="s">
        <v>4110</v>
      </c>
      <c r="G34" s="22" t="s">
        <v>4110</v>
      </c>
      <c r="H34" s="22"/>
      <c r="I34" s="22"/>
      <c r="J34" s="22"/>
      <c r="K34" s="22"/>
      <c r="L34" s="25" t="n">
        <f aca="false">IF(A34="","",COUNTIF(Egresados!$S$2:$S$1501,A34))</f>
        <v>1</v>
      </c>
      <c r="M34" s="22"/>
      <c r="N34" s="22"/>
      <c r="O34" s="23"/>
    </row>
    <row r="35" customFormat="false" ht="15" hidden="false" customHeight="false" outlineLevel="0" collapsed="false">
      <c r="A35" s="22" t="s">
        <v>2346</v>
      </c>
      <c r="B35" s="22" t="s">
        <v>4166</v>
      </c>
      <c r="C35" s="22"/>
      <c r="D35" s="22" t="s">
        <v>4121</v>
      </c>
      <c r="E35" s="22" t="s">
        <v>4105</v>
      </c>
      <c r="F35" s="22" t="s">
        <v>4106</v>
      </c>
      <c r="G35" s="22" t="s">
        <v>4167</v>
      </c>
      <c r="H35" s="22"/>
      <c r="I35" s="22"/>
      <c r="J35" s="22"/>
      <c r="K35" s="22"/>
      <c r="L35" s="25" t="n">
        <f aca="false">IF(A35="","",COUNTIF(Egresados!$S$2:$S$1501,A35))</f>
        <v>1</v>
      </c>
      <c r="M35" s="22"/>
      <c r="N35" s="22"/>
      <c r="O35" s="23"/>
    </row>
    <row r="36" customFormat="false" ht="15" hidden="false" customHeight="false" outlineLevel="0" collapsed="false">
      <c r="A36" s="22" t="s">
        <v>2729</v>
      </c>
      <c r="B36" s="22" t="s">
        <v>4168</v>
      </c>
      <c r="C36" s="22"/>
      <c r="D36" s="22" t="s">
        <v>4121</v>
      </c>
      <c r="E36" s="22" t="s">
        <v>4105</v>
      </c>
      <c r="F36" s="22" t="s">
        <v>4132</v>
      </c>
      <c r="G36" s="22" t="s">
        <v>4169</v>
      </c>
      <c r="H36" s="22"/>
      <c r="I36" s="22"/>
      <c r="J36" s="22"/>
      <c r="K36" s="22"/>
      <c r="L36" s="25" t="n">
        <f aca="false">IF(A36="","",COUNTIF(Egresados!$S$2:$S$1501,A36))</f>
        <v>1</v>
      </c>
      <c r="M36" s="22"/>
      <c r="N36" s="22"/>
      <c r="O36" s="23"/>
    </row>
    <row r="37" customFormat="false" ht="15" hidden="false" customHeight="false" outlineLevel="0" collapsed="false">
      <c r="A37" s="22" t="s">
        <v>2151</v>
      </c>
      <c r="B37" s="22" t="s">
        <v>4170</v>
      </c>
      <c r="C37" s="22"/>
      <c r="D37" s="22" t="s">
        <v>4121</v>
      </c>
      <c r="E37" s="22" t="s">
        <v>4105</v>
      </c>
      <c r="F37" s="22" t="s">
        <v>4110</v>
      </c>
      <c r="G37" s="22" t="s">
        <v>4110</v>
      </c>
      <c r="H37" s="22"/>
      <c r="I37" s="22"/>
      <c r="J37" s="22"/>
      <c r="K37" s="22"/>
      <c r="L37" s="25" t="n">
        <f aca="false">IF(A37="","",COUNTIF(Egresados!$S$2:$S$1501,A37))</f>
        <v>1</v>
      </c>
      <c r="M37" s="22"/>
      <c r="N37" s="22"/>
      <c r="O37" s="23"/>
    </row>
    <row r="38" customFormat="false" ht="15" hidden="false" customHeight="false" outlineLevel="0" collapsed="false">
      <c r="A38" s="22" t="s">
        <v>3181</v>
      </c>
      <c r="B38" s="22" t="s">
        <v>4171</v>
      </c>
      <c r="C38" s="22"/>
      <c r="D38" s="22" t="s">
        <v>4121</v>
      </c>
      <c r="E38" s="22" t="s">
        <v>4105</v>
      </c>
      <c r="F38" s="22" t="s">
        <v>4110</v>
      </c>
      <c r="G38" s="22" t="s">
        <v>4110</v>
      </c>
      <c r="H38" s="22"/>
      <c r="I38" s="22"/>
      <c r="J38" s="22"/>
      <c r="K38" s="22"/>
      <c r="L38" s="25" t="n">
        <f aca="false">IF(A38="","",COUNTIF(Egresados!$S$2:$S$1501,A38))</f>
        <v>1</v>
      </c>
      <c r="M38" s="22"/>
      <c r="N38" s="22"/>
      <c r="O38" s="23"/>
    </row>
    <row r="39" customFormat="false" ht="15" hidden="false" customHeight="false" outlineLevel="0" collapsed="false">
      <c r="A39" s="22" t="s">
        <v>2484</v>
      </c>
      <c r="B39" s="22" t="s">
        <v>4172</v>
      </c>
      <c r="C39" s="22"/>
      <c r="D39" s="22" t="s">
        <v>4121</v>
      </c>
      <c r="E39" s="22" t="s">
        <v>4105</v>
      </c>
      <c r="F39" s="22" t="s">
        <v>4132</v>
      </c>
      <c r="G39" s="22" t="s">
        <v>2482</v>
      </c>
      <c r="H39" s="22"/>
      <c r="I39" s="22"/>
      <c r="J39" s="22"/>
      <c r="K39" s="22"/>
      <c r="L39" s="25" t="n">
        <f aca="false">IF(A39="","",COUNTIF(Egresados!$S$2:$S$1501,A39))</f>
        <v>1</v>
      </c>
      <c r="M39" s="22"/>
      <c r="N39" s="22"/>
      <c r="O39" s="23"/>
    </row>
    <row r="40" customFormat="false" ht="15" hidden="false" customHeight="false" outlineLevel="0" collapsed="false">
      <c r="A40" s="22" t="s">
        <v>3291</v>
      </c>
      <c r="B40" s="22" t="s">
        <v>4173</v>
      </c>
      <c r="C40" s="22"/>
      <c r="D40" s="22" t="s">
        <v>4121</v>
      </c>
      <c r="E40" s="22" t="s">
        <v>4105</v>
      </c>
      <c r="F40" s="22" t="s">
        <v>4132</v>
      </c>
      <c r="G40" s="22" t="s">
        <v>4174</v>
      </c>
      <c r="H40" s="22"/>
      <c r="I40" s="22"/>
      <c r="J40" s="22"/>
      <c r="K40" s="22"/>
      <c r="L40" s="25" t="n">
        <f aca="false">IF(A40="","",COUNTIF(Egresados!$S$2:$S$1501,A40))</f>
        <v>1</v>
      </c>
      <c r="M40" s="22"/>
      <c r="N40" s="22"/>
      <c r="O40" s="23"/>
    </row>
    <row r="41" customFormat="false" ht="15" hidden="false" customHeight="false" outlineLevel="0" collapsed="false">
      <c r="A41" s="22" t="s">
        <v>2364</v>
      </c>
      <c r="B41" s="22" t="s">
        <v>4175</v>
      </c>
      <c r="C41" s="22"/>
      <c r="D41" s="22" t="s">
        <v>4121</v>
      </c>
      <c r="E41" s="22" t="s">
        <v>4105</v>
      </c>
      <c r="F41" s="22" t="s">
        <v>4110</v>
      </c>
      <c r="G41" s="22" t="s">
        <v>4110</v>
      </c>
      <c r="H41" s="22"/>
      <c r="I41" s="22"/>
      <c r="J41" s="22"/>
      <c r="K41" s="22"/>
      <c r="L41" s="25" t="n">
        <f aca="false">IF(A41="","",COUNTIF(Egresados!$S$2:$S$1501,A41))</f>
        <v>1</v>
      </c>
      <c r="M41" s="22"/>
      <c r="N41" s="22"/>
      <c r="O41" s="23"/>
    </row>
    <row r="42" customFormat="false" ht="15" hidden="false" customHeight="false" outlineLevel="0" collapsed="false">
      <c r="A42" s="22" t="s">
        <v>2263</v>
      </c>
      <c r="B42" s="22" t="s">
        <v>4176</v>
      </c>
      <c r="C42" s="22"/>
      <c r="D42" s="22" t="s">
        <v>4121</v>
      </c>
      <c r="E42" s="22" t="s">
        <v>4105</v>
      </c>
      <c r="F42" s="22" t="s">
        <v>4177</v>
      </c>
      <c r="G42" s="22" t="s">
        <v>4178</v>
      </c>
      <c r="H42" s="22"/>
      <c r="I42" s="22"/>
      <c r="J42" s="22"/>
      <c r="K42" s="22"/>
      <c r="L42" s="25" t="n">
        <f aca="false">IF(A42="","",COUNTIF(Egresados!$S$2:$S$1501,A42))</f>
        <v>1</v>
      </c>
      <c r="M42" s="22"/>
      <c r="N42" s="22"/>
      <c r="O42" s="23"/>
    </row>
    <row r="43" customFormat="false" ht="15" hidden="false" customHeight="false" outlineLevel="0" collapsed="false">
      <c r="A43" s="22" t="s">
        <v>2233</v>
      </c>
      <c r="B43" s="22" t="s">
        <v>4179</v>
      </c>
      <c r="C43" s="22"/>
      <c r="D43" s="22" t="s">
        <v>4112</v>
      </c>
      <c r="E43" s="22" t="s">
        <v>4109</v>
      </c>
      <c r="F43" s="22" t="s">
        <v>4110</v>
      </c>
      <c r="G43" s="22" t="s">
        <v>139</v>
      </c>
      <c r="H43" s="22"/>
      <c r="I43" s="22"/>
      <c r="J43" s="22"/>
      <c r="K43" s="22"/>
      <c r="L43" s="25" t="n">
        <f aca="false">IF(A43="","",COUNTIF(Egresados!$S$2:$S$1501,A43))</f>
        <v>1</v>
      </c>
      <c r="M43" s="22"/>
      <c r="N43" s="22"/>
      <c r="O43" s="23"/>
    </row>
    <row r="44" customFormat="false" ht="15" hidden="false" customHeight="false" outlineLevel="0" collapsed="false">
      <c r="A44" s="22" t="s">
        <v>827</v>
      </c>
      <c r="B44" s="22" t="s">
        <v>4180</v>
      </c>
      <c r="C44" s="22"/>
      <c r="D44" s="22" t="s">
        <v>4112</v>
      </c>
      <c r="E44" s="22" t="s">
        <v>4109</v>
      </c>
      <c r="F44" s="22" t="s">
        <v>4110</v>
      </c>
      <c r="G44" s="22" t="s">
        <v>139</v>
      </c>
      <c r="H44" s="22"/>
      <c r="I44" s="22"/>
      <c r="J44" s="22"/>
      <c r="K44" s="22"/>
      <c r="L44" s="25" t="n">
        <f aca="false">IF(A44="","",COUNTIF(Egresados!$S$2:$S$1501,A44))</f>
        <v>1</v>
      </c>
      <c r="M44" s="22"/>
      <c r="N44" s="22"/>
      <c r="O44" s="23"/>
    </row>
    <row r="45" customFormat="false" ht="15" hidden="false" customHeight="false" outlineLevel="0" collapsed="false">
      <c r="A45" s="22" t="s">
        <v>1696</v>
      </c>
      <c r="B45" s="22" t="s">
        <v>4181</v>
      </c>
      <c r="C45" s="22"/>
      <c r="D45" s="22" t="s">
        <v>4182</v>
      </c>
      <c r="E45" s="22" t="s">
        <v>4118</v>
      </c>
      <c r="F45" s="22" t="s">
        <v>4119</v>
      </c>
      <c r="G45" s="22" t="s">
        <v>139</v>
      </c>
      <c r="H45" s="22"/>
      <c r="I45" s="22"/>
      <c r="J45" s="22"/>
      <c r="K45" s="22"/>
      <c r="L45" s="25" t="n">
        <f aca="false">IF(A45="","",COUNTIF(Egresados!$S$2:$S$1501,A45))</f>
        <v>1</v>
      </c>
      <c r="M45" s="22"/>
      <c r="N45" s="22"/>
      <c r="O45" s="23"/>
    </row>
    <row r="46" customFormat="false" ht="15" hidden="false" customHeight="false" outlineLevel="0" collapsed="false">
      <c r="A46" s="22" t="s">
        <v>714</v>
      </c>
      <c r="B46" s="22" t="s">
        <v>4183</v>
      </c>
      <c r="C46" s="22"/>
      <c r="D46" s="22" t="s">
        <v>4112</v>
      </c>
      <c r="E46" s="22" t="s">
        <v>4105</v>
      </c>
      <c r="F46" s="22" t="s">
        <v>4106</v>
      </c>
      <c r="G46" s="22" t="s">
        <v>139</v>
      </c>
      <c r="H46" s="22"/>
      <c r="I46" s="22"/>
      <c r="J46" s="22"/>
      <c r="K46" s="22"/>
      <c r="L46" s="25" t="n">
        <f aca="false">IF(A46="","",COUNTIF(Egresados!$S$2:$S$1501,A46))</f>
        <v>1</v>
      </c>
      <c r="M46" s="22"/>
      <c r="N46" s="22"/>
      <c r="O46" s="23"/>
    </row>
    <row r="47" customFormat="false" ht="15" hidden="false" customHeight="false" outlineLevel="0" collapsed="false">
      <c r="A47" s="22" t="s">
        <v>948</v>
      </c>
      <c r="B47" s="22" t="s">
        <v>4184</v>
      </c>
      <c r="C47" s="22"/>
      <c r="D47" s="22" t="s">
        <v>4112</v>
      </c>
      <c r="E47" s="22" t="s">
        <v>4112</v>
      </c>
      <c r="F47" s="22" t="s">
        <v>4110</v>
      </c>
      <c r="G47" s="22" t="s">
        <v>4110</v>
      </c>
      <c r="H47" s="22"/>
      <c r="I47" s="22"/>
      <c r="J47" s="22"/>
      <c r="K47" s="22"/>
      <c r="L47" s="25" t="n">
        <f aca="false">IF(A47="","",COUNTIF(Egresados!$S$2:$S$1501,A47))</f>
        <v>1</v>
      </c>
      <c r="M47" s="22"/>
      <c r="N47" s="22"/>
      <c r="O47" s="23"/>
    </row>
    <row r="48" customFormat="false" ht="15" hidden="false" customHeight="false" outlineLevel="0" collapsed="false">
      <c r="A48" s="22" t="s">
        <v>2420</v>
      </c>
      <c r="B48" s="22" t="s">
        <v>4185</v>
      </c>
      <c r="C48" s="22"/>
      <c r="D48" s="22" t="s">
        <v>4121</v>
      </c>
      <c r="E48" s="22" t="s">
        <v>4156</v>
      </c>
      <c r="F48" s="22" t="s">
        <v>4157</v>
      </c>
      <c r="G48" s="22" t="s">
        <v>4186</v>
      </c>
      <c r="H48" s="22"/>
      <c r="I48" s="22"/>
      <c r="J48" s="22"/>
      <c r="K48" s="22"/>
      <c r="L48" s="25" t="n">
        <f aca="false">IF(A48="","",COUNTIF(Egresados!$S$2:$S$1501,A48))</f>
        <v>1</v>
      </c>
      <c r="M48" s="22"/>
      <c r="N48" s="22"/>
      <c r="O48" s="23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5" t="str">
        <f aca="false">IF(A49="","",COUNTIF(Egresados!$S$2:$S$1501,A49))</f>
        <v/>
      </c>
      <c r="M49" s="22"/>
      <c r="N49" s="22"/>
      <c r="O49" s="23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5" t="str">
        <f aca="false">IF(A50="","",COUNTIF(Egresados!$S$2:$S$1501,A50))</f>
        <v/>
      </c>
      <c r="M50" s="22"/>
      <c r="N50" s="22"/>
      <c r="O50" s="23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5" t="str">
        <f aca="false">IF(A51="","",COUNTIF(Egresados!$S$2:$S$1501,A51))</f>
        <v/>
      </c>
      <c r="M51" s="22"/>
      <c r="N51" s="22"/>
      <c r="O51" s="23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5" t="str">
        <f aca="false">IF(A52="","",COUNTIF(Egresados!$S$2:$S$1501,A52))</f>
        <v/>
      </c>
      <c r="M52" s="22"/>
      <c r="N52" s="22"/>
      <c r="O52" s="23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5" t="str">
        <f aca="false">IF(A53="","",COUNTIF(Egresados!$S$2:$S$1501,A53))</f>
        <v/>
      </c>
      <c r="M53" s="22"/>
      <c r="N53" s="22"/>
      <c r="O53" s="23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5" t="str">
        <f aca="false">IF(A54="","",COUNTIF(Egresados!$S$2:$S$1501,A54))</f>
        <v/>
      </c>
      <c r="M54" s="22"/>
      <c r="N54" s="22"/>
      <c r="O54" s="23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5" t="str">
        <f aca="false">IF(A55="","",COUNTIF(Egresados!$S$2:$S$1501,A55))</f>
        <v/>
      </c>
      <c r="M55" s="22"/>
      <c r="N55" s="22"/>
      <c r="O55" s="23"/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5" t="str">
        <f aca="false">IF(A56="","",COUNTIF(Egresados!$S$2:$S$1501,A56))</f>
        <v/>
      </c>
      <c r="M56" s="22"/>
      <c r="N56" s="22"/>
      <c r="O56" s="23"/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5" t="str">
        <f aca="false">IF(A57="","",COUNTIF(Egresados!$S$2:$S$1501,A57))</f>
        <v/>
      </c>
      <c r="M57" s="22"/>
      <c r="N57" s="22"/>
      <c r="O57" s="23"/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5" t="str">
        <f aca="false">IF(A58="","",COUNTIF(Egresados!$S$2:$S$1501,A58))</f>
        <v/>
      </c>
      <c r="M58" s="22"/>
      <c r="N58" s="22"/>
      <c r="O58" s="23"/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5" t="str">
        <f aca="false">IF(A59="","",COUNTIF(Egresados!$S$2:$S$1501,A59))</f>
        <v/>
      </c>
      <c r="M59" s="22"/>
      <c r="N59" s="22"/>
      <c r="O59" s="23"/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5" t="str">
        <f aca="false">IF(A60="","",COUNTIF(Egresados!$S$2:$S$1501,A60))</f>
        <v/>
      </c>
      <c r="M60" s="22"/>
      <c r="N60" s="22"/>
      <c r="O60" s="23"/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5" t="str">
        <f aca="false">IF(A61="","",COUNTIF(Egresados!$S$2:$S$1501,A61))</f>
        <v/>
      </c>
      <c r="M61" s="22"/>
      <c r="N61" s="22"/>
      <c r="O61" s="23"/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5" t="str">
        <f aca="false">IF(A62="","",COUNTIF(Egresados!$S$2:$S$1501,A62))</f>
        <v/>
      </c>
      <c r="M62" s="22"/>
      <c r="N62" s="22"/>
      <c r="O62" s="23"/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5" t="str">
        <f aca="false">IF(A63="","",COUNTIF(Egresados!$S$2:$S$1501,A63))</f>
        <v/>
      </c>
      <c r="M63" s="22"/>
      <c r="N63" s="22"/>
      <c r="O63" s="23"/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5" t="str">
        <f aca="false">IF(A64="","",COUNTIF(Egresados!$S$2:$S$1501,A64))</f>
        <v/>
      </c>
      <c r="M64" s="22"/>
      <c r="N64" s="22"/>
      <c r="O64" s="23"/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5" t="str">
        <f aca="false">IF(A65="","",COUNTIF(Egresados!$S$2:$S$1501,A65))</f>
        <v/>
      </c>
      <c r="M65" s="22"/>
      <c r="N65" s="22"/>
      <c r="O65" s="23"/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5" t="str">
        <f aca="false">IF(A66="","",COUNTIF(Egresados!$S$2:$S$1501,A66))</f>
        <v/>
      </c>
      <c r="M66" s="22"/>
      <c r="N66" s="22"/>
      <c r="O66" s="23"/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5" t="str">
        <f aca="false">IF(A67="","",COUNTIF(Egresados!$S$2:$S$1501,A67))</f>
        <v/>
      </c>
      <c r="M67" s="22"/>
      <c r="N67" s="22"/>
      <c r="O67" s="23"/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5" t="str">
        <f aca="false">IF(A68="","",COUNTIF(Egresados!$S$2:$S$1501,A68))</f>
        <v/>
      </c>
      <c r="M68" s="22"/>
      <c r="N68" s="22"/>
      <c r="O68" s="23"/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5" t="str">
        <f aca="false">IF(A69="","",COUNTIF(Egresados!$S$2:$S$1501,A69))</f>
        <v/>
      </c>
      <c r="M69" s="22"/>
      <c r="N69" s="22"/>
      <c r="O69" s="23"/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5" t="str">
        <f aca="false">IF(A70="","",COUNTIF(Egresados!$S$2:$S$1501,A70))</f>
        <v/>
      </c>
      <c r="M70" s="22"/>
      <c r="N70" s="22"/>
      <c r="O70" s="23"/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5" t="str">
        <f aca="false">IF(A71="","",COUNTIF(Egresados!$S$2:$S$1501,A71))</f>
        <v/>
      </c>
      <c r="M71" s="22"/>
      <c r="N71" s="22"/>
      <c r="O71" s="23"/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5" t="str">
        <f aca="false">IF(A72="","",COUNTIF(Egresados!$S$2:$S$1501,A72))</f>
        <v/>
      </c>
      <c r="M72" s="22"/>
      <c r="N72" s="22"/>
      <c r="O72" s="23"/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5" t="str">
        <f aca="false">IF(A73="","",COUNTIF(Egresados!$S$2:$S$1501,A73))</f>
        <v/>
      </c>
      <c r="M73" s="22"/>
      <c r="N73" s="22"/>
      <c r="O73" s="23"/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5" t="str">
        <f aca="false">IF(A74="","",COUNTIF(Egresados!$S$2:$S$1501,A74))</f>
        <v/>
      </c>
      <c r="M74" s="22"/>
      <c r="N74" s="22"/>
      <c r="O74" s="23"/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5" t="str">
        <f aca="false">IF(A75="","",COUNTIF(Egresados!$S$2:$S$1501,A75))</f>
        <v/>
      </c>
      <c r="M75" s="22"/>
      <c r="N75" s="22"/>
      <c r="O75" s="23"/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5" t="str">
        <f aca="false">IF(A76="","",COUNTIF(Egresados!$S$2:$S$1501,A76))</f>
        <v/>
      </c>
      <c r="M76" s="22"/>
      <c r="N76" s="22"/>
      <c r="O76" s="23"/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5" t="str">
        <f aca="false">IF(A77="","",COUNTIF(Egresados!$S$2:$S$1501,A77))</f>
        <v/>
      </c>
      <c r="M77" s="22"/>
      <c r="N77" s="22"/>
      <c r="O77" s="23"/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5" t="str">
        <f aca="false">IF(A78="","",COUNTIF(Egresados!$S$2:$S$1501,A78))</f>
        <v/>
      </c>
      <c r="M78" s="22"/>
      <c r="N78" s="22"/>
      <c r="O78" s="23"/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5" t="str">
        <f aca="false">IF(A79="","",COUNTIF(Egresados!$S$2:$S$1501,A79))</f>
        <v/>
      </c>
      <c r="M79" s="22"/>
      <c r="N79" s="22"/>
      <c r="O79" s="23"/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5" t="str">
        <f aca="false">IF(A80="","",COUNTIF(Egresados!$S$2:$S$1501,A80))</f>
        <v/>
      </c>
      <c r="M80" s="22"/>
      <c r="N80" s="22"/>
      <c r="O80" s="23"/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5" t="str">
        <f aca="false">IF(A81="","",COUNTIF(Egresados!$S$2:$S$1501,A81))</f>
        <v/>
      </c>
      <c r="M81" s="22"/>
      <c r="N81" s="22"/>
      <c r="O81" s="23"/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5" t="str">
        <f aca="false">IF(A82="","",COUNTIF(Egresados!$S$2:$S$1501,A82))</f>
        <v/>
      </c>
      <c r="M82" s="22"/>
      <c r="N82" s="22"/>
      <c r="O82" s="23"/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5" t="str">
        <f aca="false">IF(A83="","",COUNTIF(Egresados!$S$2:$S$1501,A83))</f>
        <v/>
      </c>
      <c r="M83" s="22"/>
      <c r="N83" s="22"/>
      <c r="O83" s="23"/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5" t="str">
        <f aca="false">IF(A84="","",COUNTIF(Egresados!$S$2:$S$1501,A84))</f>
        <v/>
      </c>
      <c r="M84" s="22"/>
      <c r="N84" s="22"/>
      <c r="O84" s="23"/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5" t="str">
        <f aca="false">IF(A85="","",COUNTIF(Egresados!$S$2:$S$1501,A85))</f>
        <v/>
      </c>
      <c r="M85" s="22"/>
      <c r="N85" s="22"/>
      <c r="O85" s="23"/>
    </row>
    <row r="86" customFormat="false" ht="15" hidden="false" customHeight="fals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5" t="str">
        <f aca="false">IF(A86="","",COUNTIF(Egresados!$S$2:$S$1501,A86))</f>
        <v/>
      </c>
      <c r="M86" s="22"/>
      <c r="N86" s="22"/>
      <c r="O86" s="23"/>
    </row>
    <row r="87" customFormat="false" ht="15" hidden="false" customHeight="fals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5" t="str">
        <f aca="false">IF(A87="","",COUNTIF(Egresados!$S$2:$S$1501,A87))</f>
        <v/>
      </c>
      <c r="M87" s="22"/>
      <c r="N87" s="22"/>
      <c r="O87" s="23"/>
    </row>
    <row r="88" customFormat="false" ht="15" hidden="false" customHeight="fals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5" t="str">
        <f aca="false">IF(A88="","",COUNTIF(Egresados!$S$2:$S$1501,A88))</f>
        <v/>
      </c>
      <c r="M88" s="22"/>
      <c r="N88" s="22"/>
      <c r="O88" s="23"/>
    </row>
    <row r="89" customFormat="false" ht="15" hidden="false" customHeight="fals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5" t="str">
        <f aca="false">IF(A89="","",COUNTIF(Egresados!$S$2:$S$1501,A89))</f>
        <v/>
      </c>
      <c r="M89" s="22"/>
      <c r="N89" s="22"/>
      <c r="O89" s="23"/>
    </row>
    <row r="90" customFormat="false" ht="15" hidden="false" customHeight="fals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5" t="str">
        <f aca="false">IF(A90="","",COUNTIF(Egresados!$S$2:$S$1501,A90))</f>
        <v/>
      </c>
      <c r="M90" s="22"/>
      <c r="N90" s="22"/>
      <c r="O90" s="23"/>
    </row>
    <row r="91" customFormat="false" ht="15" hidden="false" customHeight="fals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5" t="str">
        <f aca="false">IF(A91="","",COUNTIF(Egresados!$S$2:$S$1501,A91))</f>
        <v/>
      </c>
      <c r="M91" s="22"/>
      <c r="N91" s="22"/>
      <c r="O91" s="23"/>
    </row>
    <row r="92" customFormat="false" ht="15" hidden="false" customHeight="fals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5" t="str">
        <f aca="false">IF(A92="","",COUNTIF(Egresados!$S$2:$S$1501,A92))</f>
        <v/>
      </c>
      <c r="M92" s="22"/>
      <c r="N92" s="22"/>
      <c r="O92" s="23"/>
    </row>
    <row r="93" customFormat="false" ht="15" hidden="false" customHeight="fals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5" t="str">
        <f aca="false">IF(A93="","",COUNTIF(Egresados!$S$2:$S$1501,A93))</f>
        <v/>
      </c>
      <c r="M93" s="22"/>
      <c r="N93" s="22"/>
      <c r="O93" s="23"/>
    </row>
    <row r="94" customFormat="false" ht="15" hidden="false" customHeight="fals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5" t="str">
        <f aca="false">IF(A94="","",COUNTIF(Egresados!$S$2:$S$1501,A94))</f>
        <v/>
      </c>
      <c r="M94" s="22"/>
      <c r="N94" s="22"/>
      <c r="O94" s="23"/>
    </row>
    <row r="95" customFormat="false" ht="15" hidden="false" customHeight="fals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5" t="str">
        <f aca="false">IF(A95="","",COUNTIF(Egresados!$S$2:$S$1501,A95))</f>
        <v/>
      </c>
      <c r="M95" s="22"/>
      <c r="N95" s="22"/>
      <c r="O95" s="23"/>
    </row>
    <row r="96" customFormat="false" ht="15" hidden="false" customHeight="fals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5" t="str">
        <f aca="false">IF(A96="","",COUNTIF(Egresados!$S$2:$S$1501,A96))</f>
        <v/>
      </c>
      <c r="M96" s="22"/>
      <c r="N96" s="22"/>
      <c r="O96" s="23"/>
    </row>
    <row r="97" customFormat="false" ht="15" hidden="false" customHeight="fals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5" t="str">
        <f aca="false">IF(A97="","",COUNTIF(Egresados!$S$2:$S$1501,A97))</f>
        <v/>
      </c>
      <c r="M97" s="22"/>
      <c r="N97" s="22"/>
      <c r="O97" s="23"/>
    </row>
    <row r="98" customFormat="false" ht="15" hidden="false" customHeight="fals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5" t="str">
        <f aca="false">IF(A98="","",COUNTIF(Egresados!$S$2:$S$1501,A98))</f>
        <v/>
      </c>
      <c r="M98" s="22"/>
      <c r="N98" s="22"/>
      <c r="O98" s="23"/>
    </row>
    <row r="99" customFormat="false" ht="15" hidden="false" customHeight="fals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5" t="str">
        <f aca="false">IF(A99="","",COUNTIF(Egresados!$S$2:$S$1501,A99))</f>
        <v/>
      </c>
      <c r="M99" s="22"/>
      <c r="N99" s="22"/>
      <c r="O99" s="23"/>
    </row>
    <row r="100" customFormat="false" ht="15" hidden="false" customHeight="fals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5" t="str">
        <f aca="false">IF(A100="","",COUNTIF(Egresados!$S$2:$S$1501,A100))</f>
        <v/>
      </c>
      <c r="M100" s="22"/>
      <c r="N100" s="22"/>
      <c r="O100" s="23"/>
    </row>
    <row r="101" customFormat="false" ht="15" hidden="false" customHeight="fals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5" t="str">
        <f aca="false">IF(A101="","",COUNTIF(Egresados!$S$2:$S$1501,A101))</f>
        <v/>
      </c>
      <c r="M101" s="22"/>
      <c r="N101" s="22"/>
      <c r="O101" s="23"/>
    </row>
    <row r="102" customFormat="false" ht="15" hidden="false" customHeight="fals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5" t="str">
        <f aca="false">IF(A102="","",COUNTIF(Egresados!$S$2:$S$1501,A102))</f>
        <v/>
      </c>
      <c r="M102" s="22"/>
      <c r="N102" s="22"/>
      <c r="O102" s="23"/>
    </row>
    <row r="103" customFormat="false" ht="15" hidden="false" customHeight="fals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5" t="str">
        <f aca="false">IF(A103="","",COUNTIF(Egresados!$S$2:$S$1501,A103))</f>
        <v/>
      </c>
      <c r="M103" s="22"/>
      <c r="N103" s="22"/>
      <c r="O103" s="23"/>
    </row>
    <row r="104" customFormat="false" ht="15" hidden="false" customHeight="fals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5" t="str">
        <f aca="false">IF(A104="","",COUNTIF(Egresados!$S$2:$S$1501,A104))</f>
        <v/>
      </c>
      <c r="M104" s="22"/>
      <c r="N104" s="22"/>
      <c r="O104" s="23"/>
    </row>
    <row r="105" customFormat="false" ht="15" hidden="false" customHeight="fals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5" t="str">
        <f aca="false">IF(A105="","",COUNTIF(Egresados!$S$2:$S$1501,A105))</f>
        <v/>
      </c>
      <c r="M105" s="22"/>
      <c r="N105" s="22"/>
      <c r="O105" s="23"/>
    </row>
    <row r="106" customFormat="false" ht="15" hidden="false" customHeight="fals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5" t="str">
        <f aca="false">IF(A106="","",COUNTIF(Egresados!$S$2:$S$1501,A106))</f>
        <v/>
      </c>
      <c r="M106" s="22"/>
      <c r="N106" s="22"/>
      <c r="O106" s="23"/>
    </row>
    <row r="107" customFormat="false" ht="15" hidden="false" customHeight="fals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5" t="str">
        <f aca="false">IF(A107="","",COUNTIF(Egresados!$S$2:$S$1501,A107))</f>
        <v/>
      </c>
      <c r="M107" s="22"/>
      <c r="N107" s="22"/>
      <c r="O107" s="23"/>
    </row>
    <row r="108" customFormat="false" ht="15" hidden="false" customHeight="fals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5" t="str">
        <f aca="false">IF(A108="","",COUNTIF(Egresados!$S$2:$S$1501,A108))</f>
        <v/>
      </c>
      <c r="M108" s="22"/>
      <c r="N108" s="22"/>
      <c r="O108" s="23"/>
    </row>
    <row r="109" customFormat="false" ht="15" hidden="false" customHeight="fals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5" t="str">
        <f aca="false">IF(A109="","",COUNTIF(Egresados!$S$2:$S$1501,A109))</f>
        <v/>
      </c>
      <c r="M109" s="22"/>
      <c r="N109" s="22"/>
      <c r="O109" s="23"/>
    </row>
    <row r="110" customFormat="false" ht="15" hidden="false" customHeight="fals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5" t="str">
        <f aca="false">IF(A110="","",COUNTIF(Egresados!$S$2:$S$1501,A110))</f>
        <v/>
      </c>
      <c r="M110" s="22"/>
      <c r="N110" s="22"/>
      <c r="O110" s="23"/>
    </row>
    <row r="111" customFormat="false" ht="15" hidden="false" customHeight="fals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5" t="str">
        <f aca="false">IF(A111="","",COUNTIF(Egresados!$S$2:$S$1501,A111))</f>
        <v/>
      </c>
      <c r="M111" s="22"/>
      <c r="N111" s="22"/>
      <c r="O111" s="23"/>
    </row>
    <row r="112" customFormat="false" ht="15" hidden="false" customHeight="fals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5" t="str">
        <f aca="false">IF(A112="","",COUNTIF(Egresados!$S$2:$S$1501,A112))</f>
        <v/>
      </c>
      <c r="M112" s="22"/>
      <c r="N112" s="22"/>
      <c r="O112" s="23"/>
    </row>
    <row r="113" customFormat="false" ht="15" hidden="false" customHeight="fals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5" t="str">
        <f aca="false">IF(A113="","",COUNTIF(Egresados!$S$2:$S$1501,A113))</f>
        <v/>
      </c>
      <c r="M113" s="22"/>
      <c r="N113" s="22"/>
      <c r="O113" s="23"/>
    </row>
    <row r="114" customFormat="false" ht="15" hidden="false" customHeight="fals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5" t="str">
        <f aca="false">IF(A114="","",COUNTIF(Egresados!$S$2:$S$1501,A114))</f>
        <v/>
      </c>
      <c r="M114" s="22"/>
      <c r="N114" s="22"/>
      <c r="O114" s="23"/>
    </row>
    <row r="115" customFormat="false" ht="15" hidden="false" customHeight="fals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5" t="str">
        <f aca="false">IF(A115="","",COUNTIF(Egresados!$S$2:$S$1501,A115))</f>
        <v/>
      </c>
      <c r="M115" s="22"/>
      <c r="N115" s="22"/>
      <c r="O115" s="23"/>
    </row>
    <row r="116" customFormat="false" ht="1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5" t="str">
        <f aca="false">IF(A116="","",COUNTIF(Egresados!$S$2:$S$1501,A116))</f>
        <v/>
      </c>
      <c r="M116" s="22"/>
      <c r="N116" s="22"/>
      <c r="O116" s="23"/>
    </row>
    <row r="117" customFormat="false" ht="1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5" t="str">
        <f aca="false">IF(A117="","",COUNTIF(Egresados!$S$2:$S$1501,A117))</f>
        <v/>
      </c>
      <c r="M117" s="22"/>
      <c r="N117" s="22"/>
      <c r="O117" s="23"/>
    </row>
    <row r="118" customFormat="false" ht="1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5" t="str">
        <f aca="false">IF(A118="","",COUNTIF(Egresados!$S$2:$S$1501,A118))</f>
        <v/>
      </c>
      <c r="M118" s="22"/>
      <c r="N118" s="22"/>
      <c r="O118" s="23"/>
    </row>
    <row r="119" customFormat="false" ht="1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5" t="str">
        <f aca="false">IF(A119="","",COUNTIF(Egresados!$S$2:$S$1501,A119))</f>
        <v/>
      </c>
      <c r="M119" s="22"/>
      <c r="N119" s="22"/>
      <c r="O119" s="23"/>
    </row>
    <row r="120" customFormat="false" ht="1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5" t="str">
        <f aca="false">IF(A120="","",COUNTIF(Egresados!$S$2:$S$1501,A120))</f>
        <v/>
      </c>
      <c r="M120" s="22"/>
      <c r="N120" s="22"/>
      <c r="O120" s="23"/>
    </row>
    <row r="121" customFormat="false" ht="1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5" t="str">
        <f aca="false">IF(A121="","",COUNTIF(Egresados!$S$2:$S$1501,A121))</f>
        <v/>
      </c>
      <c r="M121" s="22"/>
      <c r="N121" s="22"/>
      <c r="O121" s="23"/>
    </row>
    <row r="122" customFormat="false" ht="1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5" t="str">
        <f aca="false">IF(A122="","",COUNTIF(Egresados!$S$2:$S$1501,A122))</f>
        <v/>
      </c>
      <c r="M122" s="22"/>
      <c r="N122" s="22"/>
      <c r="O122" s="23"/>
    </row>
    <row r="123" customFormat="false" ht="1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5" t="str">
        <f aca="false">IF(A123="","",COUNTIF(Egresados!$S$2:$S$1501,A123))</f>
        <v/>
      </c>
      <c r="M123" s="22"/>
      <c r="N123" s="22"/>
      <c r="O123" s="23"/>
    </row>
    <row r="124" customFormat="false" ht="1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5" t="str">
        <f aca="false">IF(A124="","",COUNTIF(Egresados!$S$2:$S$1501,A124))</f>
        <v/>
      </c>
      <c r="M124" s="22"/>
      <c r="N124" s="22"/>
      <c r="O124" s="23"/>
    </row>
    <row r="125" customFormat="false" ht="1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5" t="str">
        <f aca="false">IF(A125="","",COUNTIF(Egresados!$S$2:$S$1501,A125))</f>
        <v/>
      </c>
      <c r="M125" s="22"/>
      <c r="N125" s="22"/>
      <c r="O125" s="23"/>
    </row>
    <row r="126" customFormat="false" ht="1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5" t="str">
        <f aca="false">IF(A126="","",COUNTIF(Egresados!$S$2:$S$1501,A126))</f>
        <v/>
      </c>
      <c r="M126" s="22"/>
      <c r="N126" s="22"/>
      <c r="O126" s="23"/>
    </row>
    <row r="127" customFormat="false" ht="1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5" t="str">
        <f aca="false">IF(A127="","",COUNTIF(Egresados!$S$2:$S$1501,A127))</f>
        <v/>
      </c>
      <c r="M127" s="22"/>
      <c r="N127" s="22"/>
      <c r="O127" s="23"/>
    </row>
    <row r="128" customFormat="false" ht="1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5" t="str">
        <f aca="false">IF(A128="","",COUNTIF(Egresados!$S$2:$S$1501,A128))</f>
        <v/>
      </c>
      <c r="M128" s="22"/>
      <c r="N128" s="22"/>
      <c r="O128" s="23"/>
    </row>
    <row r="129" customFormat="false" ht="1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5" t="str">
        <f aca="false">IF(A129="","",COUNTIF(Egresados!$S$2:$S$1501,A129))</f>
        <v/>
      </c>
      <c r="M129" s="22"/>
      <c r="N129" s="22"/>
      <c r="O129" s="23"/>
    </row>
    <row r="130" customFormat="false" ht="1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5" t="str">
        <f aca="false">IF(A130="","",COUNTIF(Egresados!$S$2:$S$1501,A130))</f>
        <v/>
      </c>
      <c r="M130" s="22"/>
      <c r="N130" s="22"/>
      <c r="O130" s="23"/>
    </row>
    <row r="131" customFormat="false" ht="15" hidden="false" customHeight="fals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5" t="str">
        <f aca="false">IF(A131="","",COUNTIF(Egresados!$S$2:$S$1501,A131))</f>
        <v/>
      </c>
      <c r="M131" s="22"/>
      <c r="N131" s="22"/>
      <c r="O131" s="23"/>
    </row>
    <row r="132" customFormat="false" ht="15" hidden="false" customHeight="fals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5" t="str">
        <f aca="false">IF(A132="","",COUNTIF(Egresados!$S$2:$S$1501,A132))</f>
        <v/>
      </c>
      <c r="M132" s="22"/>
      <c r="N132" s="22"/>
      <c r="O132" s="23"/>
    </row>
    <row r="133" customFormat="false" ht="15" hidden="false" customHeight="fals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5" t="str">
        <f aca="false">IF(A133="","",COUNTIF(Egresados!$S$2:$S$1501,A133))</f>
        <v/>
      </c>
      <c r="M133" s="22"/>
      <c r="N133" s="22"/>
      <c r="O133" s="23"/>
    </row>
    <row r="134" customFormat="false" ht="15" hidden="false" customHeight="fals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5" t="str">
        <f aca="false">IF(A134="","",COUNTIF(Egresados!$S$2:$S$1501,A134))</f>
        <v/>
      </c>
      <c r="M134" s="22"/>
      <c r="N134" s="22"/>
      <c r="O134" s="23"/>
    </row>
    <row r="135" customFormat="false" ht="15" hidden="false" customHeight="fals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5" t="str">
        <f aca="false">IF(A135="","",COUNTIF(Egresados!$S$2:$S$1501,A135))</f>
        <v/>
      </c>
      <c r="M135" s="22"/>
      <c r="N135" s="22"/>
      <c r="O135" s="23"/>
    </row>
    <row r="136" customFormat="false" ht="15" hidden="false" customHeight="fals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5" t="str">
        <f aca="false">IF(A136="","",COUNTIF(Egresados!$S$2:$S$1501,A136))</f>
        <v/>
      </c>
      <c r="M136" s="22"/>
      <c r="N136" s="22"/>
      <c r="O136" s="23"/>
    </row>
    <row r="137" customFormat="false" ht="15" hidden="false" customHeight="fals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5" t="str">
        <f aca="false">IF(A137="","",COUNTIF(Egresados!$S$2:$S$1501,A137))</f>
        <v/>
      </c>
      <c r="M137" s="22"/>
      <c r="N137" s="22"/>
      <c r="O137" s="23"/>
    </row>
    <row r="138" customFormat="false" ht="15" hidden="false" customHeight="fals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5" t="str">
        <f aca="false">IF(A138="","",COUNTIF(Egresados!$S$2:$S$1501,A138))</f>
        <v/>
      </c>
      <c r="M138" s="22"/>
      <c r="N138" s="22"/>
      <c r="O138" s="23"/>
    </row>
    <row r="139" customFormat="false" ht="15" hidden="false" customHeight="fals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5" t="str">
        <f aca="false">IF(A139="","",COUNTIF(Egresados!$S$2:$S$1501,A139))</f>
        <v/>
      </c>
      <c r="M139" s="22"/>
      <c r="N139" s="22"/>
      <c r="O139" s="23"/>
    </row>
    <row r="140" customFormat="false" ht="15" hidden="false" customHeight="fals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5" t="str">
        <f aca="false">IF(A140="","",COUNTIF(Egresados!$S$2:$S$1501,A140))</f>
        <v/>
      </c>
      <c r="M140" s="22"/>
      <c r="N140" s="22"/>
      <c r="O140" s="23"/>
    </row>
    <row r="141" customFormat="false" ht="15" hidden="false" customHeight="fals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5" t="str">
        <f aca="false">IF(A141="","",COUNTIF(Egresados!$S$2:$S$1501,A141))</f>
        <v/>
      </c>
      <c r="M141" s="22"/>
      <c r="N141" s="22"/>
      <c r="O141" s="23"/>
    </row>
    <row r="142" customFormat="false" ht="15" hidden="false" customHeight="fals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5" t="str">
        <f aca="false">IF(A142="","",COUNTIF(Egresados!$S$2:$S$1501,A142))</f>
        <v/>
      </c>
      <c r="M142" s="22"/>
      <c r="N142" s="22"/>
      <c r="O142" s="23"/>
    </row>
    <row r="143" customFormat="false" ht="15" hidden="false" customHeight="fals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5" t="str">
        <f aca="false">IF(A143="","",COUNTIF(Egresados!$S$2:$S$1501,A143))</f>
        <v/>
      </c>
      <c r="M143" s="22"/>
      <c r="N143" s="22"/>
      <c r="O143" s="23"/>
    </row>
    <row r="144" customFormat="false" ht="15" hidden="false" customHeight="fals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5" t="str">
        <f aca="false">IF(A144="","",COUNTIF(Egresados!$S$2:$S$1501,A144))</f>
        <v/>
      </c>
      <c r="M144" s="22"/>
      <c r="N144" s="22"/>
      <c r="O144" s="23"/>
    </row>
    <row r="145" customFormat="false" ht="15" hidden="false" customHeight="fals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5" t="str">
        <f aca="false">IF(A145="","",COUNTIF(Egresados!$S$2:$S$1501,A145))</f>
        <v/>
      </c>
      <c r="M145" s="22"/>
      <c r="N145" s="22"/>
      <c r="O145" s="23"/>
    </row>
    <row r="146" customFormat="false" ht="15" hidden="false" customHeight="fals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5" t="str">
        <f aca="false">IF(A146="","",COUNTIF(Egresados!$S$2:$S$1501,A146))</f>
        <v/>
      </c>
      <c r="M146" s="22"/>
      <c r="N146" s="22"/>
      <c r="O146" s="23"/>
    </row>
    <row r="147" customFormat="false" ht="15" hidden="false" customHeight="fals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5" t="str">
        <f aca="false">IF(A147="","",COUNTIF(Egresados!$S$2:$S$1501,A147))</f>
        <v/>
      </c>
      <c r="M147" s="22"/>
      <c r="N147" s="22"/>
      <c r="O147" s="23"/>
    </row>
    <row r="148" customFormat="false" ht="15" hidden="false" customHeight="fals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5" t="str">
        <f aca="false">IF(A148="","",COUNTIF(Egresados!$S$2:$S$1501,A148))</f>
        <v/>
      </c>
      <c r="M148" s="22"/>
      <c r="N148" s="22"/>
      <c r="O148" s="23"/>
    </row>
    <row r="149" customFormat="false" ht="15" hidden="false" customHeight="fals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5" t="str">
        <f aca="false">IF(A149="","",COUNTIF(Egresados!$S$2:$S$1501,A149))</f>
        <v/>
      </c>
      <c r="M149" s="22"/>
      <c r="N149" s="22"/>
      <c r="O149" s="23"/>
    </row>
    <row r="150" customFormat="false" ht="15" hidden="false" customHeight="fals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5" t="str">
        <f aca="false">IF(A150="","",COUNTIF(Egresados!$S$2:$S$1501,A150))</f>
        <v/>
      </c>
      <c r="M150" s="22"/>
      <c r="N150" s="22"/>
      <c r="O150" s="23"/>
    </row>
    <row r="151" customFormat="false" ht="15" hidden="false" customHeight="fals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5" t="str">
        <f aca="false">IF(A151="","",COUNTIF(Egresados!$S$2:$S$1501,A151))</f>
        <v/>
      </c>
      <c r="M151" s="22"/>
      <c r="N151" s="22"/>
      <c r="O151" s="23"/>
    </row>
    <row r="152" customFormat="false" ht="15" hidden="false" customHeight="fals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5" t="str">
        <f aca="false">IF(A152="","",COUNTIF(Egresados!$S$2:$S$1501,A152))</f>
        <v/>
      </c>
      <c r="M152" s="22"/>
      <c r="N152" s="22"/>
      <c r="O152" s="23"/>
    </row>
    <row r="153" customFormat="false" ht="15" hidden="false" customHeight="fals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5" t="str">
        <f aca="false">IF(A153="","",COUNTIF(Egresados!$S$2:$S$1501,A153))</f>
        <v/>
      </c>
      <c r="M153" s="22"/>
      <c r="N153" s="22"/>
      <c r="O153" s="23"/>
    </row>
    <row r="154" customFormat="false" ht="15" hidden="false" customHeight="fals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5" t="str">
        <f aca="false">IF(A154="","",COUNTIF(Egresados!$S$2:$S$1501,A154))</f>
        <v/>
      </c>
      <c r="M154" s="22"/>
      <c r="N154" s="22"/>
      <c r="O154" s="23"/>
    </row>
    <row r="155" customFormat="false" ht="15" hidden="false" customHeight="fals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5" t="str">
        <f aca="false">IF(A155="","",COUNTIF(Egresados!$S$2:$S$1501,A155))</f>
        <v/>
      </c>
      <c r="M155" s="22"/>
      <c r="N155" s="22"/>
      <c r="O155" s="23"/>
    </row>
    <row r="156" customFormat="false" ht="15" hidden="false" customHeight="fals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5" t="str">
        <f aca="false">IF(A156="","",COUNTIF(Egresados!$S$2:$S$1501,A156))</f>
        <v/>
      </c>
      <c r="M156" s="22"/>
      <c r="N156" s="22"/>
      <c r="O156" s="23"/>
    </row>
    <row r="157" customFormat="false" ht="15" hidden="false" customHeight="fals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5" t="str">
        <f aca="false">IF(A157="","",COUNTIF(Egresados!$S$2:$S$1501,A157))</f>
        <v/>
      </c>
      <c r="M157" s="22"/>
      <c r="N157" s="22"/>
      <c r="O157" s="23"/>
    </row>
    <row r="158" customFormat="false" ht="15" hidden="false" customHeight="fals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5" t="str">
        <f aca="false">IF(A158="","",COUNTIF(Egresados!$S$2:$S$1501,A158))</f>
        <v/>
      </c>
      <c r="M158" s="22"/>
      <c r="N158" s="22"/>
      <c r="O158" s="23"/>
    </row>
    <row r="159" customFormat="false" ht="15" hidden="false" customHeight="fals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5" t="str">
        <f aca="false">IF(A159="","",COUNTIF(Egresados!$S$2:$S$1501,A159))</f>
        <v/>
      </c>
      <c r="M159" s="22"/>
      <c r="N159" s="22"/>
      <c r="O159" s="23"/>
    </row>
    <row r="160" customFormat="false" ht="15" hidden="false" customHeight="fals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5" t="str">
        <f aca="false">IF(A160="","",COUNTIF(Egresados!$S$2:$S$1501,A160))</f>
        <v/>
      </c>
      <c r="M160" s="22"/>
      <c r="N160" s="22"/>
      <c r="O160" s="23"/>
    </row>
    <row r="161" customFormat="false" ht="15" hidden="false" customHeight="fals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5" t="str">
        <f aca="false">IF(A161="","",COUNTIF(Egresados!$S$2:$S$1501,A161))</f>
        <v/>
      </c>
      <c r="M161" s="22"/>
      <c r="N161" s="22"/>
      <c r="O161" s="23"/>
    </row>
    <row r="162" customFormat="false" ht="15" hidden="false" customHeight="fals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5" t="str">
        <f aca="false">IF(A162="","",COUNTIF(Egresados!$S$2:$S$1501,A162))</f>
        <v/>
      </c>
      <c r="M162" s="22"/>
      <c r="N162" s="22"/>
      <c r="O162" s="23"/>
    </row>
    <row r="163" customFormat="false" ht="15" hidden="false" customHeight="fals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5" t="str">
        <f aca="false">IF(A163="","",COUNTIF(Egresados!$S$2:$S$1501,A163))</f>
        <v/>
      </c>
      <c r="M163" s="22"/>
      <c r="N163" s="22"/>
      <c r="O163" s="23"/>
    </row>
    <row r="164" customFormat="false" ht="15" hidden="false" customHeight="fals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5" t="str">
        <f aca="false">IF(A164="","",COUNTIF(Egresados!$S$2:$S$1501,A164))</f>
        <v/>
      </c>
      <c r="M164" s="22"/>
      <c r="N164" s="22"/>
      <c r="O164" s="23"/>
    </row>
    <row r="165" customFormat="false" ht="15" hidden="false" customHeight="fals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5" t="str">
        <f aca="false">IF(A165="","",COUNTIF(Egresados!$S$2:$S$1501,A165))</f>
        <v/>
      </c>
      <c r="M165" s="22"/>
      <c r="N165" s="22"/>
      <c r="O165" s="23"/>
    </row>
    <row r="166" customFormat="false" ht="15" hidden="false" customHeight="fals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5" t="str">
        <f aca="false">IF(A166="","",COUNTIF(Egresados!$S$2:$S$1501,A166))</f>
        <v/>
      </c>
      <c r="M166" s="22"/>
      <c r="N166" s="22"/>
      <c r="O166" s="23"/>
    </row>
    <row r="167" customFormat="false" ht="15" hidden="false" customHeight="fals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5" t="str">
        <f aca="false">IF(A167="","",COUNTIF(Egresados!$S$2:$S$1501,A167))</f>
        <v/>
      </c>
      <c r="M167" s="22"/>
      <c r="N167" s="22"/>
      <c r="O167" s="23"/>
    </row>
    <row r="168" customFormat="false" ht="15" hidden="false" customHeight="fals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5" t="str">
        <f aca="false">IF(A168="","",COUNTIF(Egresados!$S$2:$S$1501,A168))</f>
        <v/>
      </c>
      <c r="M168" s="22"/>
      <c r="N168" s="22"/>
      <c r="O168" s="23"/>
    </row>
    <row r="169" customFormat="false" ht="15" hidden="false" customHeight="fals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5" t="str">
        <f aca="false">IF(A169="","",COUNTIF(Egresados!$S$2:$S$1501,A169))</f>
        <v/>
      </c>
      <c r="M169" s="22"/>
      <c r="N169" s="22"/>
      <c r="O169" s="23"/>
    </row>
    <row r="170" customFormat="false" ht="15" hidden="false" customHeight="fals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5" t="str">
        <f aca="false">IF(A170="","",COUNTIF(Egresados!$S$2:$S$1501,A170))</f>
        <v/>
      </c>
      <c r="M170" s="22"/>
      <c r="N170" s="22"/>
      <c r="O170" s="23"/>
    </row>
    <row r="171" customFormat="false" ht="15" hidden="false" customHeight="fals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5" t="str">
        <f aca="false">IF(A171="","",COUNTIF(Egresados!$S$2:$S$1501,A171))</f>
        <v/>
      </c>
      <c r="M171" s="22"/>
      <c r="N171" s="22"/>
      <c r="O171" s="23"/>
    </row>
    <row r="172" customFormat="false" ht="15" hidden="false" customHeight="fals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5" t="str">
        <f aca="false">IF(A172="","",COUNTIF(Egresados!$S$2:$S$1501,A172))</f>
        <v/>
      </c>
      <c r="M172" s="22"/>
      <c r="N172" s="22"/>
      <c r="O172" s="23"/>
    </row>
    <row r="173" customFormat="false" ht="15" hidden="false" customHeight="fals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5" t="str">
        <f aca="false">IF(A173="","",COUNTIF(Egresados!$S$2:$S$1501,A173))</f>
        <v/>
      </c>
      <c r="M173" s="22"/>
      <c r="N173" s="22"/>
      <c r="O173" s="23"/>
    </row>
    <row r="174" customFormat="false" ht="15" hidden="false" customHeight="fals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5" t="str">
        <f aca="false">IF(A174="","",COUNTIF(Egresados!$S$2:$S$1501,A174))</f>
        <v/>
      </c>
      <c r="M174" s="22"/>
      <c r="N174" s="22"/>
      <c r="O174" s="23"/>
    </row>
    <row r="175" customFormat="false" ht="15" hidden="false" customHeight="fals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5" t="str">
        <f aca="false">IF(A175="","",COUNTIF(Egresados!$S$2:$S$1501,A175))</f>
        <v/>
      </c>
      <c r="M175" s="22"/>
      <c r="N175" s="22"/>
      <c r="O175" s="23"/>
    </row>
    <row r="176" customFormat="false" ht="15" hidden="false" customHeight="fals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5" t="str">
        <f aca="false">IF(A176="","",COUNTIF(Egresados!$S$2:$S$1501,A176))</f>
        <v/>
      </c>
      <c r="M176" s="22"/>
      <c r="N176" s="22"/>
      <c r="O176" s="23"/>
    </row>
    <row r="177" customFormat="false" ht="15" hidden="false" customHeight="fals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5" t="str">
        <f aca="false">IF(A177="","",COUNTIF(Egresados!$S$2:$S$1501,A177))</f>
        <v/>
      </c>
      <c r="M177" s="22"/>
      <c r="N177" s="22"/>
      <c r="O177" s="23"/>
    </row>
    <row r="178" customFormat="false" ht="15" hidden="false" customHeight="fals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5" t="str">
        <f aca="false">IF(A178="","",COUNTIF(Egresados!$S$2:$S$1501,A178))</f>
        <v/>
      </c>
      <c r="M178" s="22"/>
      <c r="N178" s="22"/>
      <c r="O178" s="23"/>
    </row>
    <row r="179" customFormat="false" ht="15" hidden="false" customHeight="fals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5" t="str">
        <f aca="false">IF(A179="","",COUNTIF(Egresados!$S$2:$S$1501,A179))</f>
        <v/>
      </c>
      <c r="M179" s="22"/>
      <c r="N179" s="22"/>
      <c r="O179" s="23"/>
    </row>
    <row r="180" customFormat="false" ht="15" hidden="false" customHeight="fals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5" t="str">
        <f aca="false">IF(A180="","",COUNTIF(Egresados!$S$2:$S$1501,A180))</f>
        <v/>
      </c>
      <c r="M180" s="22"/>
      <c r="N180" s="22"/>
      <c r="O180" s="23"/>
    </row>
    <row r="181" customFormat="false" ht="15" hidden="false" customHeight="fals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5" t="str">
        <f aca="false">IF(A181="","",COUNTIF(Egresados!$S$2:$S$1501,A181))</f>
        <v/>
      </c>
      <c r="M181" s="22"/>
      <c r="N181" s="22"/>
      <c r="O181" s="23"/>
    </row>
    <row r="182" customFormat="false" ht="15" hidden="false" customHeight="fals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5" t="str">
        <f aca="false">IF(A182="","",COUNTIF(Egresados!$S$2:$S$1501,A182))</f>
        <v/>
      </c>
      <c r="M182" s="22"/>
      <c r="N182" s="22"/>
      <c r="O182" s="23"/>
    </row>
    <row r="183" customFormat="false" ht="15" hidden="false" customHeight="fals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5" t="str">
        <f aca="false">IF(A183="","",COUNTIF(Egresados!$S$2:$S$1501,A183))</f>
        <v/>
      </c>
      <c r="M183" s="22"/>
      <c r="N183" s="22"/>
      <c r="O183" s="23"/>
    </row>
    <row r="184" customFormat="false" ht="15" hidden="false" customHeight="fals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5" t="str">
        <f aca="false">IF(A184="","",COUNTIF(Egresados!$S$2:$S$1501,A184))</f>
        <v/>
      </c>
      <c r="M184" s="22"/>
      <c r="N184" s="22"/>
      <c r="O184" s="23"/>
    </row>
    <row r="185" customFormat="false" ht="15" hidden="false" customHeight="fals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5" t="str">
        <f aca="false">IF(A185="","",COUNTIF(Egresados!$S$2:$S$1501,A185))</f>
        <v/>
      </c>
      <c r="M185" s="22"/>
      <c r="N185" s="22"/>
      <c r="O185" s="23"/>
    </row>
    <row r="186" customFormat="false" ht="15" hidden="false" customHeight="fals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5" t="str">
        <f aca="false">IF(A186="","",COUNTIF(Egresados!$S$2:$S$1501,A186))</f>
        <v/>
      </c>
      <c r="M186" s="22"/>
      <c r="N186" s="22"/>
      <c r="O186" s="23"/>
    </row>
    <row r="187" customFormat="false" ht="15" hidden="false" customHeight="fals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5" t="str">
        <f aca="false">IF(A187="","",COUNTIF(Egresados!$S$2:$S$1501,A187))</f>
        <v/>
      </c>
      <c r="M187" s="22"/>
      <c r="N187" s="22"/>
      <c r="O187" s="23"/>
    </row>
    <row r="188" customFormat="false" ht="15" hidden="false" customHeight="fals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5" t="str">
        <f aca="false">IF(A188="","",COUNTIF(Egresados!$S$2:$S$1501,A188))</f>
        <v/>
      </c>
      <c r="M188" s="22"/>
      <c r="N188" s="22"/>
      <c r="O188" s="23"/>
    </row>
    <row r="189" customFormat="false" ht="15" hidden="false" customHeight="fals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5" t="str">
        <f aca="false">IF(A189="","",COUNTIF(Egresados!$S$2:$S$1501,A189))</f>
        <v/>
      </c>
      <c r="M189" s="22"/>
      <c r="N189" s="22"/>
      <c r="O189" s="23"/>
    </row>
    <row r="190" customFormat="false" ht="15" hidden="false" customHeight="fals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5" t="str">
        <f aca="false">IF(A190="","",COUNTIF(Egresados!$S$2:$S$1501,A190))</f>
        <v/>
      </c>
      <c r="M190" s="22"/>
      <c r="N190" s="22"/>
      <c r="O190" s="23"/>
    </row>
    <row r="191" customFormat="false" ht="15" hidden="false" customHeight="fals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5" t="str">
        <f aca="false">IF(A191="","",COUNTIF(Egresados!$S$2:$S$1501,A191))</f>
        <v/>
      </c>
      <c r="M191" s="22"/>
      <c r="N191" s="22"/>
      <c r="O191" s="23"/>
    </row>
    <row r="192" customFormat="false" ht="15" hidden="false" customHeight="fals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5" t="str">
        <f aca="false">IF(A192="","",COUNTIF(Egresados!$S$2:$S$1501,A192))</f>
        <v/>
      </c>
      <c r="M192" s="22"/>
      <c r="N192" s="22"/>
      <c r="O192" s="23"/>
    </row>
    <row r="193" customFormat="false" ht="15" hidden="false" customHeight="fals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5" t="str">
        <f aca="false">IF(A193="","",COUNTIF(Egresados!$S$2:$S$1501,A193))</f>
        <v/>
      </c>
      <c r="M193" s="22"/>
      <c r="N193" s="22"/>
      <c r="O193" s="23"/>
    </row>
    <row r="194" customFormat="false" ht="15" hidden="false" customHeight="fals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5" t="str">
        <f aca="false">IF(A194="","",COUNTIF(Egresados!$S$2:$S$1501,A194))</f>
        <v/>
      </c>
      <c r="M194" s="22"/>
      <c r="N194" s="22"/>
      <c r="O194" s="23"/>
    </row>
    <row r="195" customFormat="false" ht="15" hidden="false" customHeight="fals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5" t="str">
        <f aca="false">IF(A195="","",COUNTIF(Egresados!$S$2:$S$1501,A195))</f>
        <v/>
      </c>
      <c r="M195" s="22"/>
      <c r="N195" s="22"/>
      <c r="O195" s="23"/>
    </row>
    <row r="196" customFormat="false" ht="15" hidden="false" customHeight="fals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5" t="str">
        <f aca="false">IF(A196="","",COUNTIF(Egresados!$S$2:$S$1501,A196))</f>
        <v/>
      </c>
      <c r="M196" s="22"/>
      <c r="N196" s="22"/>
      <c r="O196" s="23"/>
    </row>
    <row r="197" customFormat="false" ht="15" hidden="false" customHeight="fals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5" t="str">
        <f aca="false">IF(A197="","",COUNTIF(Egresados!$S$2:$S$1501,A197))</f>
        <v/>
      </c>
      <c r="M197" s="22"/>
      <c r="N197" s="22"/>
      <c r="O197" s="23"/>
    </row>
    <row r="198" customFormat="false" ht="15" hidden="false" customHeight="fals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5" t="str">
        <f aca="false">IF(A198="","",COUNTIF(Egresados!$S$2:$S$1501,A198))</f>
        <v/>
      </c>
      <c r="M198" s="22"/>
      <c r="N198" s="22"/>
      <c r="O198" s="23"/>
    </row>
    <row r="199" customFormat="false" ht="15" hidden="false" customHeight="fals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5" t="str">
        <f aca="false">IF(A199="","",COUNTIF(Egresados!$S$2:$S$1501,A199))</f>
        <v/>
      </c>
      <c r="M199" s="22"/>
      <c r="N199" s="22"/>
      <c r="O199" s="23"/>
    </row>
    <row r="200" customFormat="false" ht="15" hidden="false" customHeight="fals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5" t="str">
        <f aca="false">IF(A200="","",COUNTIF(Egresados!$S$2:$S$1501,A200))</f>
        <v/>
      </c>
      <c r="M200" s="22"/>
      <c r="N200" s="22"/>
      <c r="O200" s="23"/>
    </row>
    <row r="201" customFormat="false" ht="15" hidden="false" customHeight="fals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5" t="str">
        <f aca="false">IF(A201="","",COUNTIF(Egresados!$S$2:$S$1501,A201))</f>
        <v/>
      </c>
      <c r="M201" s="22"/>
      <c r="N201" s="22"/>
      <c r="O201" s="23"/>
    </row>
    <row r="202" customFormat="false" ht="15" hidden="false" customHeight="fals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5" t="str">
        <f aca="false">IF(A202="","",COUNTIF(Egresados!$S$2:$S$1501,A202))</f>
        <v/>
      </c>
      <c r="M202" s="22"/>
      <c r="N202" s="22"/>
      <c r="O202" s="23"/>
    </row>
    <row r="203" customFormat="false" ht="15" hidden="false" customHeight="fals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5" t="str">
        <f aca="false">IF(A203="","",COUNTIF(Egresados!$S$2:$S$1501,A203))</f>
        <v/>
      </c>
      <c r="M203" s="22"/>
      <c r="N203" s="22"/>
      <c r="O203" s="23"/>
    </row>
    <row r="204" customFormat="false" ht="15" hidden="false" customHeight="fals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5" t="str">
        <f aca="false">IF(A204="","",COUNTIF(Egresados!$S$2:$S$1501,A204))</f>
        <v/>
      </c>
      <c r="M204" s="22"/>
      <c r="N204" s="22"/>
      <c r="O204" s="23"/>
    </row>
    <row r="205" customFormat="false" ht="15" hidden="false" customHeight="fals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5" t="str">
        <f aca="false">IF(A205="","",COUNTIF(Egresados!$S$2:$S$1501,A205))</f>
        <v/>
      </c>
      <c r="M205" s="22"/>
      <c r="N205" s="22"/>
      <c r="O205" s="23"/>
    </row>
    <row r="206" customFormat="false" ht="15" hidden="false" customHeight="fals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5" t="str">
        <f aca="false">IF(A206="","",COUNTIF(Egresados!$S$2:$S$1501,A206))</f>
        <v/>
      </c>
      <c r="M206" s="22"/>
      <c r="N206" s="22"/>
      <c r="O206" s="23"/>
    </row>
    <row r="207" customFormat="false" ht="15" hidden="false" customHeight="fals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5" t="str">
        <f aca="false">IF(A207="","",COUNTIF(Egresados!$S$2:$S$1501,A207))</f>
        <v/>
      </c>
      <c r="M207" s="22"/>
      <c r="N207" s="22"/>
      <c r="O207" s="23"/>
    </row>
    <row r="208" customFormat="false" ht="15" hidden="false" customHeight="fals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5" t="str">
        <f aca="false">IF(A208="","",COUNTIF(Egresados!$S$2:$S$1501,A208))</f>
        <v/>
      </c>
      <c r="M208" s="22"/>
      <c r="N208" s="22"/>
      <c r="O208" s="23"/>
    </row>
    <row r="209" customFormat="false" ht="15" hidden="false" customHeight="fals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5" t="str">
        <f aca="false">IF(A209="","",COUNTIF(Egresados!$S$2:$S$1501,A209))</f>
        <v/>
      </c>
      <c r="M209" s="22"/>
      <c r="N209" s="22"/>
      <c r="O209" s="23"/>
    </row>
    <row r="210" customFormat="false" ht="15" hidden="false" customHeight="fals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5" t="str">
        <f aca="false">IF(A210="","",COUNTIF(Egresados!$S$2:$S$1501,A210))</f>
        <v/>
      </c>
      <c r="M210" s="22"/>
      <c r="N210" s="22"/>
      <c r="O210" s="23"/>
    </row>
    <row r="211" customFormat="false" ht="15" hidden="false" customHeight="fals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5" t="str">
        <f aca="false">IF(A211="","",COUNTIF(Egresados!$S$2:$S$1501,A211))</f>
        <v/>
      </c>
      <c r="M211" s="22"/>
      <c r="N211" s="22"/>
      <c r="O211" s="23"/>
    </row>
    <row r="212" customFormat="false" ht="15" hidden="false" customHeight="fals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5" t="str">
        <f aca="false">IF(A212="","",COUNTIF(Egresados!$S$2:$S$1501,A212))</f>
        <v/>
      </c>
      <c r="M212" s="22"/>
      <c r="N212" s="22"/>
      <c r="O212" s="23"/>
    </row>
    <row r="213" customFormat="false" ht="15" hidden="false" customHeight="fals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5" t="str">
        <f aca="false">IF(A213="","",COUNTIF(Egresados!$S$2:$S$1501,A213))</f>
        <v/>
      </c>
      <c r="M213" s="22"/>
      <c r="N213" s="22"/>
      <c r="O213" s="23"/>
    </row>
    <row r="214" customFormat="false" ht="15" hidden="false" customHeight="fals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5" t="str">
        <f aca="false">IF(A214="","",COUNTIF(Egresados!$S$2:$S$1501,A214))</f>
        <v/>
      </c>
      <c r="M214" s="22"/>
      <c r="N214" s="22"/>
      <c r="O214" s="23"/>
    </row>
    <row r="215" customFormat="false" ht="15" hidden="false" customHeight="fals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5" t="str">
        <f aca="false">IF(A215="","",COUNTIF(Egresados!$S$2:$S$1501,A215))</f>
        <v/>
      </c>
      <c r="M215" s="22"/>
      <c r="N215" s="22"/>
      <c r="O215" s="23"/>
    </row>
    <row r="216" customFormat="false" ht="15" hidden="false" customHeight="fals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5" t="str">
        <f aca="false">IF(A216="","",COUNTIF(Egresados!$S$2:$S$1501,A216))</f>
        <v/>
      </c>
      <c r="M216" s="22"/>
      <c r="N216" s="22"/>
      <c r="O216" s="23"/>
    </row>
    <row r="217" customFormat="false" ht="15" hidden="false" customHeight="fals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5" t="str">
        <f aca="false">IF(A217="","",COUNTIF(Egresados!$S$2:$S$1501,A217))</f>
        <v/>
      </c>
      <c r="M217" s="22"/>
      <c r="N217" s="22"/>
      <c r="O217" s="23"/>
    </row>
    <row r="218" customFormat="false" ht="15" hidden="false" customHeight="fals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5" t="str">
        <f aca="false">IF(A218="","",COUNTIF(Egresados!$S$2:$S$1501,A218))</f>
        <v/>
      </c>
      <c r="M218" s="22"/>
      <c r="N218" s="22"/>
      <c r="O218" s="23"/>
    </row>
    <row r="219" customFormat="false" ht="15" hidden="false" customHeight="fals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5" t="str">
        <f aca="false">IF(A219="","",COUNTIF(Egresados!$S$2:$S$1501,A219))</f>
        <v/>
      </c>
      <c r="M219" s="22"/>
      <c r="N219" s="22"/>
      <c r="O219" s="23"/>
    </row>
    <row r="220" customFormat="false" ht="15" hidden="false" customHeight="fals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5" t="str">
        <f aca="false">IF(A220="","",COUNTIF(Egresados!$S$2:$S$1501,A220))</f>
        <v/>
      </c>
      <c r="M220" s="22"/>
      <c r="N220" s="22"/>
      <c r="O220" s="23"/>
    </row>
    <row r="221" customFormat="false" ht="15" hidden="false" customHeight="fals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5" t="str">
        <f aca="false">IF(A221="","",COUNTIF(Egresados!$S$2:$S$1501,A221))</f>
        <v/>
      </c>
      <c r="M221" s="22"/>
      <c r="N221" s="22"/>
      <c r="O221" s="23"/>
    </row>
    <row r="222" customFormat="false" ht="15" hidden="false" customHeight="fals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5" t="str">
        <f aca="false">IF(A222="","",COUNTIF(Egresados!$S$2:$S$1501,A222))</f>
        <v/>
      </c>
      <c r="M222" s="22"/>
      <c r="N222" s="22"/>
      <c r="O222" s="23"/>
    </row>
    <row r="223" customFormat="false" ht="15" hidden="false" customHeight="fals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5" t="str">
        <f aca="false">IF(A223="","",COUNTIF(Egresados!$S$2:$S$1501,A223))</f>
        <v/>
      </c>
      <c r="M223" s="22"/>
      <c r="N223" s="22"/>
      <c r="O223" s="23"/>
    </row>
    <row r="224" customFormat="false" ht="15" hidden="false" customHeight="fals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5" t="str">
        <f aca="false">IF(A224="","",COUNTIF(Egresados!$S$2:$S$1501,A224))</f>
        <v/>
      </c>
      <c r="M224" s="22"/>
      <c r="N224" s="22"/>
      <c r="O224" s="23"/>
    </row>
    <row r="225" customFormat="false" ht="15" hidden="false" customHeight="fals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5" t="str">
        <f aca="false">IF(A225="","",COUNTIF(Egresados!$S$2:$S$1501,A225))</f>
        <v/>
      </c>
      <c r="M225" s="22"/>
      <c r="N225" s="22"/>
      <c r="O225" s="23"/>
    </row>
    <row r="226" customFormat="false" ht="15" hidden="false" customHeight="fals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5" t="str">
        <f aca="false">IF(A226="","",COUNTIF(Egresados!$S$2:$S$1501,A226))</f>
        <v/>
      </c>
      <c r="M226" s="22"/>
      <c r="N226" s="22"/>
      <c r="O226" s="23"/>
    </row>
    <row r="227" customFormat="false" ht="15" hidden="false" customHeight="fals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5" t="str">
        <f aca="false">IF(A227="","",COUNTIF(Egresados!$S$2:$S$1501,A227))</f>
        <v/>
      </c>
      <c r="M227" s="22"/>
      <c r="N227" s="22"/>
      <c r="O227" s="23"/>
    </row>
    <row r="228" customFormat="false" ht="15" hidden="false" customHeight="fals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5" t="str">
        <f aca="false">IF(A228="","",COUNTIF(Egresados!$S$2:$S$1501,A228))</f>
        <v/>
      </c>
      <c r="M228" s="22"/>
      <c r="N228" s="22"/>
      <c r="O228" s="23"/>
    </row>
    <row r="229" customFormat="false" ht="15" hidden="false" customHeight="fals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5" t="str">
        <f aca="false">IF(A229="","",COUNTIF(Egresados!$S$2:$S$1501,A229))</f>
        <v/>
      </c>
      <c r="M229" s="22"/>
      <c r="N229" s="22"/>
      <c r="O229" s="23"/>
    </row>
    <row r="230" customFormat="false" ht="15" hidden="false" customHeight="fals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5" t="str">
        <f aca="false">IF(A230="","",COUNTIF(Egresados!$S$2:$S$1501,A230))</f>
        <v/>
      </c>
      <c r="M230" s="22"/>
      <c r="N230" s="22"/>
      <c r="O230" s="23"/>
    </row>
    <row r="231" customFormat="false" ht="15" hidden="false" customHeight="fals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5" t="str">
        <f aca="false">IF(A231="","",COUNTIF(Egresados!$S$2:$S$1501,A231))</f>
        <v/>
      </c>
      <c r="M231" s="22"/>
      <c r="N231" s="22"/>
      <c r="O231" s="23"/>
    </row>
    <row r="232" customFormat="false" ht="15" hidden="false" customHeight="fals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5" t="str">
        <f aca="false">IF(A232="","",COUNTIF(Egresados!$S$2:$S$1501,A232))</f>
        <v/>
      </c>
      <c r="M232" s="22"/>
      <c r="N232" s="22"/>
      <c r="O232" s="23"/>
    </row>
    <row r="233" customFormat="false" ht="15" hidden="false" customHeight="fals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5" t="str">
        <f aca="false">IF(A233="","",COUNTIF(Egresados!$S$2:$S$1501,A233))</f>
        <v/>
      </c>
      <c r="M233" s="22"/>
      <c r="N233" s="22"/>
      <c r="O233" s="23"/>
    </row>
    <row r="234" customFormat="false" ht="15" hidden="false" customHeight="fals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5" t="str">
        <f aca="false">IF(A234="","",COUNTIF(Egresados!$S$2:$S$1501,A234))</f>
        <v/>
      </c>
      <c r="M234" s="22"/>
      <c r="N234" s="22"/>
      <c r="O234" s="23"/>
    </row>
    <row r="235" customFormat="false" ht="15" hidden="false" customHeight="fals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5" t="str">
        <f aca="false">IF(A235="","",COUNTIF(Egresados!$S$2:$S$1501,A235))</f>
        <v/>
      </c>
      <c r="M235" s="22"/>
      <c r="N235" s="22"/>
      <c r="O235" s="23"/>
    </row>
    <row r="236" customFormat="false" ht="15" hidden="false" customHeight="fals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5" t="str">
        <f aca="false">IF(A236="","",COUNTIF(Egresados!$S$2:$S$1501,A236))</f>
        <v/>
      </c>
      <c r="M236" s="22"/>
      <c r="N236" s="22"/>
      <c r="O236" s="23"/>
    </row>
    <row r="237" customFormat="false" ht="15" hidden="false" customHeight="fals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5" t="str">
        <f aca="false">IF(A237="","",COUNTIF(Egresados!$S$2:$S$1501,A237))</f>
        <v/>
      </c>
      <c r="M237" s="22"/>
      <c r="N237" s="22"/>
      <c r="O237" s="23"/>
    </row>
    <row r="238" customFormat="false" ht="15" hidden="false" customHeight="fals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5" t="str">
        <f aca="false">IF(A238="","",COUNTIF(Egresados!$S$2:$S$1501,A238))</f>
        <v/>
      </c>
      <c r="M238" s="22"/>
      <c r="N238" s="22"/>
      <c r="O238" s="23"/>
    </row>
    <row r="239" customFormat="false" ht="15" hidden="false" customHeight="fals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5" t="str">
        <f aca="false">IF(A239="","",COUNTIF(Egresados!$S$2:$S$1501,A239))</f>
        <v/>
      </c>
      <c r="M239" s="22"/>
      <c r="N239" s="22"/>
      <c r="O239" s="23"/>
    </row>
    <row r="240" customFormat="false" ht="15" hidden="false" customHeight="fals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5" t="str">
        <f aca="false">IF(A240="","",COUNTIF(Egresados!$S$2:$S$1501,A240))</f>
        <v/>
      </c>
      <c r="M240" s="22"/>
      <c r="N240" s="22"/>
      <c r="O240" s="23"/>
    </row>
    <row r="241" customFormat="false" ht="15" hidden="false" customHeight="fals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5" t="str">
        <f aca="false">IF(A241="","",COUNTIF(Egresados!$S$2:$S$1501,A241))</f>
        <v/>
      </c>
      <c r="M241" s="22"/>
      <c r="N241" s="22"/>
      <c r="O241" s="23"/>
    </row>
    <row r="242" customFormat="false" ht="15" hidden="false" customHeight="fals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5" t="str">
        <f aca="false">IF(A242="","",COUNTIF(Egresados!$S$2:$S$1501,A242))</f>
        <v/>
      </c>
      <c r="M242" s="22"/>
      <c r="N242" s="22"/>
      <c r="O242" s="23"/>
    </row>
    <row r="243" customFormat="false" ht="15" hidden="false" customHeight="fals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5" t="str">
        <f aca="false">IF(A243="","",COUNTIF(Egresados!$S$2:$S$1501,A243))</f>
        <v/>
      </c>
      <c r="M243" s="22"/>
      <c r="N243" s="22"/>
      <c r="O243" s="23"/>
    </row>
    <row r="244" customFormat="false" ht="15" hidden="false" customHeight="fals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5" t="str">
        <f aca="false">IF(A244="","",COUNTIF(Egresados!$S$2:$S$1501,A244))</f>
        <v/>
      </c>
      <c r="M244" s="22"/>
      <c r="N244" s="22"/>
      <c r="O244" s="23"/>
    </row>
    <row r="245" customFormat="false" ht="15" hidden="false" customHeight="fals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5" t="str">
        <f aca="false">IF(A245="","",COUNTIF(Egresados!$S$2:$S$1501,A245))</f>
        <v/>
      </c>
      <c r="M245" s="22"/>
      <c r="N245" s="22"/>
      <c r="O245" s="23"/>
    </row>
    <row r="246" customFormat="false" ht="15" hidden="false" customHeight="fals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5" t="str">
        <f aca="false">IF(A246="","",COUNTIF(Egresados!$S$2:$S$1501,A246))</f>
        <v/>
      </c>
      <c r="M246" s="22"/>
      <c r="N246" s="22"/>
      <c r="O246" s="23"/>
    </row>
    <row r="247" customFormat="false" ht="15" hidden="false" customHeight="fals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5" t="str">
        <f aca="false">IF(A247="","",COUNTIF(Egresados!$S$2:$S$1501,A247))</f>
        <v/>
      </c>
      <c r="M247" s="22"/>
      <c r="N247" s="22"/>
      <c r="O247" s="23"/>
    </row>
    <row r="248" customFormat="false" ht="15" hidden="false" customHeight="fals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5" t="str">
        <f aca="false">IF(A248="","",COUNTIF(Egresados!$S$2:$S$1501,A248))</f>
        <v/>
      </c>
      <c r="M248" s="22"/>
      <c r="N248" s="22"/>
      <c r="O248" s="23"/>
    </row>
    <row r="249" customFormat="false" ht="15" hidden="false" customHeight="fals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5" t="str">
        <f aca="false">IF(A249="","",COUNTIF(Egresados!$S$2:$S$1501,A249))</f>
        <v/>
      </c>
      <c r="M249" s="22"/>
      <c r="N249" s="22"/>
      <c r="O249" s="23"/>
    </row>
    <row r="250" customFormat="false" ht="15" hidden="false" customHeight="fals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5" t="str">
        <f aca="false">IF(A250="","",COUNTIF(Egresados!$S$2:$S$1501,A250))</f>
        <v/>
      </c>
      <c r="M250" s="22"/>
      <c r="N250" s="22"/>
      <c r="O250" s="23"/>
    </row>
    <row r="251" customFormat="false" ht="15" hidden="false" customHeight="fals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5" t="str">
        <f aca="false">IF(A251="","",COUNTIF(Egresados!$S$2:$S$1501,A251))</f>
        <v/>
      </c>
      <c r="M251" s="22"/>
      <c r="N251" s="22"/>
      <c r="O251" s="23"/>
    </row>
    <row r="252" customFormat="false" ht="15" hidden="false" customHeight="fals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5" t="str">
        <f aca="false">IF(A252="","",COUNTIF(Egresados!$S$2:$S$1501,A252))</f>
        <v/>
      </c>
      <c r="M252" s="22"/>
      <c r="N252" s="22"/>
      <c r="O252" s="23"/>
    </row>
    <row r="253" customFormat="false" ht="15" hidden="false" customHeight="fals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5" t="str">
        <f aca="false">IF(A253="","",COUNTIF(Egresados!$S$2:$S$1501,A253))</f>
        <v/>
      </c>
      <c r="M253" s="22"/>
      <c r="N253" s="22"/>
      <c r="O253" s="23"/>
    </row>
    <row r="254" customFormat="false" ht="15" hidden="false" customHeight="fals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5" t="str">
        <f aca="false">IF(A254="","",COUNTIF(Egresados!$S$2:$S$1501,A254))</f>
        <v/>
      </c>
      <c r="M254" s="22"/>
      <c r="N254" s="22"/>
      <c r="O254" s="23"/>
    </row>
    <row r="255" customFormat="false" ht="15" hidden="false" customHeight="fals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5" t="str">
        <f aca="false">IF(A255="","",COUNTIF(Egresados!$S$2:$S$1501,A255))</f>
        <v/>
      </c>
      <c r="M255" s="22"/>
      <c r="N255" s="22"/>
      <c r="O255" s="23"/>
    </row>
    <row r="256" customFormat="false" ht="15" hidden="false" customHeight="fals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5" t="str">
        <f aca="false">IF(A256="","",COUNTIF(Egresados!$S$2:$S$1501,A256))</f>
        <v/>
      </c>
      <c r="M256" s="22"/>
      <c r="N256" s="22"/>
      <c r="O256" s="23"/>
    </row>
    <row r="257" customFormat="false" ht="15" hidden="false" customHeight="fals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5" t="str">
        <f aca="false">IF(A257="","",COUNTIF(Egresados!$S$2:$S$1501,A257))</f>
        <v/>
      </c>
      <c r="M257" s="22"/>
      <c r="N257" s="22"/>
      <c r="O257" s="23"/>
    </row>
    <row r="258" customFormat="false" ht="15" hidden="false" customHeight="fals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5" t="str">
        <f aca="false">IF(A258="","",COUNTIF(Egresados!$S$2:$S$1501,A258))</f>
        <v/>
      </c>
      <c r="M258" s="22"/>
      <c r="N258" s="22"/>
      <c r="O258" s="23"/>
    </row>
    <row r="259" customFormat="false" ht="15" hidden="false" customHeight="fals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5" t="str">
        <f aca="false">IF(A259="","",COUNTIF(Egresados!$S$2:$S$1501,A259))</f>
        <v/>
      </c>
      <c r="M259" s="22"/>
      <c r="N259" s="22"/>
      <c r="O259" s="23"/>
    </row>
    <row r="260" customFormat="false" ht="15" hidden="false" customHeight="fals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5" t="str">
        <f aca="false">IF(A260="","",COUNTIF(Egresados!$S$2:$S$1501,A260))</f>
        <v/>
      </c>
      <c r="M260" s="22"/>
      <c r="N260" s="22"/>
      <c r="O260" s="23"/>
    </row>
    <row r="261" customFormat="false" ht="15" hidden="false" customHeight="fals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5" t="str">
        <f aca="false">IF(A261="","",COUNTIF(Egresados!$S$2:$S$1501,A261))</f>
        <v/>
      </c>
      <c r="M261" s="22"/>
      <c r="N261" s="22"/>
      <c r="O261" s="23"/>
    </row>
    <row r="262" customFormat="false" ht="15" hidden="false" customHeight="fals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5" t="str">
        <f aca="false">IF(A262="","",COUNTIF(Egresados!$S$2:$S$1501,A262))</f>
        <v/>
      </c>
      <c r="M262" s="22"/>
      <c r="N262" s="22"/>
      <c r="O262" s="23"/>
    </row>
    <row r="263" customFormat="false" ht="15" hidden="false" customHeight="fals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5" t="str">
        <f aca="false">IF(A263="","",COUNTIF(Egresados!$S$2:$S$1501,A263))</f>
        <v/>
      </c>
      <c r="M263" s="22"/>
      <c r="N263" s="22"/>
      <c r="O263" s="23"/>
    </row>
    <row r="264" customFormat="false" ht="15" hidden="false" customHeight="fals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5" t="str">
        <f aca="false">IF(A264="","",COUNTIF(Egresados!$S$2:$S$1501,A264))</f>
        <v/>
      </c>
      <c r="M264" s="22"/>
      <c r="N264" s="22"/>
      <c r="O264" s="23"/>
    </row>
    <row r="265" customFormat="false" ht="15" hidden="false" customHeight="fals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5" t="str">
        <f aca="false">IF(A265="","",COUNTIF(Egresados!$S$2:$S$1501,A265))</f>
        <v/>
      </c>
      <c r="M265" s="22"/>
      <c r="N265" s="22"/>
      <c r="O265" s="23"/>
    </row>
    <row r="266" customFormat="false" ht="15" hidden="false" customHeight="fals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5" t="str">
        <f aca="false">IF(A266="","",COUNTIF(Egresados!$S$2:$S$1501,A266))</f>
        <v/>
      </c>
      <c r="M266" s="22"/>
      <c r="N266" s="22"/>
      <c r="O266" s="23"/>
    </row>
    <row r="267" customFormat="false" ht="15" hidden="false" customHeight="fals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5" t="str">
        <f aca="false">IF(A267="","",COUNTIF(Egresados!$S$2:$S$1501,A267))</f>
        <v/>
      </c>
      <c r="M267" s="22"/>
      <c r="N267" s="22"/>
      <c r="O267" s="23"/>
    </row>
    <row r="268" customFormat="false" ht="15" hidden="false" customHeight="fals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5" t="str">
        <f aca="false">IF(A268="","",COUNTIF(Egresados!$S$2:$S$1501,A268))</f>
        <v/>
      </c>
      <c r="M268" s="22"/>
      <c r="N268" s="22"/>
      <c r="O268" s="23"/>
    </row>
    <row r="269" customFormat="false" ht="15" hidden="false" customHeight="fals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5" t="str">
        <f aca="false">IF(A269="","",COUNTIF(Egresados!$S$2:$S$1501,A269))</f>
        <v/>
      </c>
      <c r="M269" s="22"/>
      <c r="N269" s="22"/>
      <c r="O269" s="23"/>
    </row>
    <row r="270" customFormat="false" ht="15" hidden="false" customHeight="fals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5" t="str">
        <f aca="false">IF(A270="","",COUNTIF(Egresados!$S$2:$S$1501,A270))</f>
        <v/>
      </c>
      <c r="M270" s="22"/>
      <c r="N270" s="22"/>
      <c r="O270" s="23"/>
    </row>
    <row r="271" customFormat="false" ht="15" hidden="false" customHeight="fals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5" t="str">
        <f aca="false">IF(A271="","",COUNTIF(Egresados!$S$2:$S$1501,A271))</f>
        <v/>
      </c>
      <c r="M271" s="22"/>
      <c r="N271" s="22"/>
      <c r="O271" s="23"/>
    </row>
    <row r="272" customFormat="false" ht="15" hidden="false" customHeight="fals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5" t="str">
        <f aca="false">IF(A272="","",COUNTIF(Egresados!$S$2:$S$1501,A272))</f>
        <v/>
      </c>
      <c r="M272" s="22"/>
      <c r="N272" s="22"/>
      <c r="O272" s="23"/>
    </row>
    <row r="273" customFormat="false" ht="15" hidden="false" customHeight="fals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5" t="str">
        <f aca="false">IF(A273="","",COUNTIF(Egresados!$S$2:$S$1501,A273))</f>
        <v/>
      </c>
      <c r="M273" s="22"/>
      <c r="N273" s="22"/>
      <c r="O273" s="23"/>
    </row>
    <row r="274" customFormat="false" ht="15" hidden="false" customHeight="fals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5" t="str">
        <f aca="false">IF(A274="","",COUNTIF(Egresados!$S$2:$S$1501,A274))</f>
        <v/>
      </c>
      <c r="M274" s="22"/>
      <c r="N274" s="22"/>
      <c r="O274" s="23"/>
    </row>
    <row r="275" customFormat="false" ht="15" hidden="false" customHeight="fals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5" t="str">
        <f aca="false">IF(A275="","",COUNTIF(Egresados!$S$2:$S$1501,A275))</f>
        <v/>
      </c>
      <c r="M275" s="22"/>
      <c r="N275" s="22"/>
      <c r="O275" s="23"/>
    </row>
    <row r="276" customFormat="false" ht="15" hidden="false" customHeight="fals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5" t="str">
        <f aca="false">IF(A276="","",COUNTIF(Egresados!$S$2:$S$1501,A276))</f>
        <v/>
      </c>
      <c r="M276" s="22"/>
      <c r="N276" s="22"/>
      <c r="O276" s="23"/>
    </row>
    <row r="277" customFormat="false" ht="15" hidden="false" customHeight="fals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5" t="str">
        <f aca="false">IF(A277="","",COUNTIF(Egresados!$S$2:$S$1501,A277))</f>
        <v/>
      </c>
      <c r="M277" s="22"/>
      <c r="N277" s="22"/>
      <c r="O277" s="23"/>
    </row>
    <row r="278" customFormat="false" ht="15" hidden="false" customHeight="fals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5" t="str">
        <f aca="false">IF(A278="","",COUNTIF(Egresados!$S$2:$S$1501,A278))</f>
        <v/>
      </c>
      <c r="M278" s="22"/>
      <c r="N278" s="22"/>
      <c r="O278" s="23"/>
    </row>
    <row r="279" customFormat="false" ht="15" hidden="false" customHeight="fals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5" t="str">
        <f aca="false">IF(A279="","",COUNTIF(Egresados!$S$2:$S$1501,A279))</f>
        <v/>
      </c>
      <c r="M279" s="22"/>
      <c r="N279" s="22"/>
      <c r="O279" s="23"/>
    </row>
    <row r="280" customFormat="false" ht="15" hidden="false" customHeight="fals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5" t="str">
        <f aca="false">IF(A280="","",COUNTIF(Egresados!$S$2:$S$1501,A280))</f>
        <v/>
      </c>
      <c r="M280" s="22"/>
      <c r="N280" s="22"/>
      <c r="O280" s="23"/>
    </row>
    <row r="281" customFormat="false" ht="15" hidden="false" customHeight="fals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5" t="str">
        <f aca="false">IF(A281="","",COUNTIF(Egresados!$S$2:$S$1501,A281))</f>
        <v/>
      </c>
      <c r="M281" s="22"/>
      <c r="N281" s="22"/>
      <c r="O281" s="23"/>
    </row>
    <row r="282" customFormat="false" ht="15" hidden="false" customHeight="fals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5" t="str">
        <f aca="false">IF(A282="","",COUNTIF(Egresados!$S$2:$S$1501,A282))</f>
        <v/>
      </c>
      <c r="M282" s="22"/>
      <c r="N282" s="22"/>
      <c r="O282" s="23"/>
    </row>
    <row r="283" customFormat="false" ht="15" hidden="false" customHeight="fals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5" t="str">
        <f aca="false">IF(A283="","",COUNTIF(Egresados!$S$2:$S$1501,A283))</f>
        <v/>
      </c>
      <c r="M283" s="22"/>
      <c r="N283" s="22"/>
      <c r="O283" s="23"/>
    </row>
    <row r="284" customFormat="false" ht="15" hidden="false" customHeight="fals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5" t="str">
        <f aca="false">IF(A284="","",COUNTIF(Egresados!$S$2:$S$1501,A284))</f>
        <v/>
      </c>
      <c r="M284" s="22"/>
      <c r="N284" s="22"/>
      <c r="O284" s="23"/>
    </row>
    <row r="285" customFormat="false" ht="15" hidden="false" customHeight="fals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5" t="str">
        <f aca="false">IF(A285="","",COUNTIF(Egresados!$S$2:$S$1501,A285))</f>
        <v/>
      </c>
      <c r="M285" s="22"/>
      <c r="N285" s="22"/>
      <c r="O285" s="23"/>
    </row>
    <row r="286" customFormat="false" ht="15" hidden="false" customHeight="fals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5" t="str">
        <f aca="false">IF(A286="","",COUNTIF(Egresados!$S$2:$S$1501,A286))</f>
        <v/>
      </c>
      <c r="M286" s="22"/>
      <c r="N286" s="22"/>
      <c r="O286" s="23"/>
    </row>
    <row r="287" customFormat="false" ht="15" hidden="false" customHeight="fals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5" t="str">
        <f aca="false">IF(A287="","",COUNTIF(Egresados!$S$2:$S$1501,A287))</f>
        <v/>
      </c>
      <c r="M287" s="22"/>
      <c r="N287" s="22"/>
      <c r="O287" s="23"/>
    </row>
    <row r="288" customFormat="false" ht="15" hidden="false" customHeight="fals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5" t="str">
        <f aca="false">IF(A288="","",COUNTIF(Egresados!$S$2:$S$1501,A288))</f>
        <v/>
      </c>
      <c r="M288" s="22"/>
      <c r="N288" s="22"/>
      <c r="O288" s="23"/>
    </row>
    <row r="289" customFormat="false" ht="15" hidden="false" customHeight="fals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5" t="str">
        <f aca="false">IF(A289="","",COUNTIF(Egresados!$S$2:$S$1501,A289))</f>
        <v/>
      </c>
      <c r="M289" s="22"/>
      <c r="N289" s="22"/>
      <c r="O289" s="23"/>
    </row>
    <row r="290" customFormat="false" ht="15" hidden="false" customHeight="fals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5" t="str">
        <f aca="false">IF(A290="","",COUNTIF(Egresados!$S$2:$S$1501,A290))</f>
        <v/>
      </c>
      <c r="M290" s="22"/>
      <c r="N290" s="22"/>
      <c r="O290" s="23"/>
    </row>
    <row r="291" customFormat="false" ht="15" hidden="false" customHeight="fals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5" t="str">
        <f aca="false">IF(A291="","",COUNTIF(Egresados!$S$2:$S$1501,A291))</f>
        <v/>
      </c>
      <c r="M291" s="22"/>
      <c r="N291" s="22"/>
      <c r="O291" s="23"/>
    </row>
    <row r="292" customFormat="false" ht="15" hidden="false" customHeight="fals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5" t="str">
        <f aca="false">IF(A292="","",COUNTIF(Egresados!$S$2:$S$1501,A292))</f>
        <v/>
      </c>
      <c r="M292" s="22"/>
      <c r="N292" s="22"/>
      <c r="O292" s="23"/>
    </row>
    <row r="293" customFormat="false" ht="15" hidden="false" customHeight="fals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5" t="str">
        <f aca="false">IF(A293="","",COUNTIF(Egresados!$S$2:$S$1501,A293))</f>
        <v/>
      </c>
      <c r="M293" s="22"/>
      <c r="N293" s="22"/>
      <c r="O293" s="23"/>
    </row>
    <row r="294" customFormat="false" ht="15" hidden="false" customHeight="fals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5" t="str">
        <f aca="false">IF(A294="","",COUNTIF(Egresados!$S$2:$S$1501,A294))</f>
        <v/>
      </c>
      <c r="M294" s="22"/>
      <c r="N294" s="22"/>
      <c r="O294" s="23"/>
    </row>
    <row r="295" customFormat="false" ht="15" hidden="false" customHeight="fals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5" t="str">
        <f aca="false">IF(A295="","",COUNTIF(Egresados!$S$2:$S$1501,A295))</f>
        <v/>
      </c>
      <c r="M295" s="22"/>
      <c r="N295" s="22"/>
      <c r="O295" s="23"/>
    </row>
    <row r="296" customFormat="false" ht="15" hidden="false" customHeight="fals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5" t="str">
        <f aca="false">IF(A296="","",COUNTIF(Egresados!$S$2:$S$1501,A296))</f>
        <v/>
      </c>
      <c r="M296" s="22"/>
      <c r="N296" s="22"/>
      <c r="O296" s="23"/>
    </row>
    <row r="297" customFormat="false" ht="15" hidden="false" customHeight="fals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5" t="str">
        <f aca="false">IF(A297="","",COUNTIF(Egresados!$S$2:$S$1501,A297))</f>
        <v/>
      </c>
      <c r="M297" s="22"/>
      <c r="N297" s="22"/>
      <c r="O297" s="23"/>
    </row>
    <row r="298" customFormat="false" ht="15" hidden="false" customHeight="fals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5" t="str">
        <f aca="false">IF(A298="","",COUNTIF(Egresados!$S$2:$S$1501,A298))</f>
        <v/>
      </c>
      <c r="M298" s="22"/>
      <c r="N298" s="22"/>
      <c r="O298" s="23"/>
    </row>
    <row r="299" customFormat="false" ht="15" hidden="false" customHeight="fals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5" t="str">
        <f aca="false">IF(A299="","",COUNTIF(Egresados!$S$2:$S$1501,A299))</f>
        <v/>
      </c>
      <c r="M299" s="22"/>
      <c r="N299" s="22"/>
      <c r="O299" s="23"/>
    </row>
    <row r="300" customFormat="false" ht="15" hidden="false" customHeight="fals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5" t="str">
        <f aca="false">IF(A300="","",COUNTIF(Egresados!$S$2:$S$1501,A300))</f>
        <v/>
      </c>
      <c r="M300" s="22"/>
      <c r="N300" s="22"/>
      <c r="O300" s="23"/>
    </row>
    <row r="301" customFormat="false" ht="15" hidden="false" customHeight="fals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5" t="str">
        <f aca="false">IF(A301="","",COUNTIF(Egresados!$S$2:$S$1501,A301))</f>
        <v/>
      </c>
      <c r="M301" s="22"/>
      <c r="N301" s="22"/>
      <c r="O301" s="23"/>
    </row>
    <row r="302" customFormat="false" ht="15" hidden="false" customHeight="fals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5" t="str">
        <f aca="false">IF(A302="","",COUNTIF(Egresados!$S$2:$S$1501,A302))</f>
        <v/>
      </c>
      <c r="M302" s="22"/>
      <c r="N302" s="22"/>
      <c r="O302" s="23"/>
    </row>
    <row r="303" customFormat="false" ht="15" hidden="false" customHeight="fals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5" t="str">
        <f aca="false">IF(A303="","",COUNTIF(Egresados!$S$2:$S$1501,A303))</f>
        <v/>
      </c>
      <c r="M303" s="22"/>
      <c r="N303" s="22"/>
      <c r="O303" s="23"/>
    </row>
    <row r="304" customFormat="false" ht="15" hidden="false" customHeight="fals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5" t="str">
        <f aca="false">IF(A304="","",COUNTIF(Egresados!$S$2:$S$1501,A304))</f>
        <v/>
      </c>
      <c r="M304" s="22"/>
      <c r="N304" s="22"/>
      <c r="O304" s="23"/>
    </row>
    <row r="305" customFormat="false" ht="15" hidden="false" customHeight="fals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5" t="str">
        <f aca="false">IF(A305="","",COUNTIF(Egresados!$S$2:$S$1501,A305))</f>
        <v/>
      </c>
      <c r="M305" s="22"/>
      <c r="N305" s="22"/>
      <c r="O305" s="23"/>
    </row>
    <row r="306" customFormat="false" ht="15" hidden="false" customHeight="fals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5" t="str">
        <f aca="false">IF(A306="","",COUNTIF(Egresados!$S$2:$S$1501,A306))</f>
        <v/>
      </c>
      <c r="M306" s="22"/>
      <c r="N306" s="22"/>
      <c r="O306" s="23"/>
    </row>
    <row r="307" customFormat="false" ht="15" hidden="false" customHeight="fals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5" t="str">
        <f aca="false">IF(A307="","",COUNTIF(Egresados!$S$2:$S$1501,A307))</f>
        <v/>
      </c>
      <c r="M307" s="22"/>
      <c r="N307" s="22"/>
      <c r="O307" s="23"/>
    </row>
    <row r="308" customFormat="false" ht="15" hidden="false" customHeight="fals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5" t="str">
        <f aca="false">IF(A308="","",COUNTIF(Egresados!$S$2:$S$1501,A308))</f>
        <v/>
      </c>
      <c r="M308" s="22"/>
      <c r="N308" s="22"/>
      <c r="O308" s="23"/>
    </row>
    <row r="309" customFormat="false" ht="15" hidden="false" customHeight="fals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5" t="str">
        <f aca="false">IF(A309="","",COUNTIF(Egresados!$S$2:$S$1501,A309))</f>
        <v/>
      </c>
      <c r="M309" s="22"/>
      <c r="N309" s="22"/>
      <c r="O309" s="23"/>
    </row>
    <row r="310" customFormat="false" ht="15" hidden="false" customHeight="fals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5" t="str">
        <f aca="false">IF(A310="","",COUNTIF(Egresados!$S$2:$S$1501,A310))</f>
        <v/>
      </c>
      <c r="M310" s="22"/>
      <c r="N310" s="22"/>
      <c r="O310" s="23"/>
    </row>
    <row r="311" customFormat="false" ht="15" hidden="false" customHeight="fals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5" t="str">
        <f aca="false">IF(A311="","",COUNTIF(Egresados!$S$2:$S$1501,A311))</f>
        <v/>
      </c>
      <c r="M311" s="22"/>
      <c r="N311" s="22"/>
      <c r="O311" s="23"/>
    </row>
    <row r="312" customFormat="false" ht="15" hidden="false" customHeight="fals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5" t="str">
        <f aca="false">IF(A312="","",COUNTIF(Egresados!$S$2:$S$1501,A312))</f>
        <v/>
      </c>
      <c r="M312" s="22"/>
      <c r="N312" s="22"/>
      <c r="O312" s="23"/>
    </row>
    <row r="313" customFormat="false" ht="15" hidden="false" customHeight="fals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5" t="str">
        <f aca="false">IF(A313="","",COUNTIF(Egresados!$S$2:$S$1501,A313))</f>
        <v/>
      </c>
      <c r="M313" s="22"/>
      <c r="N313" s="22"/>
      <c r="O313" s="23"/>
    </row>
    <row r="314" customFormat="false" ht="15" hidden="false" customHeight="fals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5" t="str">
        <f aca="false">IF(A314="","",COUNTIF(Egresados!$S$2:$S$1501,A314))</f>
        <v/>
      </c>
      <c r="M314" s="22"/>
      <c r="N314" s="22"/>
      <c r="O314" s="23"/>
    </row>
    <row r="315" customFormat="false" ht="15" hidden="false" customHeight="fals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5" t="str">
        <f aca="false">IF(A315="","",COUNTIF(Egresados!$S$2:$S$1501,A315))</f>
        <v/>
      </c>
      <c r="M315" s="22"/>
      <c r="N315" s="22"/>
      <c r="O315" s="23"/>
    </row>
    <row r="316" customFormat="false" ht="15" hidden="false" customHeight="fals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5" t="str">
        <f aca="false">IF(A316="","",COUNTIF(Egresados!$S$2:$S$1501,A316))</f>
        <v/>
      </c>
      <c r="M316" s="22"/>
      <c r="N316" s="22"/>
      <c r="O316" s="23"/>
    </row>
    <row r="317" customFormat="false" ht="15" hidden="false" customHeight="fals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5" t="str">
        <f aca="false">IF(A317="","",COUNTIF(Egresados!$S$2:$S$1501,A317))</f>
        <v/>
      </c>
      <c r="M317" s="22"/>
      <c r="N317" s="22"/>
      <c r="O317" s="23"/>
    </row>
    <row r="318" customFormat="false" ht="15" hidden="false" customHeight="fals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5" t="str">
        <f aca="false">IF(A318="","",COUNTIF(Egresados!$S$2:$S$1501,A318))</f>
        <v/>
      </c>
      <c r="M318" s="22"/>
      <c r="N318" s="22"/>
      <c r="O318" s="23"/>
    </row>
    <row r="319" customFormat="false" ht="15" hidden="false" customHeight="fals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5" t="str">
        <f aca="false">IF(A319="","",COUNTIF(Egresados!$S$2:$S$1501,A319))</f>
        <v/>
      </c>
      <c r="M319" s="22"/>
      <c r="N319" s="22"/>
      <c r="O319" s="23"/>
    </row>
    <row r="320" customFormat="false" ht="15" hidden="false" customHeight="fals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5" t="str">
        <f aca="false">IF(A320="","",COUNTIF(Egresados!$S$2:$S$1501,A320))</f>
        <v/>
      </c>
      <c r="M320" s="22"/>
      <c r="N320" s="22"/>
      <c r="O320" s="23"/>
    </row>
    <row r="321" customFormat="false" ht="15" hidden="false" customHeight="fals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5" t="str">
        <f aca="false">IF(A321="","",COUNTIF(Egresados!$S$2:$S$1501,A321))</f>
        <v/>
      </c>
      <c r="M321" s="22"/>
      <c r="N321" s="22"/>
      <c r="O321" s="23"/>
    </row>
    <row r="322" customFormat="false" ht="15" hidden="false" customHeight="fals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5" t="str">
        <f aca="false">IF(A322="","",COUNTIF(Egresados!$S$2:$S$1501,A322))</f>
        <v/>
      </c>
      <c r="M322" s="22"/>
      <c r="N322" s="22"/>
      <c r="O322" s="23"/>
    </row>
    <row r="323" customFormat="false" ht="15" hidden="false" customHeight="fals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5" t="str">
        <f aca="false">IF(A323="","",COUNTIF(Egresados!$S$2:$S$1501,A323))</f>
        <v/>
      </c>
      <c r="M323" s="22"/>
      <c r="N323" s="22"/>
      <c r="O323" s="23"/>
    </row>
    <row r="324" customFormat="false" ht="15" hidden="false" customHeight="fals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5" t="str">
        <f aca="false">IF(A324="","",COUNTIF(Egresados!$S$2:$S$1501,A324))</f>
        <v/>
      </c>
      <c r="M324" s="22"/>
      <c r="N324" s="22"/>
      <c r="O324" s="23"/>
    </row>
    <row r="325" customFormat="false" ht="15" hidden="false" customHeight="fals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5" t="str">
        <f aca="false">IF(A325="","",COUNTIF(Egresados!$S$2:$S$1501,A325))</f>
        <v/>
      </c>
      <c r="M325" s="22"/>
      <c r="N325" s="22"/>
      <c r="O325" s="23"/>
    </row>
    <row r="326" customFormat="false" ht="15" hidden="false" customHeight="fals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5" t="str">
        <f aca="false">IF(A326="","",COUNTIF(Egresados!$S$2:$S$1501,A326))</f>
        <v/>
      </c>
      <c r="M326" s="22"/>
      <c r="N326" s="22"/>
      <c r="O326" s="23"/>
    </row>
    <row r="327" customFormat="false" ht="15" hidden="false" customHeight="fals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5" t="str">
        <f aca="false">IF(A327="","",COUNTIF(Egresados!$S$2:$S$1501,A327))</f>
        <v/>
      </c>
      <c r="M327" s="22"/>
      <c r="N327" s="22"/>
      <c r="O327" s="23"/>
    </row>
    <row r="328" customFormat="false" ht="15" hidden="false" customHeight="fals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5" t="str">
        <f aca="false">IF(A328="","",COUNTIF(Egresados!$S$2:$S$1501,A328))</f>
        <v/>
      </c>
      <c r="M328" s="22"/>
      <c r="N328" s="22"/>
      <c r="O328" s="23"/>
    </row>
    <row r="329" customFormat="false" ht="15" hidden="false" customHeight="fals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5" t="str">
        <f aca="false">IF(A329="","",COUNTIF(Egresados!$S$2:$S$1501,A329))</f>
        <v/>
      </c>
      <c r="M329" s="22"/>
      <c r="N329" s="22"/>
      <c r="O329" s="23"/>
    </row>
    <row r="330" customFormat="false" ht="15" hidden="false" customHeight="fals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5" t="str">
        <f aca="false">IF(A330="","",COUNTIF(Egresados!$S$2:$S$1501,A330))</f>
        <v/>
      </c>
      <c r="M330" s="22"/>
      <c r="N330" s="22"/>
      <c r="O330" s="23"/>
    </row>
    <row r="331" customFormat="false" ht="15" hidden="false" customHeight="fals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5" t="str">
        <f aca="false">IF(A331="","",COUNTIF(Egresados!$S$2:$S$1501,A331))</f>
        <v/>
      </c>
      <c r="M331" s="22"/>
      <c r="N331" s="22"/>
      <c r="O331" s="23"/>
    </row>
    <row r="332" customFormat="false" ht="15" hidden="false" customHeight="fals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5" t="str">
        <f aca="false">IF(A332="","",COUNTIF(Egresados!$S$2:$S$1501,A332))</f>
        <v/>
      </c>
      <c r="M332" s="22"/>
      <c r="N332" s="22"/>
      <c r="O332" s="23"/>
    </row>
    <row r="333" customFormat="false" ht="15" hidden="false" customHeight="fals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5" t="str">
        <f aca="false">IF(A333="","",COUNTIF(Egresados!$S$2:$S$1501,A333))</f>
        <v/>
      </c>
      <c r="M333" s="22"/>
      <c r="N333" s="22"/>
      <c r="O333" s="23"/>
    </row>
    <row r="334" customFormat="false" ht="15" hidden="false" customHeight="fals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5" t="str">
        <f aca="false">IF(A334="","",COUNTIF(Egresados!$S$2:$S$1501,A334))</f>
        <v/>
      </c>
      <c r="M334" s="22"/>
      <c r="N334" s="22"/>
      <c r="O334" s="23"/>
    </row>
    <row r="335" customFormat="false" ht="15" hidden="false" customHeight="fals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5" t="str">
        <f aca="false">IF(A335="","",COUNTIF(Egresados!$S$2:$S$1501,A335))</f>
        <v/>
      </c>
      <c r="M335" s="22"/>
      <c r="N335" s="22"/>
      <c r="O335" s="23"/>
    </row>
    <row r="336" customFormat="false" ht="15" hidden="false" customHeight="fals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5" t="str">
        <f aca="false">IF(A336="","",COUNTIF(Egresados!$S$2:$S$1501,A336))</f>
        <v/>
      </c>
      <c r="M336" s="22"/>
      <c r="N336" s="22"/>
      <c r="O336" s="23"/>
    </row>
    <row r="337" customFormat="false" ht="15" hidden="false" customHeight="fals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5" t="str">
        <f aca="false">IF(A337="","",COUNTIF(Egresados!$S$2:$S$1501,A337))</f>
        <v/>
      </c>
      <c r="M337" s="22"/>
      <c r="N337" s="22"/>
      <c r="O337" s="23"/>
    </row>
    <row r="338" customFormat="false" ht="15" hidden="false" customHeight="fals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5" t="str">
        <f aca="false">IF(A338="","",COUNTIF(Egresados!$S$2:$S$1501,A338))</f>
        <v/>
      </c>
      <c r="M338" s="22"/>
      <c r="N338" s="22"/>
      <c r="O338" s="23"/>
    </row>
    <row r="339" customFormat="false" ht="15" hidden="false" customHeight="fals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5" t="str">
        <f aca="false">IF(A339="","",COUNTIF(Egresados!$S$2:$S$1501,A339))</f>
        <v/>
      </c>
      <c r="M339" s="22"/>
      <c r="N339" s="22"/>
      <c r="O339" s="23"/>
    </row>
    <row r="340" customFormat="false" ht="15" hidden="false" customHeight="fals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5" t="str">
        <f aca="false">IF(A340="","",COUNTIF(Egresados!$S$2:$S$1501,A340))</f>
        <v/>
      </c>
      <c r="M340" s="22"/>
      <c r="N340" s="22"/>
      <c r="O340" s="23"/>
    </row>
    <row r="341" customFormat="false" ht="15" hidden="false" customHeight="fals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5" t="str">
        <f aca="false">IF(A341="","",COUNTIF(Egresados!$S$2:$S$1501,A341))</f>
        <v/>
      </c>
      <c r="M341" s="22"/>
      <c r="N341" s="22"/>
      <c r="O341" s="23"/>
    </row>
    <row r="342" customFormat="false" ht="15" hidden="false" customHeight="fals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5" t="str">
        <f aca="false">IF(A342="","",COUNTIF(Egresados!$S$2:$S$1501,A342))</f>
        <v/>
      </c>
      <c r="M342" s="22"/>
      <c r="N342" s="22"/>
      <c r="O342" s="23"/>
    </row>
    <row r="343" customFormat="false" ht="15" hidden="false" customHeight="fals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5" t="str">
        <f aca="false">IF(A343="","",COUNTIF(Egresados!$S$2:$S$1501,A343))</f>
        <v/>
      </c>
      <c r="M343" s="22"/>
      <c r="N343" s="22"/>
      <c r="O343" s="23"/>
    </row>
    <row r="344" customFormat="false" ht="15" hidden="false" customHeight="fals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5" t="str">
        <f aca="false">IF(A344="","",COUNTIF(Egresados!$S$2:$S$1501,A344))</f>
        <v/>
      </c>
      <c r="M344" s="22"/>
      <c r="N344" s="22"/>
      <c r="O344" s="23"/>
    </row>
    <row r="345" customFormat="false" ht="15" hidden="false" customHeight="fals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5" t="str">
        <f aca="false">IF(A345="","",COUNTIF(Egresados!$S$2:$S$1501,A345))</f>
        <v/>
      </c>
      <c r="M345" s="22"/>
      <c r="N345" s="22"/>
      <c r="O345" s="23"/>
    </row>
    <row r="346" customFormat="false" ht="15" hidden="false" customHeight="fals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5" t="str">
        <f aca="false">IF(A346="","",COUNTIF(Egresados!$S$2:$S$1501,A346))</f>
        <v/>
      </c>
      <c r="M346" s="22"/>
      <c r="N346" s="22"/>
      <c r="O346" s="23"/>
    </row>
    <row r="347" customFormat="false" ht="15" hidden="false" customHeight="fals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5" t="str">
        <f aca="false">IF(A347="","",COUNTIF(Egresados!$S$2:$S$1501,A347))</f>
        <v/>
      </c>
      <c r="M347" s="22"/>
      <c r="N347" s="22"/>
      <c r="O347" s="23"/>
    </row>
    <row r="348" customFormat="false" ht="15" hidden="false" customHeight="fals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5" t="str">
        <f aca="false">IF(A348="","",COUNTIF(Egresados!$S$2:$S$1501,A348))</f>
        <v/>
      </c>
      <c r="M348" s="22"/>
      <c r="N348" s="22"/>
      <c r="O348" s="23"/>
    </row>
    <row r="349" customFormat="false" ht="15" hidden="false" customHeight="fals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5" t="str">
        <f aca="false">IF(A349="","",COUNTIF(Egresados!$S$2:$S$1501,A349))</f>
        <v/>
      </c>
      <c r="M349" s="22"/>
      <c r="N349" s="22"/>
      <c r="O349" s="23"/>
    </row>
    <row r="350" customFormat="false" ht="15" hidden="false" customHeight="fals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5" t="str">
        <f aca="false">IF(A350="","",COUNTIF(Egresados!$S$2:$S$1501,A350))</f>
        <v/>
      </c>
      <c r="M350" s="22"/>
      <c r="N350" s="22"/>
      <c r="O350" s="23"/>
    </row>
    <row r="351" customFormat="false" ht="15" hidden="false" customHeight="fals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5" t="str">
        <f aca="false">IF(A351="","",COUNTIF(Egresados!$S$2:$S$1501,A351))</f>
        <v/>
      </c>
      <c r="M351" s="22"/>
      <c r="N351" s="22"/>
      <c r="O351" s="23"/>
    </row>
    <row r="352" customFormat="false" ht="15" hidden="false" customHeight="fals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5" t="str">
        <f aca="false">IF(A352="","",COUNTIF(Egresados!$S$2:$S$1501,A352))</f>
        <v/>
      </c>
      <c r="M352" s="22"/>
      <c r="N352" s="22"/>
      <c r="O352" s="23"/>
    </row>
    <row r="353" customFormat="false" ht="15" hidden="false" customHeight="fals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5" t="str">
        <f aca="false">IF(A353="","",COUNTIF(Egresados!$S$2:$S$1501,A353))</f>
        <v/>
      </c>
      <c r="M353" s="22"/>
      <c r="N353" s="22"/>
      <c r="O353" s="23"/>
    </row>
    <row r="354" customFormat="false" ht="15" hidden="false" customHeight="fals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5" t="str">
        <f aca="false">IF(A354="","",COUNTIF(Egresados!$S$2:$S$1501,A354))</f>
        <v/>
      </c>
      <c r="M354" s="22"/>
      <c r="N354" s="22"/>
      <c r="O354" s="23"/>
    </row>
    <row r="355" customFormat="false" ht="15" hidden="false" customHeight="fals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5" t="str">
        <f aca="false">IF(A355="","",COUNTIF(Egresados!$S$2:$S$1501,A355))</f>
        <v/>
      </c>
      <c r="M355" s="22"/>
      <c r="N355" s="22"/>
      <c r="O355" s="23"/>
    </row>
    <row r="356" customFormat="false" ht="15" hidden="false" customHeight="fals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5" t="str">
        <f aca="false">IF(A356="","",COUNTIF(Egresados!$S$2:$S$1501,A356))</f>
        <v/>
      </c>
      <c r="M356" s="22"/>
      <c r="N356" s="22"/>
      <c r="O356" s="23"/>
    </row>
    <row r="357" customFormat="false" ht="15" hidden="false" customHeight="fals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5" t="str">
        <f aca="false">IF(A357="","",COUNTIF(Egresados!$S$2:$S$1501,A357))</f>
        <v/>
      </c>
      <c r="M357" s="22"/>
      <c r="N357" s="22"/>
      <c r="O357" s="23"/>
    </row>
    <row r="358" customFormat="false" ht="15" hidden="false" customHeight="fals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5" t="str">
        <f aca="false">IF(A358="","",COUNTIF(Egresados!$S$2:$S$1501,A358))</f>
        <v/>
      </c>
      <c r="M358" s="22"/>
      <c r="N358" s="22"/>
      <c r="O358" s="23"/>
    </row>
    <row r="359" customFormat="false" ht="15" hidden="false" customHeight="fals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5" t="str">
        <f aca="false">IF(A359="","",COUNTIF(Egresados!$S$2:$S$1501,A359))</f>
        <v/>
      </c>
      <c r="M359" s="22"/>
      <c r="N359" s="22"/>
      <c r="O359" s="23"/>
    </row>
    <row r="360" customFormat="false" ht="15" hidden="false" customHeight="fals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5" t="str">
        <f aca="false">IF(A360="","",COUNTIF(Egresados!$S$2:$S$1501,A360))</f>
        <v/>
      </c>
      <c r="M360" s="22"/>
      <c r="N360" s="22"/>
      <c r="O360" s="23"/>
    </row>
    <row r="361" customFormat="false" ht="15" hidden="false" customHeight="fals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5" t="str">
        <f aca="false">IF(A361="","",COUNTIF(Egresados!$S$2:$S$1501,A361))</f>
        <v/>
      </c>
      <c r="M361" s="22"/>
      <c r="N361" s="22"/>
      <c r="O361" s="23"/>
    </row>
    <row r="362" customFormat="false" ht="15" hidden="false" customHeight="fals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5" t="str">
        <f aca="false">IF(A362="","",COUNTIF(Egresados!$S$2:$S$1501,A362))</f>
        <v/>
      </c>
      <c r="M362" s="22"/>
      <c r="N362" s="22"/>
      <c r="O362" s="23"/>
    </row>
    <row r="363" customFormat="false" ht="15" hidden="false" customHeight="fals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5" t="str">
        <f aca="false">IF(A363="","",COUNTIF(Egresados!$S$2:$S$1501,A363))</f>
        <v/>
      </c>
      <c r="M363" s="22"/>
      <c r="N363" s="22"/>
      <c r="O363" s="23"/>
    </row>
    <row r="364" customFormat="false" ht="15" hidden="false" customHeight="fals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5" t="str">
        <f aca="false">IF(A364="","",COUNTIF(Egresados!$S$2:$S$1501,A364))</f>
        <v/>
      </c>
      <c r="M364" s="22"/>
      <c r="N364" s="22"/>
      <c r="O364" s="23"/>
    </row>
    <row r="365" customFormat="false" ht="15" hidden="false" customHeight="fals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5" t="str">
        <f aca="false">IF(A365="","",COUNTIF(Egresados!$S$2:$S$1501,A365))</f>
        <v/>
      </c>
      <c r="M365" s="22"/>
      <c r="N365" s="22"/>
      <c r="O365" s="23"/>
    </row>
    <row r="366" customFormat="false" ht="15" hidden="false" customHeight="fals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5" t="str">
        <f aca="false">IF(A366="","",COUNTIF(Egresados!$S$2:$S$1501,A366))</f>
        <v/>
      </c>
      <c r="M366" s="22"/>
      <c r="N366" s="22"/>
      <c r="O366" s="23"/>
    </row>
    <row r="367" customFormat="false" ht="15" hidden="false" customHeight="fals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5" t="str">
        <f aca="false">IF(A367="","",COUNTIF(Egresados!$S$2:$S$1501,A367))</f>
        <v/>
      </c>
      <c r="M367" s="22"/>
      <c r="N367" s="22"/>
      <c r="O367" s="23"/>
    </row>
    <row r="368" customFormat="false" ht="15" hidden="false" customHeight="fals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5" t="str">
        <f aca="false">IF(A368="","",COUNTIF(Egresados!$S$2:$S$1501,A368))</f>
        <v/>
      </c>
      <c r="M368" s="22"/>
      <c r="N368" s="22"/>
      <c r="O368" s="23"/>
    </row>
    <row r="369" customFormat="false" ht="15" hidden="false" customHeight="fals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5" t="str">
        <f aca="false">IF(A369="","",COUNTIF(Egresados!$S$2:$S$1501,A369))</f>
        <v/>
      </c>
      <c r="M369" s="22"/>
      <c r="N369" s="22"/>
      <c r="O369" s="23"/>
    </row>
    <row r="370" customFormat="false" ht="15" hidden="false" customHeight="fals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5" t="str">
        <f aca="false">IF(A370="","",COUNTIF(Egresados!$S$2:$S$1501,A370))</f>
        <v/>
      </c>
      <c r="M370" s="22"/>
      <c r="N370" s="22"/>
      <c r="O370" s="23"/>
    </row>
    <row r="371" customFormat="false" ht="15" hidden="false" customHeight="fals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5" t="str">
        <f aca="false">IF(A371="","",COUNTIF(Egresados!$S$2:$S$1501,A371))</f>
        <v/>
      </c>
      <c r="M371" s="22"/>
      <c r="N371" s="22"/>
      <c r="O371" s="23"/>
    </row>
    <row r="372" customFormat="false" ht="15" hidden="false" customHeight="fals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5" t="str">
        <f aca="false">IF(A372="","",COUNTIF(Egresados!$S$2:$S$1501,A372))</f>
        <v/>
      </c>
      <c r="M372" s="22"/>
      <c r="N372" s="22"/>
      <c r="O372" s="23"/>
    </row>
    <row r="373" customFormat="false" ht="15" hidden="false" customHeight="fals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5" t="str">
        <f aca="false">IF(A373="","",COUNTIF(Egresados!$S$2:$S$1501,A373))</f>
        <v/>
      </c>
      <c r="M373" s="22"/>
      <c r="N373" s="22"/>
      <c r="O373" s="23"/>
    </row>
    <row r="374" customFormat="false" ht="15" hidden="false" customHeight="fals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5" t="str">
        <f aca="false">IF(A374="","",COUNTIF(Egresados!$S$2:$S$1501,A374))</f>
        <v/>
      </c>
      <c r="M374" s="22"/>
      <c r="N374" s="22"/>
      <c r="O374" s="23"/>
    </row>
    <row r="375" customFormat="false" ht="15" hidden="false" customHeight="fals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5" t="str">
        <f aca="false">IF(A375="","",COUNTIF(Egresados!$S$2:$S$1501,A375))</f>
        <v/>
      </c>
      <c r="M375" s="22"/>
      <c r="N375" s="22"/>
      <c r="O375" s="23"/>
    </row>
    <row r="376" customFormat="false" ht="15" hidden="false" customHeight="fals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5" t="str">
        <f aca="false">IF(A376="","",COUNTIF(Egresados!$S$2:$S$1501,A376))</f>
        <v/>
      </c>
      <c r="M376" s="22"/>
      <c r="N376" s="22"/>
      <c r="O376" s="23"/>
    </row>
    <row r="377" customFormat="false" ht="15" hidden="false" customHeight="fals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5" t="str">
        <f aca="false">IF(A377="","",COUNTIF(Egresados!$S$2:$S$1501,A377))</f>
        <v/>
      </c>
      <c r="M377" s="22"/>
      <c r="N377" s="22"/>
      <c r="O377" s="23"/>
    </row>
    <row r="378" customFormat="false" ht="15" hidden="false" customHeight="fals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5" t="str">
        <f aca="false">IF(A378="","",COUNTIF(Egresados!$S$2:$S$1501,A378))</f>
        <v/>
      </c>
      <c r="M378" s="22"/>
      <c r="N378" s="22"/>
      <c r="O378" s="23"/>
    </row>
    <row r="379" customFormat="false" ht="15" hidden="false" customHeight="fals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5" t="str">
        <f aca="false">IF(A379="","",COUNTIF(Egresados!$S$2:$S$1501,A379))</f>
        <v/>
      </c>
      <c r="M379" s="22"/>
      <c r="N379" s="22"/>
      <c r="O379" s="23"/>
    </row>
    <row r="380" customFormat="false" ht="15" hidden="false" customHeight="fals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5" t="str">
        <f aca="false">IF(A380="","",COUNTIF(Egresados!$S$2:$S$1501,A380))</f>
        <v/>
      </c>
      <c r="M380" s="22"/>
      <c r="N380" s="22"/>
      <c r="O380" s="23"/>
    </row>
    <row r="381" customFormat="false" ht="15" hidden="false" customHeight="fals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5" t="str">
        <f aca="false">IF(A381="","",COUNTIF(Egresados!$S$2:$S$1501,A381))</f>
        <v/>
      </c>
      <c r="M381" s="22"/>
      <c r="N381" s="22"/>
      <c r="O381" s="23"/>
    </row>
    <row r="382" customFormat="false" ht="15" hidden="false" customHeight="fals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5" t="str">
        <f aca="false">IF(A382="","",COUNTIF(Egresados!$S$2:$S$1501,A382))</f>
        <v/>
      </c>
      <c r="M382" s="22"/>
      <c r="N382" s="22"/>
      <c r="O382" s="23"/>
    </row>
    <row r="383" customFormat="false" ht="15" hidden="false" customHeight="fals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5" t="str">
        <f aca="false">IF(A383="","",COUNTIF(Egresados!$S$2:$S$1501,A383))</f>
        <v/>
      </c>
      <c r="M383" s="22"/>
      <c r="N383" s="22"/>
      <c r="O383" s="23"/>
    </row>
    <row r="384" customFormat="false" ht="15" hidden="false" customHeight="fals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5" t="str">
        <f aca="false">IF(A384="","",COUNTIF(Egresados!$S$2:$S$1501,A384))</f>
        <v/>
      </c>
      <c r="M384" s="22"/>
      <c r="N384" s="22"/>
      <c r="O384" s="23"/>
    </row>
    <row r="385" customFormat="false" ht="15" hidden="false" customHeight="fals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5" t="str">
        <f aca="false">IF(A385="","",COUNTIF(Egresados!$S$2:$S$1501,A385))</f>
        <v/>
      </c>
      <c r="M385" s="22"/>
      <c r="N385" s="22"/>
      <c r="O385" s="23"/>
    </row>
    <row r="386" customFormat="false" ht="15" hidden="false" customHeight="fals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5" t="str">
        <f aca="false">IF(A386="","",COUNTIF(Egresados!$S$2:$S$1501,A386))</f>
        <v/>
      </c>
      <c r="M386" s="22"/>
      <c r="N386" s="22"/>
      <c r="O386" s="23"/>
    </row>
    <row r="387" customFormat="false" ht="15" hidden="false" customHeight="fals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5" t="str">
        <f aca="false">IF(A387="","",COUNTIF(Egresados!$S$2:$S$1501,A387))</f>
        <v/>
      </c>
      <c r="M387" s="22"/>
      <c r="N387" s="22"/>
      <c r="O387" s="23"/>
    </row>
    <row r="388" customFormat="false" ht="15" hidden="false" customHeight="fals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5" t="str">
        <f aca="false">IF(A388="","",COUNTIF(Egresados!$S$2:$S$1501,A388))</f>
        <v/>
      </c>
      <c r="M388" s="22"/>
      <c r="N388" s="22"/>
      <c r="O388" s="23"/>
    </row>
    <row r="389" customFormat="false" ht="15" hidden="false" customHeight="fals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5" t="str">
        <f aca="false">IF(A389="","",COUNTIF(Egresados!$S$2:$S$1501,A389))</f>
        <v/>
      </c>
      <c r="M389" s="22"/>
      <c r="N389" s="22"/>
      <c r="O389" s="23"/>
    </row>
    <row r="390" customFormat="false" ht="15" hidden="false" customHeight="fals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5" t="str">
        <f aca="false">IF(A390="","",COUNTIF(Egresados!$S$2:$S$1501,A390))</f>
        <v/>
      </c>
      <c r="M390" s="22"/>
      <c r="N390" s="22"/>
      <c r="O390" s="23"/>
    </row>
    <row r="391" customFormat="false" ht="15" hidden="false" customHeight="fals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5" t="str">
        <f aca="false">IF(A391="","",COUNTIF(Egresados!$S$2:$S$1501,A391))</f>
        <v/>
      </c>
      <c r="M391" s="22"/>
      <c r="N391" s="22"/>
      <c r="O391" s="23"/>
    </row>
    <row r="392" customFormat="false" ht="15" hidden="false" customHeight="fals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5" t="str">
        <f aca="false">IF(A392="","",COUNTIF(Egresados!$S$2:$S$1501,A392))</f>
        <v/>
      </c>
      <c r="M392" s="22"/>
      <c r="N392" s="22"/>
      <c r="O392" s="23"/>
    </row>
    <row r="393" customFormat="false" ht="15" hidden="false" customHeight="fals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5" t="str">
        <f aca="false">IF(A393="","",COUNTIF(Egresados!$S$2:$S$1501,A393))</f>
        <v/>
      </c>
      <c r="M393" s="22"/>
      <c r="N393" s="22"/>
      <c r="O393" s="23"/>
    </row>
    <row r="394" customFormat="false" ht="15" hidden="false" customHeight="fals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5" t="str">
        <f aca="false">IF(A394="","",COUNTIF(Egresados!$S$2:$S$1501,A394))</f>
        <v/>
      </c>
      <c r="M394" s="22"/>
      <c r="N394" s="22"/>
      <c r="O394" s="23"/>
    </row>
    <row r="395" customFormat="false" ht="15" hidden="false" customHeight="fals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5" t="str">
        <f aca="false">IF(A395="","",COUNTIF(Egresados!$S$2:$S$1501,A395))</f>
        <v/>
      </c>
      <c r="M395" s="22"/>
      <c r="N395" s="22"/>
      <c r="O395" s="23"/>
    </row>
    <row r="396" customFormat="false" ht="15" hidden="false" customHeight="fals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5" t="str">
        <f aca="false">IF(A396="","",COUNTIF(Egresados!$S$2:$S$1501,A396))</f>
        <v/>
      </c>
      <c r="M396" s="22"/>
      <c r="N396" s="22"/>
      <c r="O396" s="23"/>
    </row>
    <row r="397" customFormat="false" ht="15" hidden="false" customHeight="fals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5" t="str">
        <f aca="false">IF(A397="","",COUNTIF(Egresados!$S$2:$S$1501,A397))</f>
        <v/>
      </c>
      <c r="M397" s="22"/>
      <c r="N397" s="22"/>
      <c r="O397" s="23"/>
    </row>
    <row r="398" customFormat="false" ht="15" hidden="false" customHeight="fals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5" t="str">
        <f aca="false">IF(A398="","",COUNTIF(Egresados!$S$2:$S$1501,A398))</f>
        <v/>
      </c>
      <c r="M398" s="22"/>
      <c r="N398" s="22"/>
      <c r="O398" s="23"/>
    </row>
    <row r="399" customFormat="false" ht="15" hidden="false" customHeight="fals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5" t="str">
        <f aca="false">IF(A399="","",COUNTIF(Egresados!$S$2:$S$1501,A399))</f>
        <v/>
      </c>
      <c r="M399" s="22"/>
      <c r="N399" s="22"/>
      <c r="O399" s="23"/>
    </row>
    <row r="400" customFormat="false" ht="15" hidden="false" customHeight="fals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5" t="str">
        <f aca="false">IF(A400="","",COUNTIF(Egresados!$S$2:$S$1501,A400))</f>
        <v/>
      </c>
      <c r="M400" s="22"/>
      <c r="N400" s="22"/>
      <c r="O400" s="23"/>
    </row>
    <row r="401" customFormat="false" ht="15" hidden="false" customHeight="fals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5" t="str">
        <f aca="false">IF(A401="","",COUNTIF(Egresados!$S$2:$S$1501,A401))</f>
        <v/>
      </c>
      <c r="M401" s="22"/>
      <c r="N401" s="22"/>
      <c r="O401" s="23"/>
    </row>
    <row r="402" customFormat="false" ht="15" hidden="false" customHeight="fals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5" t="str">
        <f aca="false">IF(A402="","",COUNTIF(Egresados!$S$2:$S$1501,A402))</f>
        <v/>
      </c>
      <c r="M402" s="22"/>
      <c r="N402" s="22"/>
      <c r="O402" s="23"/>
    </row>
    <row r="403" customFormat="false" ht="15" hidden="false" customHeight="fals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5" t="str">
        <f aca="false">IF(A403="","",COUNTIF(Egresados!$S$2:$S$1501,A403))</f>
        <v/>
      </c>
      <c r="M403" s="22"/>
      <c r="N403" s="22"/>
      <c r="O403" s="23"/>
    </row>
    <row r="404" customFormat="false" ht="15" hidden="false" customHeight="fals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5" t="str">
        <f aca="false">IF(A404="","",COUNTIF(Egresados!$S$2:$S$1501,A404))</f>
        <v/>
      </c>
      <c r="M404" s="22"/>
      <c r="N404" s="22"/>
      <c r="O404" s="23"/>
    </row>
    <row r="405" customFormat="false" ht="15" hidden="false" customHeight="fals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5" t="str">
        <f aca="false">IF(A405="","",COUNTIF(Egresados!$S$2:$S$1501,A405))</f>
        <v/>
      </c>
      <c r="M405" s="22"/>
      <c r="N405" s="22"/>
      <c r="O405" s="23"/>
    </row>
    <row r="406" customFormat="false" ht="15" hidden="false" customHeight="fals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5" t="str">
        <f aca="false">IF(A406="","",COUNTIF(Egresados!$S$2:$S$1501,A406))</f>
        <v/>
      </c>
      <c r="M406" s="22"/>
      <c r="N406" s="22"/>
      <c r="O406" s="23"/>
    </row>
    <row r="407" customFormat="false" ht="15" hidden="false" customHeight="fals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5" t="str">
        <f aca="false">IF(A407="","",COUNTIF(Egresados!$S$2:$S$1501,A407))</f>
        <v/>
      </c>
      <c r="M407" s="22"/>
      <c r="N407" s="22"/>
      <c r="O407" s="23"/>
    </row>
    <row r="408" customFormat="false" ht="15" hidden="false" customHeight="fals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5" t="str">
        <f aca="false">IF(A408="","",COUNTIF(Egresados!$S$2:$S$1501,A408))</f>
        <v/>
      </c>
      <c r="M408" s="22"/>
      <c r="N408" s="22"/>
      <c r="O408" s="23"/>
    </row>
    <row r="409" customFormat="false" ht="15" hidden="false" customHeight="fals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5" t="str">
        <f aca="false">IF(A409="","",COUNTIF(Egresados!$S$2:$S$1501,A409))</f>
        <v/>
      </c>
      <c r="M409" s="22"/>
      <c r="N409" s="22"/>
      <c r="O409" s="23"/>
    </row>
    <row r="410" customFormat="false" ht="15" hidden="false" customHeight="fals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5" t="str">
        <f aca="false">IF(A410="","",COUNTIF(Egresados!$S$2:$S$1501,A410))</f>
        <v/>
      </c>
      <c r="M410" s="22"/>
      <c r="N410" s="22"/>
      <c r="O410" s="23"/>
    </row>
    <row r="411" customFormat="false" ht="15" hidden="false" customHeight="fals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5" t="str">
        <f aca="false">IF(A411="","",COUNTIF(Egresados!$S$2:$S$1501,A411))</f>
        <v/>
      </c>
      <c r="M411" s="22"/>
      <c r="N411" s="22"/>
      <c r="O411" s="23"/>
    </row>
    <row r="412" customFormat="false" ht="15" hidden="false" customHeight="fals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5" t="str">
        <f aca="false">IF(A412="","",COUNTIF(Egresados!$S$2:$S$1501,A412))</f>
        <v/>
      </c>
      <c r="M412" s="22"/>
      <c r="N412" s="22"/>
      <c r="O412" s="23"/>
    </row>
    <row r="413" customFormat="false" ht="15" hidden="false" customHeight="fals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5" t="str">
        <f aca="false">IF(A413="","",COUNTIF(Egresados!$S$2:$S$1501,A413))</f>
        <v/>
      </c>
      <c r="M413" s="22"/>
      <c r="N413" s="22"/>
      <c r="O413" s="23"/>
    </row>
    <row r="414" customFormat="false" ht="15" hidden="false" customHeight="fals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5" t="str">
        <f aca="false">IF(A414="","",COUNTIF(Egresados!$S$2:$S$1501,A414))</f>
        <v/>
      </c>
      <c r="M414" s="22"/>
      <c r="N414" s="22"/>
      <c r="O414" s="23"/>
    </row>
    <row r="415" customFormat="false" ht="15" hidden="false" customHeight="fals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5" t="str">
        <f aca="false">IF(A415="","",COUNTIF(Egresados!$S$2:$S$1501,A415))</f>
        <v/>
      </c>
      <c r="M415" s="22"/>
      <c r="N415" s="22"/>
      <c r="O415" s="23"/>
    </row>
    <row r="416" customFormat="false" ht="15" hidden="false" customHeight="fals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5" t="str">
        <f aca="false">IF(A416="","",COUNTIF(Egresados!$S$2:$S$1501,A416))</f>
        <v/>
      </c>
      <c r="M416" s="22"/>
      <c r="N416" s="22"/>
      <c r="O416" s="23"/>
    </row>
    <row r="417" customFormat="false" ht="15" hidden="false" customHeight="fals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5" t="str">
        <f aca="false">IF(A417="","",COUNTIF(Egresados!$S$2:$S$1501,A417))</f>
        <v/>
      </c>
      <c r="M417" s="22"/>
      <c r="N417" s="22"/>
      <c r="O417" s="23"/>
    </row>
    <row r="418" customFormat="false" ht="15" hidden="false" customHeight="fals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5" t="str">
        <f aca="false">IF(A418="","",COUNTIF(Egresados!$S$2:$S$1501,A418))</f>
        <v/>
      </c>
      <c r="M418" s="22"/>
      <c r="N418" s="22"/>
      <c r="O418" s="23"/>
    </row>
    <row r="419" customFormat="false" ht="15" hidden="false" customHeight="fals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5" t="str">
        <f aca="false">IF(A419="","",COUNTIF(Egresados!$S$2:$S$1501,A419))</f>
        <v/>
      </c>
      <c r="M419" s="22"/>
      <c r="N419" s="22"/>
      <c r="O419" s="23"/>
    </row>
    <row r="420" customFormat="false" ht="15" hidden="false" customHeight="fals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5" t="str">
        <f aca="false">IF(A420="","",COUNTIF(Egresados!$S$2:$S$1501,A420))</f>
        <v/>
      </c>
      <c r="M420" s="22"/>
      <c r="N420" s="22"/>
      <c r="O420" s="23"/>
    </row>
    <row r="421" customFormat="false" ht="15" hidden="false" customHeight="fals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5" t="str">
        <f aca="false">IF(A421="","",COUNTIF(Egresados!$S$2:$S$1501,A421))</f>
        <v/>
      </c>
      <c r="M421" s="22"/>
      <c r="N421" s="22"/>
      <c r="O421" s="23"/>
    </row>
    <row r="422" customFormat="false" ht="15" hidden="false" customHeight="fals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5" t="str">
        <f aca="false">IF(A422="","",COUNTIF(Egresados!$S$2:$S$1501,A422))</f>
        <v/>
      </c>
      <c r="M422" s="22"/>
      <c r="N422" s="22"/>
      <c r="O422" s="23"/>
    </row>
    <row r="423" customFormat="false" ht="15" hidden="false" customHeight="fals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5" t="str">
        <f aca="false">IF(A423="","",COUNTIF(Egresados!$S$2:$S$1501,A423))</f>
        <v/>
      </c>
      <c r="M423" s="22"/>
      <c r="N423" s="22"/>
      <c r="O423" s="23"/>
    </row>
    <row r="424" customFormat="false" ht="15" hidden="false" customHeight="fals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5" t="str">
        <f aca="false">IF(A424="","",COUNTIF(Egresados!$S$2:$S$1501,A424))</f>
        <v/>
      </c>
      <c r="M424" s="22"/>
      <c r="N424" s="22"/>
      <c r="O424" s="23"/>
    </row>
    <row r="425" customFormat="false" ht="15" hidden="false" customHeight="fals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5" t="str">
        <f aca="false">IF(A425="","",COUNTIF(Egresados!$S$2:$S$1501,A425))</f>
        <v/>
      </c>
      <c r="M425" s="22"/>
      <c r="N425" s="22"/>
      <c r="O425" s="23"/>
    </row>
    <row r="426" customFormat="false" ht="15" hidden="false" customHeight="fals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5" t="str">
        <f aca="false">IF(A426="","",COUNTIF(Egresados!$S$2:$S$1501,A426))</f>
        <v/>
      </c>
      <c r="M426" s="22"/>
      <c r="N426" s="22"/>
      <c r="O426" s="23"/>
    </row>
    <row r="427" customFormat="false" ht="15" hidden="false" customHeight="fals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5" t="str">
        <f aca="false">IF(A427="","",COUNTIF(Egresados!$S$2:$S$1501,A427))</f>
        <v/>
      </c>
      <c r="M427" s="22"/>
      <c r="N427" s="22"/>
      <c r="O427" s="23"/>
    </row>
    <row r="428" customFormat="false" ht="15" hidden="false" customHeight="fals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5" t="str">
        <f aca="false">IF(A428="","",COUNTIF(Egresados!$S$2:$S$1501,A428))</f>
        <v/>
      </c>
      <c r="M428" s="22"/>
      <c r="N428" s="22"/>
      <c r="O428" s="23"/>
    </row>
    <row r="429" customFormat="false" ht="15" hidden="false" customHeight="fals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5" t="str">
        <f aca="false">IF(A429="","",COUNTIF(Egresados!$S$2:$S$1501,A429))</f>
        <v/>
      </c>
      <c r="M429" s="22"/>
      <c r="N429" s="22"/>
      <c r="O429" s="23"/>
    </row>
    <row r="430" customFormat="false" ht="15" hidden="false" customHeight="fals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5" t="str">
        <f aca="false">IF(A430="","",COUNTIF(Egresados!$S$2:$S$1501,A430))</f>
        <v/>
      </c>
      <c r="M430" s="22"/>
      <c r="N430" s="22"/>
      <c r="O430" s="23"/>
    </row>
    <row r="431" customFormat="false" ht="15" hidden="false" customHeight="fals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5" t="str">
        <f aca="false">IF(A431="","",COUNTIF(Egresados!$S$2:$S$1501,A431))</f>
        <v/>
      </c>
      <c r="M431" s="22"/>
      <c r="N431" s="22"/>
      <c r="O431" s="23"/>
    </row>
    <row r="432" customFormat="false" ht="15" hidden="false" customHeight="fals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5" t="str">
        <f aca="false">IF(A432="","",COUNTIF(Egresados!$S$2:$S$1501,A432))</f>
        <v/>
      </c>
      <c r="M432" s="22"/>
      <c r="N432" s="22"/>
      <c r="O432" s="23"/>
    </row>
    <row r="433" customFormat="false" ht="15" hidden="false" customHeight="fals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5" t="str">
        <f aca="false">IF(A433="","",COUNTIF(Egresados!$S$2:$S$1501,A433))</f>
        <v/>
      </c>
      <c r="M433" s="22"/>
      <c r="N433" s="22"/>
      <c r="O433" s="23"/>
    </row>
    <row r="434" customFormat="false" ht="15" hidden="false" customHeight="fals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5" t="str">
        <f aca="false">IF(A434="","",COUNTIF(Egresados!$S$2:$S$1501,A434))</f>
        <v/>
      </c>
      <c r="M434" s="22"/>
      <c r="N434" s="22"/>
      <c r="O434" s="23"/>
    </row>
    <row r="435" customFormat="false" ht="15" hidden="false" customHeight="fals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5" t="str">
        <f aca="false">IF(A435="","",COUNTIF(Egresados!$S$2:$S$1501,A435))</f>
        <v/>
      </c>
      <c r="M435" s="22"/>
      <c r="N435" s="22"/>
      <c r="O435" s="23"/>
    </row>
    <row r="436" customFormat="false" ht="15" hidden="false" customHeight="fals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5" t="str">
        <f aca="false">IF(A436="","",COUNTIF(Egresados!$S$2:$S$1501,A436))</f>
        <v/>
      </c>
      <c r="M436" s="22"/>
      <c r="N436" s="22"/>
      <c r="O436" s="23"/>
    </row>
    <row r="437" customFormat="false" ht="15" hidden="false" customHeight="fals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5" t="str">
        <f aca="false">IF(A437="","",COUNTIF(Egresados!$S$2:$S$1501,A437))</f>
        <v/>
      </c>
      <c r="M437" s="22"/>
      <c r="N437" s="22"/>
      <c r="O437" s="23"/>
    </row>
    <row r="438" customFormat="false" ht="15" hidden="false" customHeight="fals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5" t="str">
        <f aca="false">IF(A438="","",COUNTIF(Egresados!$S$2:$S$1501,A438))</f>
        <v/>
      </c>
      <c r="M438" s="22"/>
      <c r="N438" s="22"/>
      <c r="O438" s="23"/>
    </row>
    <row r="439" customFormat="false" ht="15" hidden="false" customHeight="fals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5" t="str">
        <f aca="false">IF(A439="","",COUNTIF(Egresados!$S$2:$S$1501,A439))</f>
        <v/>
      </c>
      <c r="M439" s="22"/>
      <c r="N439" s="22"/>
      <c r="O439" s="23"/>
    </row>
    <row r="440" customFormat="false" ht="15" hidden="false" customHeight="fals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5" t="str">
        <f aca="false">IF(A440="","",COUNTIF(Egresados!$S$2:$S$1501,A440))</f>
        <v/>
      </c>
      <c r="M440" s="22"/>
      <c r="N440" s="22"/>
      <c r="O440" s="23"/>
    </row>
    <row r="441" customFormat="false" ht="15" hidden="false" customHeight="fals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5" t="str">
        <f aca="false">IF(A441="","",COUNTIF(Egresados!$S$2:$S$1501,A441))</f>
        <v/>
      </c>
      <c r="M441" s="22"/>
      <c r="N441" s="22"/>
      <c r="O441" s="23"/>
    </row>
    <row r="442" customFormat="false" ht="15" hidden="false" customHeight="fals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5" t="str">
        <f aca="false">IF(A442="","",COUNTIF(Egresados!$S$2:$S$1501,A442))</f>
        <v/>
      </c>
      <c r="M442" s="22"/>
      <c r="N442" s="22"/>
      <c r="O442" s="23"/>
    </row>
    <row r="443" customFormat="false" ht="15" hidden="false" customHeight="fals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5" t="str">
        <f aca="false">IF(A443="","",COUNTIF(Egresados!$S$2:$S$1501,A443))</f>
        <v/>
      </c>
      <c r="M443" s="22"/>
      <c r="N443" s="22"/>
      <c r="O443" s="23"/>
    </row>
    <row r="444" customFormat="false" ht="15" hidden="false" customHeight="fals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5" t="str">
        <f aca="false">IF(A444="","",COUNTIF(Egresados!$S$2:$S$1501,A444))</f>
        <v/>
      </c>
      <c r="M444" s="22"/>
      <c r="N444" s="22"/>
      <c r="O444" s="23"/>
    </row>
    <row r="445" customFormat="false" ht="15" hidden="false" customHeight="fals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5" t="str">
        <f aca="false">IF(A445="","",COUNTIF(Egresados!$S$2:$S$1501,A445))</f>
        <v/>
      </c>
      <c r="M445" s="22"/>
      <c r="N445" s="22"/>
      <c r="O445" s="23"/>
    </row>
    <row r="446" customFormat="false" ht="15" hidden="false" customHeight="fals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5" t="str">
        <f aca="false">IF(A446="","",COUNTIF(Egresados!$S$2:$S$1501,A446))</f>
        <v/>
      </c>
      <c r="M446" s="22"/>
      <c r="N446" s="22"/>
      <c r="O446" s="23"/>
    </row>
    <row r="447" customFormat="false" ht="15" hidden="false" customHeight="fals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5" t="str">
        <f aca="false">IF(A447="","",COUNTIF(Egresados!$S$2:$S$1501,A447))</f>
        <v/>
      </c>
      <c r="M447" s="22"/>
      <c r="N447" s="22"/>
      <c r="O447" s="23"/>
    </row>
    <row r="448" customFormat="false" ht="15" hidden="false" customHeight="fals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5" t="str">
        <f aca="false">IF(A448="","",COUNTIF(Egresados!$S$2:$S$1501,A448))</f>
        <v/>
      </c>
      <c r="M448" s="22"/>
      <c r="N448" s="22"/>
      <c r="O448" s="23"/>
    </row>
    <row r="449" customFormat="false" ht="15" hidden="false" customHeight="fals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5" t="str">
        <f aca="false">IF(A449="","",COUNTIF(Egresados!$S$2:$S$1501,A449))</f>
        <v/>
      </c>
      <c r="M449" s="22"/>
      <c r="N449" s="22"/>
      <c r="O449" s="23"/>
    </row>
    <row r="450" customFormat="false" ht="15" hidden="false" customHeight="fals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5" t="str">
        <f aca="false">IF(A450="","",COUNTIF(Egresados!$S$2:$S$1501,A450))</f>
        <v/>
      </c>
      <c r="M450" s="22"/>
      <c r="N450" s="22"/>
      <c r="O450" s="23"/>
    </row>
    <row r="451" customFormat="false" ht="15" hidden="false" customHeight="fals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5" t="str">
        <f aca="false">IF(A451="","",COUNTIF(Egresados!$S$2:$S$1501,A451))</f>
        <v/>
      </c>
      <c r="M451" s="22"/>
      <c r="N451" s="22"/>
      <c r="O451" s="23"/>
    </row>
    <row r="452" customFormat="false" ht="15" hidden="false" customHeight="fals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5" t="str">
        <f aca="false">IF(A452="","",COUNTIF(Egresados!$S$2:$S$1501,A452))</f>
        <v/>
      </c>
      <c r="M452" s="22"/>
      <c r="N452" s="22"/>
      <c r="O452" s="23"/>
    </row>
    <row r="453" customFormat="false" ht="15" hidden="false" customHeight="fals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5" t="str">
        <f aca="false">IF(A453="","",COUNTIF(Egresados!$S$2:$S$1501,A453))</f>
        <v/>
      </c>
      <c r="M453" s="22"/>
      <c r="N453" s="22"/>
      <c r="O453" s="23"/>
    </row>
    <row r="454" customFormat="false" ht="15" hidden="false" customHeight="fals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5" t="str">
        <f aca="false">IF(A454="","",COUNTIF(Egresados!$S$2:$S$1501,A454))</f>
        <v/>
      </c>
      <c r="M454" s="22"/>
      <c r="N454" s="22"/>
      <c r="O454" s="23"/>
    </row>
    <row r="455" customFormat="false" ht="15" hidden="false" customHeight="fals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5" t="str">
        <f aca="false">IF(A455="","",COUNTIF(Egresados!$S$2:$S$1501,A455))</f>
        <v/>
      </c>
      <c r="M455" s="22"/>
      <c r="N455" s="22"/>
      <c r="O455" s="23"/>
    </row>
    <row r="456" customFormat="false" ht="15" hidden="false" customHeight="fals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5" t="str">
        <f aca="false">IF(A456="","",COUNTIF(Egresados!$S$2:$S$1501,A456))</f>
        <v/>
      </c>
      <c r="M456" s="22"/>
      <c r="N456" s="22"/>
      <c r="O456" s="23"/>
    </row>
    <row r="457" customFormat="false" ht="15" hidden="false" customHeight="fals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5" t="str">
        <f aca="false">IF(A457="","",COUNTIF(Egresados!$S$2:$S$1501,A457))</f>
        <v/>
      </c>
      <c r="M457" s="22"/>
      <c r="N457" s="22"/>
      <c r="O457" s="23"/>
    </row>
    <row r="458" customFormat="false" ht="15" hidden="false" customHeight="fals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5" t="str">
        <f aca="false">IF(A458="","",COUNTIF(Egresados!$S$2:$S$1501,A458))</f>
        <v/>
      </c>
      <c r="M458" s="22"/>
      <c r="N458" s="22"/>
      <c r="O458" s="23"/>
    </row>
    <row r="459" customFormat="false" ht="15" hidden="false" customHeight="fals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5" t="str">
        <f aca="false">IF(A459="","",COUNTIF(Egresados!$S$2:$S$1501,A459))</f>
        <v/>
      </c>
      <c r="M459" s="22"/>
      <c r="N459" s="22"/>
      <c r="O459" s="23"/>
    </row>
    <row r="460" customFormat="false" ht="15" hidden="false" customHeight="fals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5" t="str">
        <f aca="false">IF(A460="","",COUNTIF(Egresados!$S$2:$S$1501,A460))</f>
        <v/>
      </c>
      <c r="M460" s="22"/>
      <c r="N460" s="22"/>
      <c r="O460" s="23"/>
    </row>
    <row r="461" customFormat="false" ht="15" hidden="false" customHeight="fals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5" t="str">
        <f aca="false">IF(A461="","",COUNTIF(Egresados!$S$2:$S$1501,A461))</f>
        <v/>
      </c>
      <c r="M461" s="22"/>
      <c r="N461" s="22"/>
      <c r="O461" s="23"/>
    </row>
    <row r="462" customFormat="false" ht="15" hidden="false" customHeight="fals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5" t="str">
        <f aca="false">IF(A462="","",COUNTIF(Egresados!$S$2:$S$1501,A462))</f>
        <v/>
      </c>
      <c r="M462" s="22"/>
      <c r="N462" s="22"/>
      <c r="O462" s="23"/>
    </row>
    <row r="463" customFormat="false" ht="15" hidden="false" customHeight="fals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5" t="str">
        <f aca="false">IF(A463="","",COUNTIF(Egresados!$S$2:$S$1501,A463))</f>
        <v/>
      </c>
      <c r="M463" s="22"/>
      <c r="N463" s="22"/>
      <c r="O463" s="23"/>
    </row>
    <row r="464" customFormat="false" ht="15" hidden="false" customHeight="fals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5" t="str">
        <f aca="false">IF(A464="","",COUNTIF(Egresados!$S$2:$S$1501,A464))</f>
        <v/>
      </c>
      <c r="M464" s="22"/>
      <c r="N464" s="22"/>
      <c r="O464" s="23"/>
    </row>
    <row r="465" customFormat="false" ht="15" hidden="false" customHeight="fals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5" t="str">
        <f aca="false">IF(A465="","",COUNTIF(Egresados!$S$2:$S$1501,A465))</f>
        <v/>
      </c>
      <c r="M465" s="22"/>
      <c r="N465" s="22"/>
      <c r="O465" s="23"/>
    </row>
    <row r="466" customFormat="false" ht="15" hidden="false" customHeight="fals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5" t="str">
        <f aca="false">IF(A466="","",COUNTIF(Egresados!$S$2:$S$1501,A466))</f>
        <v/>
      </c>
      <c r="M466" s="22"/>
      <c r="N466" s="22"/>
      <c r="O466" s="23"/>
    </row>
    <row r="467" customFormat="false" ht="15" hidden="false" customHeight="fals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5" t="str">
        <f aca="false">IF(A467="","",COUNTIF(Egresados!$S$2:$S$1501,A467))</f>
        <v/>
      </c>
      <c r="M467" s="22"/>
      <c r="N467" s="22"/>
      <c r="O467" s="23"/>
    </row>
    <row r="468" customFormat="false" ht="15" hidden="false" customHeight="fals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5" t="str">
        <f aca="false">IF(A468="","",COUNTIF(Egresados!$S$2:$S$1501,A468))</f>
        <v/>
      </c>
      <c r="M468" s="22"/>
      <c r="N468" s="22"/>
      <c r="O468" s="23"/>
    </row>
    <row r="469" customFormat="false" ht="15" hidden="false" customHeight="fals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5" t="str">
        <f aca="false">IF(A469="","",COUNTIF(Egresados!$S$2:$S$1501,A469))</f>
        <v/>
      </c>
      <c r="M469" s="22"/>
      <c r="N469" s="22"/>
      <c r="O469" s="23"/>
    </row>
    <row r="470" customFormat="false" ht="15" hidden="false" customHeight="fals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5" t="str">
        <f aca="false">IF(A470="","",COUNTIF(Egresados!$S$2:$S$1501,A470))</f>
        <v/>
      </c>
      <c r="M470" s="22"/>
      <c r="N470" s="22"/>
      <c r="O470" s="23"/>
    </row>
    <row r="471" customFormat="false" ht="15" hidden="false" customHeight="fals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5" t="str">
        <f aca="false">IF(A471="","",COUNTIF(Egresados!$S$2:$S$1501,A471))</f>
        <v/>
      </c>
      <c r="M471" s="22"/>
      <c r="N471" s="22"/>
      <c r="O471" s="23"/>
    </row>
    <row r="472" customFormat="false" ht="15" hidden="false" customHeight="fals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5" t="str">
        <f aca="false">IF(A472="","",COUNTIF(Egresados!$S$2:$S$1501,A472))</f>
        <v/>
      </c>
      <c r="M472" s="22"/>
      <c r="N472" s="22"/>
      <c r="O472" s="23"/>
    </row>
    <row r="473" customFormat="false" ht="15" hidden="false" customHeight="fals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5" t="str">
        <f aca="false">IF(A473="","",COUNTIF(Egresados!$S$2:$S$1501,A473))</f>
        <v/>
      </c>
      <c r="M473" s="22"/>
      <c r="N473" s="22"/>
      <c r="O473" s="23"/>
    </row>
    <row r="474" customFormat="false" ht="15" hidden="false" customHeight="fals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5" t="str">
        <f aca="false">IF(A474="","",COUNTIF(Egresados!$S$2:$S$1501,A474))</f>
        <v/>
      </c>
      <c r="M474" s="22"/>
      <c r="N474" s="22"/>
      <c r="O474" s="23"/>
    </row>
    <row r="475" customFormat="false" ht="15" hidden="false" customHeight="fals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5" t="str">
        <f aca="false">IF(A475="","",COUNTIF(Egresados!$S$2:$S$1501,A475))</f>
        <v/>
      </c>
      <c r="M475" s="22"/>
      <c r="N475" s="22"/>
      <c r="O475" s="23"/>
    </row>
    <row r="476" customFormat="false" ht="15" hidden="false" customHeight="fals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5" t="str">
        <f aca="false">IF(A476="","",COUNTIF(Egresados!$S$2:$S$1501,A476))</f>
        <v/>
      </c>
      <c r="M476" s="22"/>
      <c r="N476" s="22"/>
      <c r="O476" s="23"/>
    </row>
    <row r="477" customFormat="false" ht="15" hidden="false" customHeight="fals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5" t="str">
        <f aca="false">IF(A477="","",COUNTIF(Egresados!$S$2:$S$1501,A477))</f>
        <v/>
      </c>
      <c r="M477" s="22"/>
      <c r="N477" s="22"/>
      <c r="O477" s="23"/>
    </row>
    <row r="478" customFormat="false" ht="15" hidden="false" customHeight="fals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5" t="str">
        <f aca="false">IF(A478="","",COUNTIF(Egresados!$S$2:$S$1501,A478))</f>
        <v/>
      </c>
      <c r="M478" s="22"/>
      <c r="N478" s="22"/>
      <c r="O478" s="23"/>
    </row>
    <row r="479" customFormat="false" ht="15" hidden="false" customHeight="fals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5" t="str">
        <f aca="false">IF(A479="","",COUNTIF(Egresados!$S$2:$S$1501,A479))</f>
        <v/>
      </c>
      <c r="M479" s="22"/>
      <c r="N479" s="22"/>
      <c r="O479" s="23"/>
    </row>
    <row r="480" customFormat="false" ht="15" hidden="false" customHeight="fals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5" t="str">
        <f aca="false">IF(A480="","",COUNTIF(Egresados!$S$2:$S$1501,A480))</f>
        <v/>
      </c>
      <c r="M480" s="22"/>
      <c r="N480" s="22"/>
      <c r="O480" s="23"/>
    </row>
    <row r="481" customFormat="false" ht="15" hidden="false" customHeight="fals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5" t="str">
        <f aca="false">IF(A481="","",COUNTIF(Egresados!$S$2:$S$1501,A481))</f>
        <v/>
      </c>
      <c r="M481" s="22"/>
      <c r="N481" s="22"/>
      <c r="O481" s="23"/>
    </row>
    <row r="482" customFormat="false" ht="15" hidden="false" customHeight="fals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5" t="str">
        <f aca="false">IF(A482="","",COUNTIF(Egresados!$S$2:$S$1501,A482))</f>
        <v/>
      </c>
      <c r="M482" s="22"/>
      <c r="N482" s="22"/>
      <c r="O482" s="23"/>
    </row>
    <row r="483" customFormat="false" ht="15" hidden="false" customHeight="fals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5" t="str">
        <f aca="false">IF(A483="","",COUNTIF(Egresados!$S$2:$S$1501,A483))</f>
        <v/>
      </c>
      <c r="M483" s="22"/>
      <c r="N483" s="22"/>
      <c r="O483" s="23"/>
    </row>
    <row r="484" customFormat="false" ht="15" hidden="false" customHeight="fals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5" t="str">
        <f aca="false">IF(A484="","",COUNTIF(Egresados!$S$2:$S$1501,A484))</f>
        <v/>
      </c>
      <c r="M484" s="22"/>
      <c r="N484" s="22"/>
      <c r="O484" s="23"/>
    </row>
    <row r="485" customFormat="false" ht="15" hidden="false" customHeight="fals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5" t="str">
        <f aca="false">IF(A485="","",COUNTIF(Egresados!$S$2:$S$1501,A485))</f>
        <v/>
      </c>
      <c r="M485" s="22"/>
      <c r="N485" s="22"/>
      <c r="O485" s="23"/>
    </row>
    <row r="486" customFormat="false" ht="15" hidden="false" customHeight="fals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5" t="str">
        <f aca="false">IF(A486="","",COUNTIF(Egresados!$S$2:$S$1501,A486))</f>
        <v/>
      </c>
      <c r="M486" s="22"/>
      <c r="N486" s="22"/>
      <c r="O486" s="23"/>
    </row>
    <row r="487" customFormat="false" ht="15" hidden="false" customHeight="fals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5" t="str">
        <f aca="false">IF(A487="","",COUNTIF(Egresados!$S$2:$S$1501,A487))</f>
        <v/>
      </c>
      <c r="M487" s="22"/>
      <c r="N487" s="22"/>
      <c r="O487" s="23"/>
    </row>
    <row r="488" customFormat="false" ht="15" hidden="false" customHeight="fals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5" t="str">
        <f aca="false">IF(A488="","",COUNTIF(Egresados!$S$2:$S$1501,A488))</f>
        <v/>
      </c>
      <c r="M488" s="22"/>
      <c r="N488" s="22"/>
      <c r="O488" s="23"/>
    </row>
    <row r="489" customFormat="false" ht="15" hidden="false" customHeight="fals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5" t="str">
        <f aca="false">IF(A489="","",COUNTIF(Egresados!$S$2:$S$1501,A489))</f>
        <v/>
      </c>
      <c r="M489" s="22"/>
      <c r="N489" s="22"/>
      <c r="O489" s="23"/>
    </row>
    <row r="490" customFormat="false" ht="15" hidden="false" customHeight="fals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5" t="str">
        <f aca="false">IF(A490="","",COUNTIF(Egresados!$S$2:$S$1501,A490))</f>
        <v/>
      </c>
      <c r="M490" s="22"/>
      <c r="N490" s="22"/>
      <c r="O490" s="23"/>
    </row>
    <row r="491" customFormat="false" ht="15" hidden="false" customHeight="fals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5" t="str">
        <f aca="false">IF(A491="","",COUNTIF(Egresados!$S$2:$S$1501,A491))</f>
        <v/>
      </c>
      <c r="M491" s="22"/>
      <c r="N491" s="22"/>
      <c r="O491" s="23"/>
    </row>
    <row r="492" customFormat="false" ht="15" hidden="false" customHeight="fals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5" t="str">
        <f aca="false">IF(A492="","",COUNTIF(Egresados!$S$2:$S$1501,A492))</f>
        <v/>
      </c>
      <c r="M492" s="22"/>
      <c r="N492" s="22"/>
      <c r="O492" s="23"/>
    </row>
    <row r="493" customFormat="false" ht="15" hidden="false" customHeight="fals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5" t="str">
        <f aca="false">IF(A493="","",COUNTIF(Egresados!$S$2:$S$1501,A493))</f>
        <v/>
      </c>
      <c r="M493" s="22"/>
      <c r="N493" s="22"/>
      <c r="O493" s="23"/>
    </row>
    <row r="494" customFormat="false" ht="15" hidden="false" customHeight="fals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5" t="str">
        <f aca="false">IF(A494="","",COUNTIF(Egresados!$S$2:$S$1501,A494))</f>
        <v/>
      </c>
      <c r="M494" s="22"/>
      <c r="N494" s="22"/>
      <c r="O494" s="23"/>
    </row>
    <row r="495" customFormat="false" ht="15" hidden="false" customHeight="fals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5" t="str">
        <f aca="false">IF(A495="","",COUNTIF(Egresados!$S$2:$S$1501,A495))</f>
        <v/>
      </c>
      <c r="M495" s="22"/>
      <c r="N495" s="22"/>
      <c r="O495" s="23"/>
    </row>
    <row r="496" customFormat="false" ht="15" hidden="false" customHeight="fals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5" t="str">
        <f aca="false">IF(A496="","",COUNTIF(Egresados!$S$2:$S$1501,A496))</f>
        <v/>
      </c>
      <c r="M496" s="22"/>
      <c r="N496" s="22"/>
      <c r="O496" s="23"/>
    </row>
    <row r="497" customFormat="false" ht="15" hidden="false" customHeight="fals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5" t="str">
        <f aca="false">IF(A497="","",COUNTIF(Egresados!$S$2:$S$1501,A497))</f>
        <v/>
      </c>
      <c r="M497" s="22"/>
      <c r="N497" s="22"/>
      <c r="O497" s="23"/>
    </row>
    <row r="498" customFormat="false" ht="15" hidden="false" customHeight="fals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5" t="str">
        <f aca="false">IF(A498="","",COUNTIF(Egresados!$S$2:$S$1501,A498))</f>
        <v/>
      </c>
      <c r="M498" s="22"/>
      <c r="N498" s="22"/>
      <c r="O498" s="23"/>
    </row>
    <row r="499" customFormat="false" ht="15" hidden="false" customHeight="fals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5" t="str">
        <f aca="false">IF(A499="","",COUNTIF(Egresados!$S$2:$S$1501,A499))</f>
        <v/>
      </c>
      <c r="M499" s="22"/>
      <c r="N499" s="22"/>
      <c r="O499" s="23"/>
    </row>
    <row r="500" customFormat="false" ht="15" hidden="false" customHeight="fals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5" t="str">
        <f aca="false">IF(A500="","",COUNTIF(Egresados!$S$2:$S$1501,A500))</f>
        <v/>
      </c>
      <c r="M500" s="22"/>
      <c r="N500" s="22"/>
      <c r="O500" s="23"/>
    </row>
    <row r="501" customFormat="false" ht="15" hidden="false" customHeight="fals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5" t="str">
        <f aca="false">IF(A501="","",COUNTIF(Egresados!$S$2:$S$1501,A501))</f>
        <v/>
      </c>
      <c r="M501" s="22"/>
      <c r="N501" s="22"/>
      <c r="O501" s="23"/>
    </row>
    <row r="502" customFormat="false" ht="15" hidden="false" customHeight="fals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5" t="str">
        <f aca="false">IF(A502="","",COUNTIF(Egresados!$S$2:$S$1501,A502))</f>
        <v/>
      </c>
      <c r="M502" s="22"/>
      <c r="N502" s="22"/>
      <c r="O502" s="23"/>
    </row>
    <row r="503" customFormat="false" ht="15" hidden="false" customHeight="fals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5" t="str">
        <f aca="false">IF(A503="","",COUNTIF(Egresados!$S$2:$S$1501,A503))</f>
        <v/>
      </c>
      <c r="M503" s="22"/>
      <c r="N503" s="22"/>
      <c r="O503" s="23"/>
    </row>
    <row r="504" customFormat="false" ht="15" hidden="false" customHeight="fals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5" t="str">
        <f aca="false">IF(A504="","",COUNTIF(Egresados!$S$2:$S$1501,A504))</f>
        <v/>
      </c>
      <c r="M504" s="22"/>
      <c r="N504" s="22"/>
      <c r="O504" s="23"/>
    </row>
    <row r="505" customFormat="false" ht="15" hidden="false" customHeight="fals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5" t="str">
        <f aca="false">IF(A505="","",COUNTIF(Egresados!$S$2:$S$1501,A505))</f>
        <v/>
      </c>
      <c r="M505" s="22"/>
      <c r="N505" s="22"/>
      <c r="O505" s="23"/>
    </row>
    <row r="506" customFormat="false" ht="15" hidden="false" customHeight="fals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5" t="str">
        <f aca="false">IF(A506="","",COUNTIF(Egresados!$S$2:$S$1501,A506))</f>
        <v/>
      </c>
      <c r="M506" s="22"/>
      <c r="N506" s="22"/>
      <c r="O506" s="23"/>
    </row>
    <row r="507" customFormat="false" ht="15" hidden="false" customHeight="fals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5" t="str">
        <f aca="false">IF(A507="","",COUNTIF(Egresados!$S$2:$S$1501,A507))</f>
        <v/>
      </c>
      <c r="M507" s="22"/>
      <c r="N507" s="22"/>
      <c r="O507" s="23"/>
    </row>
    <row r="508" customFormat="false" ht="15" hidden="false" customHeight="fals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5" t="str">
        <f aca="false">IF(A508="","",COUNTIF(Egresados!$S$2:$S$1501,A508))</f>
        <v/>
      </c>
      <c r="M508" s="22"/>
      <c r="N508" s="22"/>
      <c r="O508" s="23"/>
    </row>
    <row r="509" customFormat="false" ht="15" hidden="false" customHeight="fals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5" t="str">
        <f aca="false">IF(A509="","",COUNTIF(Egresados!$S$2:$S$1501,A509))</f>
        <v/>
      </c>
      <c r="M509" s="22"/>
      <c r="N509" s="22"/>
      <c r="O509" s="23"/>
    </row>
    <row r="510" customFormat="false" ht="15" hidden="false" customHeight="fals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5" t="str">
        <f aca="false">IF(A510="","",COUNTIF(Egresados!$S$2:$S$1501,A510))</f>
        <v/>
      </c>
      <c r="M510" s="22"/>
      <c r="N510" s="22"/>
      <c r="O510" s="23"/>
    </row>
    <row r="511" customFormat="false" ht="15" hidden="false" customHeight="fals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5" t="str">
        <f aca="false">IF(A511="","",COUNTIF(Egresados!$S$2:$S$1501,A511))</f>
        <v/>
      </c>
      <c r="M511" s="22"/>
      <c r="N511" s="22"/>
      <c r="O511" s="23"/>
    </row>
    <row r="512" customFormat="false" ht="15" hidden="false" customHeight="fals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5" t="str">
        <f aca="false">IF(A512="","",COUNTIF(Egresados!$S$2:$S$1501,A512))</f>
        <v/>
      </c>
      <c r="M512" s="22"/>
      <c r="N512" s="22"/>
      <c r="O512" s="23"/>
    </row>
    <row r="513" customFormat="false" ht="15" hidden="false" customHeight="fals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5" t="str">
        <f aca="false">IF(A513="","",COUNTIF(Egresados!$S$2:$S$1501,A513))</f>
        <v/>
      </c>
      <c r="M513" s="22"/>
      <c r="N513" s="22"/>
      <c r="O513" s="23"/>
    </row>
    <row r="514" customFormat="false" ht="15" hidden="false" customHeight="fals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5" t="str">
        <f aca="false">IF(A514="","",COUNTIF(Egresados!$S$2:$S$1501,A514))</f>
        <v/>
      </c>
      <c r="M514" s="22"/>
      <c r="N514" s="22"/>
      <c r="O514" s="23"/>
    </row>
    <row r="515" customFormat="false" ht="15" hidden="false" customHeight="fals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5" t="str">
        <f aca="false">IF(A515="","",COUNTIF(Egresados!$S$2:$S$1501,A515))</f>
        <v/>
      </c>
      <c r="M515" s="22"/>
      <c r="N515" s="22"/>
      <c r="O515" s="23"/>
    </row>
    <row r="516" customFormat="false" ht="15" hidden="false" customHeight="fals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5" t="str">
        <f aca="false">IF(A516="","",COUNTIF(Egresados!$S$2:$S$1501,A516))</f>
        <v/>
      </c>
      <c r="M516" s="22"/>
      <c r="N516" s="22"/>
      <c r="O516" s="23"/>
    </row>
    <row r="517" customFormat="false" ht="15" hidden="false" customHeight="fals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5" t="str">
        <f aca="false">IF(A517="","",COUNTIF(Egresados!$S$2:$S$1501,A517))</f>
        <v/>
      </c>
      <c r="M517" s="22"/>
      <c r="N517" s="22"/>
      <c r="O517" s="23"/>
    </row>
    <row r="518" customFormat="false" ht="15" hidden="false" customHeight="fals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5" t="str">
        <f aca="false">IF(A518="","",COUNTIF(Egresados!$S$2:$S$1501,A518))</f>
        <v/>
      </c>
      <c r="M518" s="22"/>
      <c r="N518" s="22"/>
      <c r="O518" s="23"/>
    </row>
    <row r="519" customFormat="false" ht="15" hidden="false" customHeight="fals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5" t="str">
        <f aca="false">IF(A519="","",COUNTIF(Egresados!$S$2:$S$1501,A519))</f>
        <v/>
      </c>
      <c r="M519" s="22"/>
      <c r="N519" s="22"/>
      <c r="O519" s="23"/>
    </row>
    <row r="520" customFormat="false" ht="15" hidden="false" customHeight="fals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5" t="str">
        <f aca="false">IF(A520="","",COUNTIF(Egresados!$S$2:$S$1501,A520))</f>
        <v/>
      </c>
      <c r="M520" s="22"/>
      <c r="N520" s="22"/>
      <c r="O520" s="23"/>
    </row>
    <row r="521" customFormat="false" ht="15" hidden="false" customHeight="fals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5" t="str">
        <f aca="false">IF(A521="","",COUNTIF(Egresados!$S$2:$S$1501,A521))</f>
        <v/>
      </c>
      <c r="M521" s="22"/>
      <c r="N521" s="22"/>
      <c r="O521" s="23"/>
    </row>
    <row r="522" customFormat="false" ht="15" hidden="false" customHeight="fals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5" t="str">
        <f aca="false">IF(A522="","",COUNTIF(Egresados!$S$2:$S$1501,A522))</f>
        <v/>
      </c>
      <c r="M522" s="22"/>
      <c r="N522" s="22"/>
      <c r="O522" s="23"/>
    </row>
    <row r="523" customFormat="false" ht="15" hidden="false" customHeight="fals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5" t="str">
        <f aca="false">IF(A523="","",COUNTIF(Egresados!$S$2:$S$1501,A523))</f>
        <v/>
      </c>
      <c r="M523" s="22"/>
      <c r="N523" s="22"/>
      <c r="O523" s="23"/>
    </row>
    <row r="524" customFormat="false" ht="15" hidden="false" customHeight="fals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5" t="str">
        <f aca="false">IF(A524="","",COUNTIF(Egresados!$S$2:$S$1501,A524))</f>
        <v/>
      </c>
      <c r="M524" s="22"/>
      <c r="N524" s="22"/>
      <c r="O524" s="23"/>
    </row>
    <row r="525" customFormat="false" ht="15" hidden="false" customHeight="fals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5" t="str">
        <f aca="false">IF(A525="","",COUNTIF(Egresados!$S$2:$S$1501,A525))</f>
        <v/>
      </c>
      <c r="M525" s="22"/>
      <c r="N525" s="22"/>
      <c r="O525" s="23"/>
    </row>
    <row r="526" customFormat="false" ht="15" hidden="false" customHeight="fals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5" t="str">
        <f aca="false">IF(A526="","",COUNTIF(Egresados!$S$2:$S$1501,A526))</f>
        <v/>
      </c>
      <c r="M526" s="22"/>
      <c r="N526" s="22"/>
      <c r="O526" s="23"/>
    </row>
    <row r="527" customFormat="false" ht="15" hidden="false" customHeight="fals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5" t="str">
        <f aca="false">IF(A527="","",COUNTIF(Egresados!$S$2:$S$1501,A527))</f>
        <v/>
      </c>
      <c r="M527" s="22"/>
      <c r="N527" s="22"/>
      <c r="O527" s="23"/>
    </row>
    <row r="528" customFormat="false" ht="15" hidden="false" customHeight="fals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5" t="str">
        <f aca="false">IF(A528="","",COUNTIF(Egresados!$S$2:$S$1501,A528))</f>
        <v/>
      </c>
      <c r="M528" s="22"/>
      <c r="N528" s="22"/>
      <c r="O528" s="23"/>
    </row>
    <row r="529" customFormat="false" ht="15" hidden="false" customHeight="fals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5" t="str">
        <f aca="false">IF(A529="","",COUNTIF(Egresados!$S$2:$S$1501,A529))</f>
        <v/>
      </c>
      <c r="M529" s="22"/>
      <c r="N529" s="22"/>
      <c r="O529" s="23"/>
    </row>
    <row r="530" customFormat="false" ht="15" hidden="false" customHeight="fals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5" t="str">
        <f aca="false">IF(A530="","",COUNTIF(Egresados!$S$2:$S$1501,A530))</f>
        <v/>
      </c>
      <c r="M530" s="22"/>
      <c r="N530" s="22"/>
      <c r="O530" s="23"/>
    </row>
    <row r="531" customFormat="false" ht="15" hidden="false" customHeight="fals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5" t="str">
        <f aca="false">IF(A531="","",COUNTIF(Egresados!$S$2:$S$1501,A531))</f>
        <v/>
      </c>
      <c r="M531" s="22"/>
      <c r="N531" s="22"/>
      <c r="O531" s="23"/>
    </row>
    <row r="532" customFormat="false" ht="15" hidden="false" customHeight="fals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5" t="str">
        <f aca="false">IF(A532="","",COUNTIF(Egresados!$S$2:$S$1501,A532))</f>
        <v/>
      </c>
      <c r="M532" s="22"/>
      <c r="N532" s="22"/>
      <c r="O532" s="23"/>
    </row>
    <row r="533" customFormat="false" ht="15" hidden="false" customHeight="fals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5" t="str">
        <f aca="false">IF(A533="","",COUNTIF(Egresados!$S$2:$S$1501,A533))</f>
        <v/>
      </c>
      <c r="M533" s="22"/>
      <c r="N533" s="22"/>
      <c r="O533" s="23"/>
    </row>
    <row r="534" customFormat="false" ht="15" hidden="false" customHeight="fals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5" t="str">
        <f aca="false">IF(A534="","",COUNTIF(Egresados!$S$2:$S$1501,A534))</f>
        <v/>
      </c>
      <c r="M534" s="22"/>
      <c r="N534" s="22"/>
      <c r="O534" s="23"/>
    </row>
    <row r="535" customFormat="false" ht="15" hidden="false" customHeight="fals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5" t="str">
        <f aca="false">IF(A535="","",COUNTIF(Egresados!$S$2:$S$1501,A535))</f>
        <v/>
      </c>
      <c r="M535" s="22"/>
      <c r="N535" s="22"/>
      <c r="O535" s="23"/>
    </row>
    <row r="536" customFormat="false" ht="15" hidden="false" customHeight="fals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5" t="str">
        <f aca="false">IF(A536="","",COUNTIF(Egresados!$S$2:$S$1501,A536))</f>
        <v/>
      </c>
      <c r="M536" s="22"/>
      <c r="N536" s="22"/>
      <c r="O536" s="23"/>
    </row>
    <row r="537" customFormat="false" ht="15" hidden="false" customHeight="fals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5" t="str">
        <f aca="false">IF(A537="","",COUNTIF(Egresados!$S$2:$S$1501,A537))</f>
        <v/>
      </c>
      <c r="M537" s="22"/>
      <c r="N537" s="22"/>
      <c r="O537" s="23"/>
    </row>
    <row r="538" customFormat="false" ht="15" hidden="false" customHeight="fals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5" t="str">
        <f aca="false">IF(A538="","",COUNTIF(Egresados!$S$2:$S$1501,A538))</f>
        <v/>
      </c>
      <c r="M538" s="22"/>
      <c r="N538" s="22"/>
      <c r="O538" s="23"/>
    </row>
    <row r="539" customFormat="false" ht="15" hidden="false" customHeight="fals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5" t="str">
        <f aca="false">IF(A539="","",COUNTIF(Egresados!$S$2:$S$1501,A539))</f>
        <v/>
      </c>
      <c r="M539" s="22"/>
      <c r="N539" s="22"/>
      <c r="O539" s="23"/>
    </row>
    <row r="540" customFormat="false" ht="15" hidden="false" customHeight="fals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5" t="str">
        <f aca="false">IF(A540="","",COUNTIF(Egresados!$S$2:$S$1501,A540))</f>
        <v/>
      </c>
      <c r="M540" s="22"/>
      <c r="N540" s="22"/>
      <c r="O540" s="23"/>
    </row>
    <row r="541" customFormat="false" ht="15" hidden="false" customHeight="fals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5" t="str">
        <f aca="false">IF(A541="","",COUNTIF(Egresados!$S$2:$S$1501,A541))</f>
        <v/>
      </c>
      <c r="M541" s="22"/>
      <c r="N541" s="22"/>
      <c r="O541" s="23"/>
    </row>
    <row r="542" customFormat="false" ht="15" hidden="false" customHeight="fals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5" t="str">
        <f aca="false">IF(A542="","",COUNTIF(Egresados!$S$2:$S$1501,A542))</f>
        <v/>
      </c>
      <c r="M542" s="22"/>
      <c r="N542" s="22"/>
      <c r="O542" s="23"/>
    </row>
    <row r="543" customFormat="false" ht="15" hidden="false" customHeight="fals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5" t="str">
        <f aca="false">IF(A543="","",COUNTIF(Egresados!$S$2:$S$1501,A543))</f>
        <v/>
      </c>
      <c r="M543" s="22"/>
      <c r="N543" s="22"/>
      <c r="O543" s="23"/>
    </row>
    <row r="544" customFormat="false" ht="15" hidden="false" customHeight="fals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5" t="str">
        <f aca="false">IF(A544="","",COUNTIF(Egresados!$S$2:$S$1501,A544))</f>
        <v/>
      </c>
      <c r="M544" s="22"/>
      <c r="N544" s="22"/>
      <c r="O544" s="23"/>
    </row>
    <row r="545" customFormat="false" ht="15" hidden="false" customHeight="fals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5" t="str">
        <f aca="false">IF(A545="","",COUNTIF(Egresados!$S$2:$S$1501,A545))</f>
        <v/>
      </c>
      <c r="M545" s="22"/>
      <c r="N545" s="22"/>
      <c r="O545" s="23"/>
    </row>
    <row r="546" customFormat="false" ht="15" hidden="false" customHeight="fals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5" t="str">
        <f aca="false">IF(A546="","",COUNTIF(Egresados!$S$2:$S$1501,A546))</f>
        <v/>
      </c>
      <c r="M546" s="22"/>
      <c r="N546" s="22"/>
      <c r="O546" s="23"/>
    </row>
    <row r="547" customFormat="false" ht="15" hidden="false" customHeight="fals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5" t="str">
        <f aca="false">IF(A547="","",COUNTIF(Egresados!$S$2:$S$1501,A547))</f>
        <v/>
      </c>
      <c r="M547" s="22"/>
      <c r="N547" s="22"/>
      <c r="O547" s="23"/>
    </row>
    <row r="548" customFormat="false" ht="15" hidden="false" customHeight="fals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5" t="str">
        <f aca="false">IF(A548="","",COUNTIF(Egresados!$S$2:$S$1501,A548))</f>
        <v/>
      </c>
      <c r="M548" s="22"/>
      <c r="N548" s="22"/>
      <c r="O548" s="23"/>
    </row>
    <row r="549" customFormat="false" ht="15" hidden="false" customHeight="fals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5" t="str">
        <f aca="false">IF(A549="","",COUNTIF(Egresados!$S$2:$S$1501,A549))</f>
        <v/>
      </c>
      <c r="M549" s="22"/>
      <c r="N549" s="22"/>
      <c r="O549" s="23"/>
    </row>
    <row r="550" customFormat="false" ht="15" hidden="false" customHeight="fals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5" t="str">
        <f aca="false">IF(A550="","",COUNTIF(Egresados!$S$2:$S$1501,A550))</f>
        <v/>
      </c>
      <c r="M550" s="22"/>
      <c r="N550" s="22"/>
      <c r="O550" s="23"/>
    </row>
    <row r="551" customFormat="false" ht="15" hidden="false" customHeight="fals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5" t="str">
        <f aca="false">IF(A551="","",COUNTIF(Egresados!$S$2:$S$1501,A551))</f>
        <v/>
      </c>
      <c r="M551" s="22"/>
      <c r="N551" s="22"/>
      <c r="O551" s="23"/>
    </row>
    <row r="552" customFormat="false" ht="15" hidden="false" customHeight="fals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5" t="str">
        <f aca="false">IF(A552="","",COUNTIF(Egresados!$S$2:$S$1501,A552))</f>
        <v/>
      </c>
      <c r="M552" s="22"/>
      <c r="N552" s="22"/>
      <c r="O552" s="23"/>
    </row>
    <row r="553" customFormat="false" ht="15" hidden="false" customHeight="fals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5" t="str">
        <f aca="false">IF(A553="","",COUNTIF(Egresados!$S$2:$S$1501,A553))</f>
        <v/>
      </c>
      <c r="M553" s="22"/>
      <c r="N553" s="22"/>
      <c r="O553" s="23"/>
    </row>
    <row r="554" customFormat="false" ht="15" hidden="false" customHeight="fals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5" t="str">
        <f aca="false">IF(A554="","",COUNTIF(Egresados!$S$2:$S$1501,A554))</f>
        <v/>
      </c>
      <c r="M554" s="22"/>
      <c r="N554" s="22"/>
      <c r="O554" s="23"/>
    </row>
    <row r="555" customFormat="false" ht="15" hidden="false" customHeight="fals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5" t="str">
        <f aca="false">IF(A555="","",COUNTIF(Egresados!$S$2:$S$1501,A555))</f>
        <v/>
      </c>
      <c r="M555" s="22"/>
      <c r="N555" s="22"/>
      <c r="O555" s="23"/>
    </row>
    <row r="556" customFormat="false" ht="15" hidden="false" customHeight="fals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5" t="str">
        <f aca="false">IF(A556="","",COUNTIF(Egresados!$S$2:$S$1501,A556))</f>
        <v/>
      </c>
      <c r="M556" s="22"/>
      <c r="N556" s="22"/>
      <c r="O556" s="23"/>
    </row>
    <row r="557" customFormat="false" ht="15" hidden="false" customHeight="fals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5" t="str">
        <f aca="false">IF(A557="","",COUNTIF(Egresados!$S$2:$S$1501,A557))</f>
        <v/>
      </c>
      <c r="M557" s="22"/>
      <c r="N557" s="22"/>
      <c r="O557" s="23"/>
    </row>
    <row r="558" customFormat="false" ht="15" hidden="false" customHeight="fals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5" t="str">
        <f aca="false">IF(A558="","",COUNTIF(Egresados!$S$2:$S$1501,A558))</f>
        <v/>
      </c>
      <c r="M558" s="22"/>
      <c r="N558" s="22"/>
      <c r="O558" s="23"/>
    </row>
    <row r="559" customFormat="false" ht="15" hidden="false" customHeight="fals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5" t="str">
        <f aca="false">IF(A559="","",COUNTIF(Egresados!$S$2:$S$1501,A559))</f>
        <v/>
      </c>
      <c r="M559" s="22"/>
      <c r="N559" s="22"/>
      <c r="O559" s="23"/>
    </row>
    <row r="560" customFormat="false" ht="15" hidden="false" customHeight="fals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5" t="str">
        <f aca="false">IF(A560="","",COUNTIF(Egresados!$S$2:$S$1501,A560))</f>
        <v/>
      </c>
      <c r="M560" s="22"/>
      <c r="N560" s="22"/>
      <c r="O560" s="23"/>
    </row>
    <row r="561" customFormat="false" ht="15" hidden="false" customHeight="fals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5" t="str">
        <f aca="false">IF(A561="","",COUNTIF(Egresados!$S$2:$S$1501,A561))</f>
        <v/>
      </c>
      <c r="M561" s="22"/>
      <c r="N561" s="22"/>
      <c r="O561" s="23"/>
    </row>
    <row r="562" customFormat="false" ht="15" hidden="false" customHeight="fals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5" t="str">
        <f aca="false">IF(A562="","",COUNTIF(Egresados!$S$2:$S$1501,A562))</f>
        <v/>
      </c>
      <c r="M562" s="22"/>
      <c r="N562" s="22"/>
      <c r="O562" s="23"/>
    </row>
    <row r="563" customFormat="false" ht="15" hidden="false" customHeight="fals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5" t="str">
        <f aca="false">IF(A563="","",COUNTIF(Egresados!$S$2:$S$1501,A563))</f>
        <v/>
      </c>
      <c r="M563" s="22"/>
      <c r="N563" s="22"/>
      <c r="O563" s="23"/>
    </row>
    <row r="564" customFormat="false" ht="15" hidden="false" customHeight="fals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5" t="str">
        <f aca="false">IF(A564="","",COUNTIF(Egresados!$S$2:$S$1501,A564))</f>
        <v/>
      </c>
      <c r="M564" s="22"/>
      <c r="N564" s="22"/>
      <c r="O564" s="23"/>
    </row>
    <row r="565" customFormat="false" ht="15" hidden="false" customHeight="fals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5" t="str">
        <f aca="false">IF(A565="","",COUNTIF(Egresados!$S$2:$S$1501,A565))</f>
        <v/>
      </c>
      <c r="M565" s="22"/>
      <c r="N565" s="22"/>
      <c r="O565" s="23"/>
    </row>
    <row r="566" customFormat="false" ht="15" hidden="false" customHeight="fals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5" t="str">
        <f aca="false">IF(A566="","",COUNTIF(Egresados!$S$2:$S$1501,A566))</f>
        <v/>
      </c>
      <c r="M566" s="22"/>
      <c r="N566" s="22"/>
      <c r="O566" s="23"/>
    </row>
    <row r="567" customFormat="false" ht="15" hidden="false" customHeight="fals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5" t="str">
        <f aca="false">IF(A567="","",COUNTIF(Egresados!$S$2:$S$1501,A567))</f>
        <v/>
      </c>
      <c r="M567" s="22"/>
      <c r="N567" s="22"/>
      <c r="O567" s="23"/>
    </row>
    <row r="568" customFormat="false" ht="15" hidden="false" customHeight="fals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5" t="str">
        <f aca="false">IF(A568="","",COUNTIF(Egresados!$S$2:$S$1501,A568))</f>
        <v/>
      </c>
      <c r="M568" s="22"/>
      <c r="N568" s="22"/>
      <c r="O568" s="23"/>
    </row>
    <row r="569" customFormat="false" ht="15" hidden="false" customHeight="fals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5" t="str">
        <f aca="false">IF(A569="","",COUNTIF(Egresados!$S$2:$S$1501,A569))</f>
        <v/>
      </c>
      <c r="M569" s="22"/>
      <c r="N569" s="22"/>
      <c r="O569" s="23"/>
    </row>
    <row r="570" customFormat="false" ht="15" hidden="false" customHeight="fals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5" t="str">
        <f aca="false">IF(A570="","",COUNTIF(Egresados!$S$2:$S$1501,A570))</f>
        <v/>
      </c>
      <c r="M570" s="22"/>
      <c r="N570" s="22"/>
      <c r="O570" s="23"/>
    </row>
    <row r="571" customFormat="false" ht="15" hidden="false" customHeight="fals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5" t="str">
        <f aca="false">IF(A571="","",COUNTIF(Egresados!$S$2:$S$1501,A571))</f>
        <v/>
      </c>
      <c r="M571" s="22"/>
      <c r="N571" s="22"/>
      <c r="O571" s="23"/>
    </row>
    <row r="572" customFormat="false" ht="15" hidden="false" customHeight="fals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5" t="str">
        <f aca="false">IF(A572="","",COUNTIF(Egresados!$S$2:$S$1501,A572))</f>
        <v/>
      </c>
      <c r="M572" s="22"/>
      <c r="N572" s="22"/>
      <c r="O572" s="23"/>
    </row>
    <row r="573" customFormat="false" ht="15" hidden="false" customHeight="fals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5" t="str">
        <f aca="false">IF(A573="","",COUNTIF(Egresados!$S$2:$S$1501,A573))</f>
        <v/>
      </c>
      <c r="M573" s="22"/>
      <c r="N573" s="22"/>
      <c r="O573" s="23"/>
    </row>
    <row r="574" customFormat="false" ht="15" hidden="false" customHeight="fals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5" t="str">
        <f aca="false">IF(A574="","",COUNTIF(Egresados!$S$2:$S$1501,A574))</f>
        <v/>
      </c>
      <c r="M574" s="22"/>
      <c r="N574" s="22"/>
      <c r="O574" s="23"/>
    </row>
    <row r="575" customFormat="false" ht="15" hidden="false" customHeight="fals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5" t="str">
        <f aca="false">IF(A575="","",COUNTIF(Egresados!$S$2:$S$1501,A575))</f>
        <v/>
      </c>
      <c r="M575" s="22"/>
      <c r="N575" s="22"/>
      <c r="O575" s="23"/>
    </row>
    <row r="576" customFormat="false" ht="15" hidden="false" customHeight="fals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5" t="str">
        <f aca="false">IF(A576="","",COUNTIF(Egresados!$S$2:$S$1501,A576))</f>
        <v/>
      </c>
      <c r="M576" s="22"/>
      <c r="N576" s="22"/>
      <c r="O576" s="23"/>
    </row>
    <row r="577" customFormat="false" ht="15" hidden="false" customHeight="fals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5" t="str">
        <f aca="false">IF(A577="","",COUNTIF(Egresados!$S$2:$S$1501,A577))</f>
        <v/>
      </c>
      <c r="M577" s="22"/>
      <c r="N577" s="22"/>
      <c r="O577" s="23"/>
    </row>
    <row r="578" customFormat="false" ht="15" hidden="false" customHeight="fals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5" t="str">
        <f aca="false">IF(A578="","",COUNTIF(Egresados!$S$2:$S$1501,A578))</f>
        <v/>
      </c>
      <c r="M578" s="22"/>
      <c r="N578" s="22"/>
      <c r="O578" s="23"/>
    </row>
    <row r="579" customFormat="false" ht="15" hidden="false" customHeight="fals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5" t="str">
        <f aca="false">IF(A579="","",COUNTIF(Egresados!$S$2:$S$1501,A579))</f>
        <v/>
      </c>
      <c r="M579" s="22"/>
      <c r="N579" s="22"/>
      <c r="O579" s="23"/>
    </row>
    <row r="580" customFormat="false" ht="15" hidden="false" customHeight="fals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5" t="str">
        <f aca="false">IF(A580="","",COUNTIF(Egresados!$S$2:$S$1501,A580))</f>
        <v/>
      </c>
      <c r="M580" s="22"/>
      <c r="N580" s="22"/>
      <c r="O580" s="23"/>
    </row>
    <row r="581" customFormat="false" ht="15" hidden="false" customHeight="fals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5" t="str">
        <f aca="false">IF(A581="","",COUNTIF(Egresados!$S$2:$S$1501,A581))</f>
        <v/>
      </c>
      <c r="M581" s="22"/>
      <c r="N581" s="22"/>
      <c r="O581" s="23"/>
    </row>
    <row r="582" customFormat="false" ht="15" hidden="false" customHeight="fals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5" t="str">
        <f aca="false">IF(A582="","",COUNTIF(Egresados!$S$2:$S$1501,A582))</f>
        <v/>
      </c>
      <c r="M582" s="22"/>
      <c r="N582" s="22"/>
      <c r="O582" s="23"/>
    </row>
    <row r="583" customFormat="false" ht="15" hidden="false" customHeight="fals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5" t="str">
        <f aca="false">IF(A583="","",COUNTIF(Egresados!$S$2:$S$1501,A583))</f>
        <v/>
      </c>
      <c r="M583" s="22"/>
      <c r="N583" s="22"/>
      <c r="O583" s="23"/>
    </row>
    <row r="584" customFormat="false" ht="15" hidden="false" customHeight="fals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5" t="str">
        <f aca="false">IF(A584="","",COUNTIF(Egresados!$S$2:$S$1501,A584))</f>
        <v/>
      </c>
      <c r="M584" s="22"/>
      <c r="N584" s="22"/>
      <c r="O584" s="23"/>
    </row>
    <row r="585" customFormat="false" ht="15" hidden="false" customHeight="fals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5" t="str">
        <f aca="false">IF(A585="","",COUNTIF(Egresados!$S$2:$S$1501,A585))</f>
        <v/>
      </c>
      <c r="M585" s="22"/>
      <c r="N585" s="22"/>
      <c r="O585" s="23"/>
    </row>
    <row r="586" customFormat="false" ht="15" hidden="false" customHeight="fals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5" t="str">
        <f aca="false">IF(A586="","",COUNTIF(Egresados!$S$2:$S$1501,A586))</f>
        <v/>
      </c>
      <c r="M586" s="22"/>
      <c r="N586" s="22"/>
      <c r="O586" s="23"/>
    </row>
    <row r="587" customFormat="false" ht="15" hidden="false" customHeight="fals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5" t="str">
        <f aca="false">IF(A587="","",COUNTIF(Egresados!$S$2:$S$1501,A587))</f>
        <v/>
      </c>
      <c r="M587" s="22"/>
      <c r="N587" s="22"/>
      <c r="O587" s="23"/>
    </row>
    <row r="588" customFormat="false" ht="15" hidden="false" customHeight="fals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5" t="str">
        <f aca="false">IF(A588="","",COUNTIF(Egresados!$S$2:$S$1501,A588))</f>
        <v/>
      </c>
      <c r="M588" s="22"/>
      <c r="N588" s="22"/>
      <c r="O588" s="23"/>
    </row>
    <row r="589" customFormat="false" ht="15" hidden="false" customHeight="fals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5" t="str">
        <f aca="false">IF(A589="","",COUNTIF(Egresados!$S$2:$S$1501,A589))</f>
        <v/>
      </c>
      <c r="M589" s="22"/>
      <c r="N589" s="22"/>
      <c r="O589" s="23"/>
    </row>
    <row r="590" customFormat="false" ht="15" hidden="false" customHeight="fals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5" t="str">
        <f aca="false">IF(A590="","",COUNTIF(Egresados!$S$2:$S$1501,A590))</f>
        <v/>
      </c>
      <c r="M590" s="22"/>
      <c r="N590" s="22"/>
      <c r="O590" s="23"/>
    </row>
    <row r="591" customFormat="false" ht="15" hidden="false" customHeight="fals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5" t="str">
        <f aca="false">IF(A591="","",COUNTIF(Egresados!$S$2:$S$1501,A591))</f>
        <v/>
      </c>
      <c r="M591" s="22"/>
      <c r="N591" s="22"/>
      <c r="O591" s="23"/>
    </row>
    <row r="592" customFormat="false" ht="15" hidden="false" customHeight="fals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5" t="str">
        <f aca="false">IF(A592="","",COUNTIF(Egresados!$S$2:$S$1501,A592))</f>
        <v/>
      </c>
      <c r="M592" s="22"/>
      <c r="N592" s="22"/>
      <c r="O592" s="23"/>
    </row>
    <row r="593" customFormat="false" ht="15" hidden="false" customHeight="fals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5" t="str">
        <f aca="false">IF(A593="","",COUNTIF(Egresados!$S$2:$S$1501,A593))</f>
        <v/>
      </c>
      <c r="M593" s="22"/>
      <c r="N593" s="22"/>
      <c r="O593" s="23"/>
    </row>
    <row r="594" customFormat="false" ht="15" hidden="false" customHeight="fals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5" t="str">
        <f aca="false">IF(A594="","",COUNTIF(Egresados!$S$2:$S$1501,A594))</f>
        <v/>
      </c>
      <c r="M594" s="22"/>
      <c r="N594" s="22"/>
      <c r="O594" s="23"/>
    </row>
    <row r="595" customFormat="false" ht="15" hidden="false" customHeight="fals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5" t="str">
        <f aca="false">IF(A595="","",COUNTIF(Egresados!$S$2:$S$1501,A595))</f>
        <v/>
      </c>
      <c r="M595" s="22"/>
      <c r="N595" s="22"/>
      <c r="O595" s="23"/>
    </row>
    <row r="596" customFormat="false" ht="15" hidden="false" customHeight="fals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5" t="str">
        <f aca="false">IF(A596="","",COUNTIF(Egresados!$S$2:$S$1501,A596))</f>
        <v/>
      </c>
      <c r="M596" s="22"/>
      <c r="N596" s="22"/>
      <c r="O596" s="23"/>
    </row>
    <row r="597" customFormat="false" ht="15" hidden="false" customHeight="fals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5" t="str">
        <f aca="false">IF(A597="","",COUNTIF(Egresados!$S$2:$S$1501,A597))</f>
        <v/>
      </c>
      <c r="M597" s="22"/>
      <c r="N597" s="22"/>
      <c r="O597" s="23"/>
    </row>
    <row r="598" customFormat="false" ht="15" hidden="false" customHeight="fals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5" t="str">
        <f aca="false">IF(A598="","",COUNTIF(Egresados!$S$2:$S$1501,A598))</f>
        <v/>
      </c>
      <c r="M598" s="22"/>
      <c r="N598" s="22"/>
      <c r="O598" s="23"/>
    </row>
    <row r="599" customFormat="false" ht="15" hidden="false" customHeight="fals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5" t="str">
        <f aca="false">IF(A599="","",COUNTIF(Egresados!$S$2:$S$1501,A599))</f>
        <v/>
      </c>
      <c r="M599" s="22"/>
      <c r="N599" s="22"/>
      <c r="O599" s="23"/>
    </row>
    <row r="600" customFormat="false" ht="15" hidden="false" customHeight="fals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5" t="str">
        <f aca="false">IF(A600="","",COUNTIF(Egresados!$S$2:$S$1501,A600))</f>
        <v/>
      </c>
      <c r="M600" s="22"/>
      <c r="N600" s="22"/>
      <c r="O600" s="23"/>
    </row>
    <row r="601" customFormat="false" ht="15" hidden="false" customHeight="fals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5" t="str">
        <f aca="false">IF(A601="","",COUNTIF(Egresados!$S$2:$S$1501,A601))</f>
        <v/>
      </c>
      <c r="M601" s="22"/>
      <c r="N601" s="22"/>
      <c r="O601" s="23"/>
    </row>
  </sheetData>
  <dataValidations count="4">
    <dataValidation allowBlank="true" errorStyle="stop" operator="between" showDropDown="false" showErrorMessage="false" showInputMessage="false" sqref="D2:D601" type="list">
      <formula1>Listas!$J$2:$J$7</formula1>
      <formula2>0</formula2>
    </dataValidation>
    <dataValidation allowBlank="true" errorStyle="stop" operator="between" showDropDown="false" showErrorMessage="false" showInputMessage="false" sqref="E2:E601" type="list">
      <formula1>Listas!$I$2:$I$8</formula1>
      <formula2>0</formula2>
    </dataValidation>
    <dataValidation allowBlank="true" errorStyle="stop" operator="between" showDropDown="false" showErrorMessage="false" showInputMessage="false" sqref="M2:M601" type="list">
      <formula1>Listas!$E$2:$E$3</formula1>
      <formula2>0</formula2>
    </dataValidation>
    <dataValidation allowBlank="true" errorStyle="stop" operator="between" showDropDown="false" showErrorMessage="false" showInputMessage="false" sqref="N2:N601" type="list">
      <formula1>Listas!$N$2:$N$6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32"/>
    <col collapsed="false" customWidth="true" hidden="false" outlineLevel="0" max="12" min="12" style="0" width="28"/>
    <col collapsed="false" customWidth="true" hidden="false" outlineLevel="0" max="13" min="13" style="0" width="52"/>
  </cols>
  <sheetData>
    <row r="1" customFormat="false" ht="23.85" hidden="false" customHeight="false" outlineLevel="0" collapsed="false">
      <c r="A1" s="16" t="s">
        <v>4187</v>
      </c>
      <c r="B1" s="16" t="s">
        <v>4188</v>
      </c>
      <c r="C1" s="16" t="s">
        <v>4189</v>
      </c>
      <c r="D1" s="16" t="s">
        <v>4190</v>
      </c>
      <c r="E1" s="16" t="s">
        <v>4191</v>
      </c>
      <c r="F1" s="16" t="s">
        <v>4192</v>
      </c>
      <c r="G1" s="16" t="s">
        <v>4193</v>
      </c>
      <c r="H1" s="16" t="s">
        <v>4194</v>
      </c>
      <c r="I1" s="16" t="s">
        <v>4195</v>
      </c>
      <c r="J1" s="16" t="s">
        <v>4196</v>
      </c>
      <c r="K1" s="16" t="s">
        <v>4197</v>
      </c>
      <c r="L1" s="16" t="s">
        <v>4198</v>
      </c>
      <c r="M1" s="16" t="s">
        <v>133</v>
      </c>
    </row>
    <row r="2" customFormat="false" ht="15" hidden="false" customHeight="false" outlineLevel="0" collapsed="false">
      <c r="A2" s="22" t="n">
        <v>1</v>
      </c>
      <c r="B2" s="23" t="n">
        <v>45800</v>
      </c>
      <c r="C2" s="25" t="str">
        <f aca="false">IF(B2="","",CHOOSE(MONTH(B2),"Enero","Febrero","Marzo","Abril","Mayo","Junio","Julio","Agosto","Setiembre","Octubre","Noviembre","Diciembre"))</f>
        <v>Mayo</v>
      </c>
      <c r="D2" s="22" t="s">
        <v>4199</v>
      </c>
      <c r="E2" s="22" t="s">
        <v>4200</v>
      </c>
      <c r="F2" s="22" t="s">
        <v>54</v>
      </c>
      <c r="G2" s="22" t="s">
        <v>4201</v>
      </c>
      <c r="H2" s="22"/>
      <c r="I2" s="22" t="s">
        <v>4202</v>
      </c>
      <c r="J2" s="22" t="n">
        <v>59</v>
      </c>
      <c r="K2" s="22" t="s">
        <v>4203</v>
      </c>
      <c r="L2" s="22"/>
      <c r="M2" s="22" t="s">
        <v>4204</v>
      </c>
    </row>
    <row r="3" customFormat="false" ht="15" hidden="false" customHeight="false" outlineLevel="0" collapsed="false">
      <c r="A3" s="22" t="n">
        <v>2</v>
      </c>
      <c r="B3" s="23" t="n">
        <v>45946</v>
      </c>
      <c r="C3" s="25" t="str">
        <f aca="false">IF(B3="","",CHOOSE(MONTH(B3),"Enero","Febrero","Marzo","Abril","Mayo","Junio","Julio","Agosto","Setiembre","Octubre","Noviembre","Diciembre"))</f>
        <v>Octubre</v>
      </c>
      <c r="D3" s="22" t="s">
        <v>4205</v>
      </c>
      <c r="E3" s="22" t="s">
        <v>4206</v>
      </c>
      <c r="F3" s="22" t="s">
        <v>53</v>
      </c>
      <c r="G3" s="22" t="s">
        <v>4207</v>
      </c>
      <c r="H3" s="22"/>
      <c r="I3" s="22" t="s">
        <v>4202</v>
      </c>
      <c r="J3" s="22" t="n">
        <v>34</v>
      </c>
      <c r="K3" s="22" t="s">
        <v>4208</v>
      </c>
      <c r="L3" s="22"/>
      <c r="M3" s="22" t="s">
        <v>4209</v>
      </c>
    </row>
    <row r="4" customFormat="false" ht="15" hidden="false" customHeight="false" outlineLevel="0" collapsed="false">
      <c r="A4" s="22" t="n">
        <v>3</v>
      </c>
      <c r="B4" s="23" t="n">
        <v>45960</v>
      </c>
      <c r="C4" s="25" t="str">
        <f aca="false">IF(B4="","",CHOOSE(MONTH(B4),"Enero","Febrero","Marzo","Abril","Mayo","Junio","Julio","Agosto","Setiembre","Octubre","Noviembre","Diciembre"))</f>
        <v>Octubre</v>
      </c>
      <c r="D4" s="22" t="s">
        <v>4210</v>
      </c>
      <c r="E4" s="22" t="s">
        <v>4211</v>
      </c>
      <c r="F4" s="22" t="s">
        <v>4212</v>
      </c>
      <c r="G4" s="22" t="s">
        <v>4213</v>
      </c>
      <c r="H4" s="22"/>
      <c r="I4" s="22" t="s">
        <v>4202</v>
      </c>
      <c r="J4" s="22" t="n">
        <v>76</v>
      </c>
      <c r="K4" s="22" t="s">
        <v>4214</v>
      </c>
      <c r="L4" s="22"/>
      <c r="M4" s="22" t="s">
        <v>4215</v>
      </c>
    </row>
    <row r="5" customFormat="false" ht="15" hidden="false" customHeight="false" outlineLevel="0" collapsed="false">
      <c r="A5" s="22" t="n">
        <v>4</v>
      </c>
      <c r="B5" s="23" t="n">
        <v>45974</v>
      </c>
      <c r="C5" s="25" t="str">
        <f aca="false">IF(B5="","",CHOOSE(MONTH(B5),"Enero","Febrero","Marzo","Abril","Mayo","Junio","Julio","Agosto","Setiembre","Octubre","Noviembre","Diciembre"))</f>
        <v>Noviembre</v>
      </c>
      <c r="D5" s="22" t="s">
        <v>4216</v>
      </c>
      <c r="E5" s="22" t="s">
        <v>4206</v>
      </c>
      <c r="F5" s="22" t="s">
        <v>53</v>
      </c>
      <c r="G5" s="22" t="s">
        <v>4207</v>
      </c>
      <c r="H5" s="22"/>
      <c r="I5" s="22" t="s">
        <v>4202</v>
      </c>
      <c r="J5" s="22" t="n">
        <v>13</v>
      </c>
      <c r="K5" s="22" t="s">
        <v>4217</v>
      </c>
      <c r="L5" s="22"/>
      <c r="M5" s="22" t="s">
        <v>4218</v>
      </c>
    </row>
    <row r="6" customFormat="false" ht="15" hidden="false" customHeight="false" outlineLevel="0" collapsed="false">
      <c r="A6" s="22" t="n">
        <v>5</v>
      </c>
      <c r="B6" s="23" t="n">
        <v>46244</v>
      </c>
      <c r="C6" s="25" t="str">
        <f aca="false">IF(B6="","",CHOOSE(MONTH(B6),"Enero","Febrero","Marzo","Abril","Mayo","Junio","Julio","Agosto","Setiembre","Octubre","Noviembre","Diciembre"))</f>
        <v>Agosto</v>
      </c>
      <c r="D6" s="22" t="s">
        <v>4219</v>
      </c>
      <c r="E6" s="22" t="s">
        <v>4206</v>
      </c>
      <c r="F6" s="22" t="s">
        <v>4212</v>
      </c>
      <c r="G6" s="22" t="s">
        <v>4220</v>
      </c>
      <c r="H6" s="22"/>
      <c r="I6" s="22" t="s">
        <v>4202</v>
      </c>
      <c r="J6" s="22" t="n">
        <v>11</v>
      </c>
      <c r="K6" s="22" t="s">
        <v>4217</v>
      </c>
      <c r="L6" s="22"/>
      <c r="M6" s="22" t="s">
        <v>4221</v>
      </c>
    </row>
    <row r="7" customFormat="false" ht="15" hidden="false" customHeight="false" outlineLevel="0" collapsed="false">
      <c r="A7" s="22" t="n">
        <v>6</v>
      </c>
      <c r="B7" s="23" t="n">
        <v>46296</v>
      </c>
      <c r="C7" s="25" t="str">
        <f aca="false">IF(B7="","",CHOOSE(MONTH(B7),"Enero","Febrero","Marzo","Abril","Mayo","Junio","Julio","Agosto","Setiembre","Octubre","Noviembre","Diciembre"))</f>
        <v>Octubre</v>
      </c>
      <c r="D7" s="22" t="s">
        <v>4222</v>
      </c>
      <c r="E7" s="22" t="s">
        <v>4200</v>
      </c>
      <c r="F7" s="22" t="s">
        <v>4212</v>
      </c>
      <c r="G7" s="22" t="s">
        <v>4207</v>
      </c>
      <c r="H7" s="22"/>
      <c r="I7" s="22" t="s">
        <v>4202</v>
      </c>
      <c r="J7" s="22" t="n">
        <v>158</v>
      </c>
      <c r="K7" s="22" t="s">
        <v>4223</v>
      </c>
      <c r="L7" s="22"/>
      <c r="M7" s="22" t="s">
        <v>4224</v>
      </c>
    </row>
    <row r="8" customFormat="false" ht="15" hidden="false" customHeight="false" outlineLevel="0" collapsed="false">
      <c r="A8" s="22" t="n">
        <v>7</v>
      </c>
      <c r="B8" s="23" t="n">
        <v>46296</v>
      </c>
      <c r="C8" s="25" t="str">
        <f aca="false">IF(B8="","",CHOOSE(MONTH(B8),"Enero","Febrero","Marzo","Abril","Mayo","Junio","Julio","Agosto","Setiembre","Octubre","Noviembre","Diciembre"))</f>
        <v>Octubre</v>
      </c>
      <c r="D8" s="22" t="s">
        <v>4225</v>
      </c>
      <c r="E8" s="22" t="s">
        <v>4200</v>
      </c>
      <c r="F8" s="22" t="s">
        <v>4212</v>
      </c>
      <c r="G8" s="22" t="s">
        <v>4226</v>
      </c>
      <c r="H8" s="22"/>
      <c r="I8" s="22" t="s">
        <v>4202</v>
      </c>
      <c r="J8" s="22" t="n">
        <v>976</v>
      </c>
      <c r="K8" s="22" t="s">
        <v>4227</v>
      </c>
      <c r="L8" s="22"/>
      <c r="M8" s="22" t="s">
        <v>4228</v>
      </c>
    </row>
    <row r="9" customFormat="false" ht="15" hidden="false" customHeight="false" outlineLevel="0" collapsed="false">
      <c r="A9" s="22"/>
      <c r="B9" s="23"/>
      <c r="C9" s="25" t="str">
        <f aca="false">IF(B9="","",CHOOSE(MONTH(B9),"Enero","Febrero","Marzo","Abril","Mayo","Junio","Julio","Agosto","Setiembre","Octubre","Noviembre","Diciembre"))</f>
        <v/>
      </c>
      <c r="D9" s="22"/>
      <c r="E9" s="22"/>
      <c r="F9" s="22"/>
      <c r="G9" s="22"/>
      <c r="H9" s="22"/>
      <c r="I9" s="22"/>
      <c r="J9" s="22"/>
      <c r="K9" s="22"/>
      <c r="L9" s="22"/>
      <c r="M9" s="22"/>
    </row>
    <row r="10" customFormat="false" ht="15" hidden="false" customHeight="false" outlineLevel="0" collapsed="false">
      <c r="A10" s="22"/>
      <c r="B10" s="23"/>
      <c r="C10" s="25" t="str">
        <f aca="false">IF(B10="","",CHOOSE(MONTH(B10),"Enero","Febrero","Marzo","Abril","Mayo","Junio","Julio","Agosto","Setiembre","Octubre","Noviembre","Diciembre"))</f>
        <v/>
      </c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customFormat="false" ht="15" hidden="false" customHeight="false" outlineLevel="0" collapsed="false">
      <c r="A11" s="22"/>
      <c r="B11" s="23"/>
      <c r="C11" s="25" t="str">
        <f aca="false">IF(B11="","",CHOOSE(MONTH(B11),"Enero","Febrero","Marzo","Abril","Mayo","Junio","Julio","Agosto","Setiembre","Octubre","Noviembre","Diciembre"))</f>
        <v/>
      </c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customFormat="false" ht="15" hidden="false" customHeight="false" outlineLevel="0" collapsed="false">
      <c r="A12" s="22"/>
      <c r="B12" s="23"/>
      <c r="C12" s="25" t="str">
        <f aca="false">IF(B12="","",CHOOSE(MONTH(B12),"Enero","Febrero","Marzo","Abril","Mayo","Junio","Julio","Agosto","Setiembre","Octubre","Noviembre","Diciembre"))</f>
        <v/>
      </c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customFormat="false" ht="15" hidden="false" customHeight="false" outlineLevel="0" collapsed="false">
      <c r="A13" s="22"/>
      <c r="B13" s="23"/>
      <c r="C13" s="25" t="str">
        <f aca="false">IF(B13="","",CHOOSE(MONTH(B13),"Enero","Febrero","Marzo","Abril","Mayo","Junio","Julio","Agosto","Setiembre","Octubre","Noviembre","Diciembre"))</f>
        <v/>
      </c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customFormat="false" ht="15" hidden="false" customHeight="false" outlineLevel="0" collapsed="false">
      <c r="A14" s="22"/>
      <c r="B14" s="23"/>
      <c r="C14" s="25" t="str">
        <f aca="false">IF(B14="","",CHOOSE(MONTH(B14),"Enero","Febrero","Marzo","Abril","Mayo","Junio","Julio","Agosto","Setiembre","Octubre","Noviembre","Diciembre"))</f>
        <v/>
      </c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customFormat="false" ht="15" hidden="false" customHeight="false" outlineLevel="0" collapsed="false">
      <c r="A15" s="22"/>
      <c r="B15" s="23"/>
      <c r="C15" s="25" t="str">
        <f aca="false">IF(B15="","",CHOOSE(MONTH(B15),"Enero","Febrero","Marzo","Abril","Mayo","Junio","Julio","Agosto","Setiembre","Octubre","Noviembre","Diciembre"))</f>
        <v/>
      </c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customFormat="false" ht="15" hidden="false" customHeight="false" outlineLevel="0" collapsed="false">
      <c r="A16" s="22"/>
      <c r="B16" s="23"/>
      <c r="C16" s="25" t="str">
        <f aca="false">IF(B16="","",CHOOSE(MONTH(B16),"Enero","Febrero","Marzo","Abril","Mayo","Junio","Julio","Agosto","Setiembre","Octubre","Noviembre","Diciembre"))</f>
        <v/>
      </c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customFormat="false" ht="15" hidden="false" customHeight="false" outlineLevel="0" collapsed="false">
      <c r="A17" s="22"/>
      <c r="B17" s="23"/>
      <c r="C17" s="25" t="str">
        <f aca="false">IF(B17="","",CHOOSE(MONTH(B17),"Enero","Febrero","Marzo","Abril","Mayo","Junio","Julio","Agosto","Setiembre","Octubre","Noviembre","Diciembre"))</f>
        <v/>
      </c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customFormat="false" ht="15" hidden="false" customHeight="false" outlineLevel="0" collapsed="false">
      <c r="A18" s="22"/>
      <c r="B18" s="23"/>
      <c r="C18" s="25" t="str">
        <f aca="false">IF(B18="","",CHOOSE(MONTH(B18),"Enero","Febrero","Marzo","Abril","Mayo","Junio","Julio","Agosto","Setiembre","Octubre","Noviembre","Diciembre"))</f>
        <v/>
      </c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customFormat="false" ht="15" hidden="false" customHeight="false" outlineLevel="0" collapsed="false">
      <c r="A19" s="22"/>
      <c r="B19" s="23"/>
      <c r="C19" s="25" t="str">
        <f aca="false">IF(B19="","",CHOOSE(MONTH(B19),"Enero","Febrero","Marzo","Abril","Mayo","Junio","Julio","Agosto","Setiembre","Octubre","Noviembre","Diciembre"))</f>
        <v/>
      </c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customFormat="false" ht="15" hidden="false" customHeight="false" outlineLevel="0" collapsed="false">
      <c r="A20" s="22"/>
      <c r="B20" s="23"/>
      <c r="C20" s="25" t="str">
        <f aca="false">IF(B20="","",CHOOSE(MONTH(B20),"Enero","Febrero","Marzo","Abril","Mayo","Junio","Julio","Agosto","Setiembre","Octubre","Noviembre","Diciembre"))</f>
        <v/>
      </c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customFormat="false" ht="15" hidden="false" customHeight="false" outlineLevel="0" collapsed="false">
      <c r="A21" s="22"/>
      <c r="B21" s="23"/>
      <c r="C21" s="25" t="str">
        <f aca="false">IF(B21="","",CHOOSE(MONTH(B21),"Enero","Febrero","Marzo","Abril","Mayo","Junio","Julio","Agosto","Setiembre","Octubre","Noviembre","Diciembre"))</f>
        <v/>
      </c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customFormat="false" ht="15" hidden="false" customHeight="false" outlineLevel="0" collapsed="false">
      <c r="A22" s="22"/>
      <c r="B22" s="23"/>
      <c r="C22" s="25" t="str">
        <f aca="false">IF(B22="","",CHOOSE(MONTH(B22),"Enero","Febrero","Marzo","Abril","Mayo","Junio","Julio","Agosto","Setiembre","Octubre","Noviembre","Diciembre"))</f>
        <v/>
      </c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customFormat="false" ht="15" hidden="false" customHeight="false" outlineLevel="0" collapsed="false">
      <c r="A23" s="22"/>
      <c r="B23" s="23"/>
      <c r="C23" s="25" t="str">
        <f aca="false">IF(B23="","",CHOOSE(MONTH(B23),"Enero","Febrero","Marzo","Abril","Mayo","Junio","Julio","Agosto","Setiembre","Octubre","Noviembre","Diciembre"))</f>
        <v/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customFormat="false" ht="15" hidden="false" customHeight="false" outlineLevel="0" collapsed="false">
      <c r="A24" s="22"/>
      <c r="B24" s="23"/>
      <c r="C24" s="25" t="str">
        <f aca="false">IF(B24="","",CHOOSE(MONTH(B24),"Enero","Febrero","Marzo","Abril","Mayo","Junio","Julio","Agosto","Setiembre","Octubre","Noviembre","Diciembre"))</f>
        <v/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customFormat="false" ht="15" hidden="false" customHeight="false" outlineLevel="0" collapsed="false">
      <c r="A25" s="22"/>
      <c r="B25" s="23"/>
      <c r="C25" s="25" t="str">
        <f aca="false">IF(B25="","",CHOOSE(MONTH(B25),"Enero","Febrero","Marzo","Abril","Mayo","Junio","Julio","Agosto","Setiembre","Octubre","Noviembre","Diciembre"))</f>
        <v/>
      </c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customFormat="false" ht="15" hidden="false" customHeight="false" outlineLevel="0" collapsed="false">
      <c r="A26" s="22"/>
      <c r="B26" s="23"/>
      <c r="C26" s="25" t="str">
        <f aca="false">IF(B26="","",CHOOSE(MONTH(B26),"Enero","Febrero","Marzo","Abril","Mayo","Junio","Julio","Agosto","Setiembre","Octubre","Noviembre","Diciembre"))</f>
        <v/>
      </c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customFormat="false" ht="15" hidden="false" customHeight="false" outlineLevel="0" collapsed="false">
      <c r="A27" s="22"/>
      <c r="B27" s="23"/>
      <c r="C27" s="25" t="str">
        <f aca="false">IF(B27="","",CHOOSE(MONTH(B27),"Enero","Febrero","Marzo","Abril","Mayo","Junio","Julio","Agosto","Setiembre","Octubre","Noviembre","Diciembre"))</f>
        <v/>
      </c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customFormat="false" ht="15" hidden="false" customHeight="false" outlineLevel="0" collapsed="false">
      <c r="A28" s="22"/>
      <c r="B28" s="23"/>
      <c r="C28" s="25" t="str">
        <f aca="false">IF(B28="","",CHOOSE(MONTH(B28),"Enero","Febrero","Marzo","Abril","Mayo","Junio","Julio","Agosto","Setiembre","Octubre","Noviembre","Diciembre"))</f>
        <v/>
      </c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customFormat="false" ht="15" hidden="false" customHeight="false" outlineLevel="0" collapsed="false">
      <c r="A29" s="22"/>
      <c r="B29" s="23"/>
      <c r="C29" s="25" t="str">
        <f aca="false">IF(B29="","",CHOOSE(MONTH(B29),"Enero","Febrero","Marzo","Abril","Mayo","Junio","Julio","Agosto","Setiembre","Octubre","Noviembre","Diciembre"))</f>
        <v/>
      </c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customFormat="false" ht="15" hidden="false" customHeight="false" outlineLevel="0" collapsed="false">
      <c r="A30" s="22"/>
      <c r="B30" s="23"/>
      <c r="C30" s="25" t="str">
        <f aca="false">IF(B30="","",CHOOSE(MONTH(B30),"Enero","Febrero","Marzo","Abril","Mayo","Junio","Julio","Agosto","Setiembre","Octubre","Noviembre","Diciembre"))</f>
        <v/>
      </c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customFormat="false" ht="15" hidden="false" customHeight="false" outlineLevel="0" collapsed="false">
      <c r="A31" s="22"/>
      <c r="B31" s="23"/>
      <c r="C31" s="25" t="str">
        <f aca="false">IF(B31="","",CHOOSE(MONTH(B31),"Enero","Febrero","Marzo","Abril","Mayo","Junio","Julio","Agosto","Setiembre","Octubre","Noviembre","Diciembre"))</f>
        <v/>
      </c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customFormat="false" ht="15" hidden="false" customHeight="false" outlineLevel="0" collapsed="false">
      <c r="A32" s="22"/>
      <c r="B32" s="23"/>
      <c r="C32" s="25" t="str">
        <f aca="false">IF(B32="","",CHOOSE(MONTH(B32),"Enero","Febrero","Marzo","Abril","Mayo","Junio","Julio","Agosto","Setiembre","Octubre","Noviembre","Diciembre"))</f>
        <v/>
      </c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customFormat="false" ht="15" hidden="false" customHeight="false" outlineLevel="0" collapsed="false">
      <c r="A33" s="22"/>
      <c r="B33" s="23"/>
      <c r="C33" s="25" t="str">
        <f aca="false">IF(B33="","",CHOOSE(MONTH(B33),"Enero","Febrero","Marzo","Abril","Mayo","Junio","Julio","Agosto","Setiembre","Octubre","Noviembre","Diciembre"))</f>
        <v/>
      </c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customFormat="false" ht="15" hidden="false" customHeight="false" outlineLevel="0" collapsed="false">
      <c r="A34" s="22"/>
      <c r="B34" s="23"/>
      <c r="C34" s="25" t="str">
        <f aca="false">IF(B34="","",CHOOSE(MONTH(B34),"Enero","Febrero","Marzo","Abril","Mayo","Junio","Julio","Agosto","Setiembre","Octubre","Noviembre","Diciembre"))</f>
        <v/>
      </c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customFormat="false" ht="15" hidden="false" customHeight="false" outlineLevel="0" collapsed="false">
      <c r="A35" s="22"/>
      <c r="B35" s="23"/>
      <c r="C35" s="25" t="str">
        <f aca="false">IF(B35="","",CHOOSE(MONTH(B35),"Enero","Febrero","Marzo","Abril","Mayo","Junio","Julio","Agosto","Setiembre","Octubre","Noviembre","Diciembre"))</f>
        <v/>
      </c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customFormat="false" ht="15" hidden="false" customHeight="false" outlineLevel="0" collapsed="false">
      <c r="A36" s="22"/>
      <c r="B36" s="23"/>
      <c r="C36" s="25" t="str">
        <f aca="false">IF(B36="","",CHOOSE(MONTH(B36),"Enero","Febrero","Marzo","Abril","Mayo","Junio","Julio","Agosto","Setiembre","Octubre","Noviembre","Diciembre"))</f>
        <v/>
      </c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customFormat="false" ht="15" hidden="false" customHeight="false" outlineLevel="0" collapsed="false">
      <c r="A37" s="22"/>
      <c r="B37" s="23"/>
      <c r="C37" s="25" t="str">
        <f aca="false">IF(B37="","",CHOOSE(MONTH(B37),"Enero","Febrero","Marzo","Abril","Mayo","Junio","Julio","Agosto","Setiembre","Octubre","Noviembre","Diciembre"))</f>
        <v/>
      </c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customFormat="false" ht="15" hidden="false" customHeight="false" outlineLevel="0" collapsed="false">
      <c r="A38" s="22"/>
      <c r="B38" s="23"/>
      <c r="C38" s="25" t="str">
        <f aca="false">IF(B38="","",CHOOSE(MONTH(B38),"Enero","Febrero","Marzo","Abril","Mayo","Junio","Julio","Agosto","Setiembre","Octubre","Noviembre","Diciembre"))</f>
        <v/>
      </c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customFormat="false" ht="15" hidden="false" customHeight="false" outlineLevel="0" collapsed="false">
      <c r="A39" s="22"/>
      <c r="B39" s="23"/>
      <c r="C39" s="25" t="str">
        <f aca="false">IF(B39="","",CHOOSE(MONTH(B39),"Enero","Febrero","Marzo","Abril","Mayo","Junio","Julio","Agosto","Setiembre","Octubre","Noviembre","Diciembre"))</f>
        <v/>
      </c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customFormat="false" ht="15" hidden="false" customHeight="false" outlineLevel="0" collapsed="false">
      <c r="A40" s="22"/>
      <c r="B40" s="23"/>
      <c r="C40" s="25" t="str">
        <f aca="false">IF(B40="","",CHOOSE(MONTH(B40),"Enero","Febrero","Marzo","Abril","Mayo","Junio","Julio","Agosto","Setiembre","Octubre","Noviembre","Diciembre"))</f>
        <v/>
      </c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customFormat="false" ht="15" hidden="false" customHeight="false" outlineLevel="0" collapsed="false">
      <c r="A41" s="22"/>
      <c r="B41" s="23"/>
      <c r="C41" s="25" t="str">
        <f aca="false">IF(B41="","",CHOOSE(MONTH(B41),"Enero","Febrero","Marzo","Abril","Mayo","Junio","Julio","Agosto","Setiembre","Octubre","Noviembre","Diciembre"))</f>
        <v/>
      </c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customFormat="false" ht="15" hidden="false" customHeight="false" outlineLevel="0" collapsed="false">
      <c r="A42" s="22"/>
      <c r="B42" s="23"/>
      <c r="C42" s="25" t="str">
        <f aca="false">IF(B42="","",CHOOSE(MONTH(B42),"Enero","Febrero","Marzo","Abril","Mayo","Junio","Julio","Agosto","Setiembre","Octubre","Noviembre","Diciembre"))</f>
        <v/>
      </c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customFormat="false" ht="15" hidden="false" customHeight="false" outlineLevel="0" collapsed="false">
      <c r="A43" s="22"/>
      <c r="B43" s="23"/>
      <c r="C43" s="25" t="str">
        <f aca="false">IF(B43="","",CHOOSE(MONTH(B43),"Enero","Febrero","Marzo","Abril","Mayo","Junio","Julio","Agosto","Setiembre","Octubre","Noviembre","Diciembre"))</f>
        <v/>
      </c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customFormat="false" ht="15" hidden="false" customHeight="false" outlineLevel="0" collapsed="false">
      <c r="A44" s="22"/>
      <c r="B44" s="23"/>
      <c r="C44" s="25" t="str">
        <f aca="false">IF(B44="","",CHOOSE(MONTH(B44),"Enero","Febrero","Marzo","Abril","Mayo","Junio","Julio","Agosto","Setiembre","Octubre","Noviembre","Diciembre"))</f>
        <v/>
      </c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customFormat="false" ht="15" hidden="false" customHeight="false" outlineLevel="0" collapsed="false">
      <c r="A45" s="22"/>
      <c r="B45" s="23"/>
      <c r="C45" s="25" t="str">
        <f aca="false">IF(B45="","",CHOOSE(MONTH(B45),"Enero","Febrero","Marzo","Abril","Mayo","Junio","Julio","Agosto","Setiembre","Octubre","Noviembre","Diciembre"))</f>
        <v/>
      </c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customFormat="false" ht="15" hidden="false" customHeight="false" outlineLevel="0" collapsed="false">
      <c r="A46" s="22"/>
      <c r="B46" s="23"/>
      <c r="C46" s="25" t="str">
        <f aca="false">IF(B46="","",CHOOSE(MONTH(B46),"Enero","Febrero","Marzo","Abril","Mayo","Junio","Julio","Agosto","Setiembre","Octubre","Noviembre","Diciembre"))</f>
        <v/>
      </c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customFormat="false" ht="15" hidden="false" customHeight="false" outlineLevel="0" collapsed="false">
      <c r="A47" s="22"/>
      <c r="B47" s="23"/>
      <c r="C47" s="25" t="str">
        <f aca="false">IF(B47="","",CHOOSE(MONTH(B47),"Enero","Febrero","Marzo","Abril","Mayo","Junio","Julio","Agosto","Setiembre","Octubre","Noviembre","Diciembre"))</f>
        <v/>
      </c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customFormat="false" ht="15" hidden="false" customHeight="false" outlineLevel="0" collapsed="false">
      <c r="A48" s="22"/>
      <c r="B48" s="23"/>
      <c r="C48" s="25" t="str">
        <f aca="false">IF(B48="","",CHOOSE(MONTH(B48),"Enero","Febrero","Marzo","Abril","Mayo","Junio","Julio","Agosto","Setiembre","Octubre","Noviembre","Diciembre"))</f>
        <v/>
      </c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customFormat="false" ht="15" hidden="false" customHeight="false" outlineLevel="0" collapsed="false">
      <c r="A49" s="22"/>
      <c r="B49" s="23"/>
      <c r="C49" s="25" t="str">
        <f aca="false">IF(B49="","",CHOOSE(MONTH(B49),"Enero","Febrero","Marzo","Abril","Mayo","Junio","Julio","Agosto","Setiembre","Octubre","Noviembre","Diciembre"))</f>
        <v/>
      </c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customFormat="false" ht="15" hidden="false" customHeight="false" outlineLevel="0" collapsed="false">
      <c r="A50" s="22"/>
      <c r="B50" s="23"/>
      <c r="C50" s="25" t="str">
        <f aca="false">IF(B50="","",CHOOSE(MONTH(B50),"Enero","Febrero","Marzo","Abril","Mayo","Junio","Julio","Agosto","Setiembre","Octubre","Noviembre","Diciembre"))</f>
        <v/>
      </c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customFormat="false" ht="15" hidden="false" customHeight="false" outlineLevel="0" collapsed="false">
      <c r="A51" s="22"/>
      <c r="B51" s="23"/>
      <c r="C51" s="25" t="str">
        <f aca="false">IF(B51="","",CHOOSE(MONTH(B51),"Enero","Febrero","Marzo","Abril","Mayo","Junio","Julio","Agosto","Setiembre","Octubre","Noviembre","Diciembre"))</f>
        <v/>
      </c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customFormat="false" ht="15" hidden="false" customHeight="false" outlineLevel="0" collapsed="false">
      <c r="A52" s="22"/>
      <c r="B52" s="23"/>
      <c r="C52" s="25" t="str">
        <f aca="false">IF(B52="","",CHOOSE(MONTH(B52),"Enero","Febrero","Marzo","Abril","Mayo","Junio","Julio","Agosto","Setiembre","Octubre","Noviembre","Diciembre"))</f>
        <v/>
      </c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customFormat="false" ht="15" hidden="false" customHeight="false" outlineLevel="0" collapsed="false">
      <c r="A53" s="22"/>
      <c r="B53" s="23"/>
      <c r="C53" s="25" t="str">
        <f aca="false">IF(B53="","",CHOOSE(MONTH(B53),"Enero","Febrero","Marzo","Abril","Mayo","Junio","Julio","Agosto","Setiembre","Octubre","Noviembre","Diciembre"))</f>
        <v/>
      </c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customFormat="false" ht="15" hidden="false" customHeight="false" outlineLevel="0" collapsed="false">
      <c r="A54" s="22"/>
      <c r="B54" s="23"/>
      <c r="C54" s="25" t="str">
        <f aca="false">IF(B54="","",CHOOSE(MONTH(B54),"Enero","Febrero","Marzo","Abril","Mayo","Junio","Julio","Agosto","Setiembre","Octubre","Noviembre","Diciembre"))</f>
        <v/>
      </c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customFormat="false" ht="15" hidden="false" customHeight="false" outlineLevel="0" collapsed="false">
      <c r="A55" s="22"/>
      <c r="B55" s="23"/>
      <c r="C55" s="25" t="str">
        <f aca="false">IF(B55="","",CHOOSE(MONTH(B55),"Enero","Febrero","Marzo","Abril","Mayo","Junio","Julio","Agosto","Setiembre","Octubre","Noviembre","Diciembre"))</f>
        <v/>
      </c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customFormat="false" ht="15" hidden="false" customHeight="false" outlineLevel="0" collapsed="false">
      <c r="A56" s="22"/>
      <c r="B56" s="23"/>
      <c r="C56" s="25" t="str">
        <f aca="false">IF(B56="","",CHOOSE(MONTH(B56),"Enero","Febrero","Marzo","Abril","Mayo","Junio","Julio","Agosto","Setiembre","Octubre","Noviembre","Diciembre"))</f>
        <v/>
      </c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customFormat="false" ht="15" hidden="false" customHeight="false" outlineLevel="0" collapsed="false">
      <c r="A57" s="22"/>
      <c r="B57" s="23"/>
      <c r="C57" s="25" t="str">
        <f aca="false">IF(B57="","",CHOOSE(MONTH(B57),"Enero","Febrero","Marzo","Abril","Mayo","Junio","Julio","Agosto","Setiembre","Octubre","Noviembre","Diciembre"))</f>
        <v/>
      </c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customFormat="false" ht="15" hidden="false" customHeight="false" outlineLevel="0" collapsed="false">
      <c r="A58" s="22"/>
      <c r="B58" s="23"/>
      <c r="C58" s="25" t="str">
        <f aca="false">IF(B58="","",CHOOSE(MONTH(B58),"Enero","Febrero","Marzo","Abril","Mayo","Junio","Julio","Agosto","Setiembre","Octubre","Noviembre","Diciembre"))</f>
        <v/>
      </c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customFormat="false" ht="15" hidden="false" customHeight="false" outlineLevel="0" collapsed="false">
      <c r="A59" s="22"/>
      <c r="B59" s="23"/>
      <c r="C59" s="25" t="str">
        <f aca="false">IF(B59="","",CHOOSE(MONTH(B59),"Enero","Febrero","Marzo","Abril","Mayo","Junio","Julio","Agosto","Setiembre","Octubre","Noviembre","Diciembre"))</f>
        <v/>
      </c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customFormat="false" ht="15" hidden="false" customHeight="false" outlineLevel="0" collapsed="false">
      <c r="A60" s="22"/>
      <c r="B60" s="23"/>
      <c r="C60" s="25" t="str">
        <f aca="false">IF(B60="","",CHOOSE(MONTH(B60),"Enero","Febrero","Marzo","Abril","Mayo","Junio","Julio","Agosto","Setiembre","Octubre","Noviembre","Diciembre"))</f>
        <v/>
      </c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customFormat="false" ht="15" hidden="false" customHeight="false" outlineLevel="0" collapsed="false">
      <c r="A61" s="22"/>
      <c r="B61" s="23"/>
      <c r="C61" s="25" t="str">
        <f aca="false">IF(B61="","",CHOOSE(MONTH(B61),"Enero","Febrero","Marzo","Abril","Mayo","Junio","Julio","Agosto","Setiembre","Octubre","Noviembre","Diciembre"))</f>
        <v/>
      </c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customFormat="false" ht="15" hidden="false" customHeight="false" outlineLevel="0" collapsed="false">
      <c r="A62" s="22"/>
      <c r="B62" s="23"/>
      <c r="C62" s="25" t="str">
        <f aca="false">IF(B62="","",CHOOSE(MONTH(B62),"Enero","Febrero","Marzo","Abril","Mayo","Junio","Julio","Agosto","Setiembre","Octubre","Noviembre","Diciembre"))</f>
        <v/>
      </c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customFormat="false" ht="15" hidden="false" customHeight="false" outlineLevel="0" collapsed="false">
      <c r="A63" s="22"/>
      <c r="B63" s="23"/>
      <c r="C63" s="25" t="str">
        <f aca="false">IF(B63="","",CHOOSE(MONTH(B63),"Enero","Febrero","Marzo","Abril","Mayo","Junio","Julio","Agosto","Setiembre","Octubre","Noviembre","Diciembre"))</f>
        <v/>
      </c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customFormat="false" ht="15" hidden="false" customHeight="false" outlineLevel="0" collapsed="false">
      <c r="A64" s="22"/>
      <c r="B64" s="23"/>
      <c r="C64" s="25" t="str">
        <f aca="false">IF(B64="","",CHOOSE(MONTH(B64),"Enero","Febrero","Marzo","Abril","Mayo","Junio","Julio","Agosto","Setiembre","Octubre","Noviembre","Diciembre"))</f>
        <v/>
      </c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customFormat="false" ht="15" hidden="false" customHeight="false" outlineLevel="0" collapsed="false">
      <c r="A65" s="22"/>
      <c r="B65" s="23"/>
      <c r="C65" s="25" t="str">
        <f aca="false">IF(B65="","",CHOOSE(MONTH(B65),"Enero","Febrero","Marzo","Abril","Mayo","Junio","Julio","Agosto","Setiembre","Octubre","Noviembre","Diciembre"))</f>
        <v/>
      </c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customFormat="false" ht="15" hidden="false" customHeight="false" outlineLevel="0" collapsed="false">
      <c r="A66" s="22"/>
      <c r="B66" s="23"/>
      <c r="C66" s="25" t="str">
        <f aca="false">IF(B66="","",CHOOSE(MONTH(B66),"Enero","Febrero","Marzo","Abril","Mayo","Junio","Julio","Agosto","Setiembre","Octubre","Noviembre","Diciembre"))</f>
        <v/>
      </c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customFormat="false" ht="15" hidden="false" customHeight="false" outlineLevel="0" collapsed="false">
      <c r="A67" s="22"/>
      <c r="B67" s="23"/>
      <c r="C67" s="25" t="str">
        <f aca="false">IF(B67="","",CHOOSE(MONTH(B67),"Enero","Febrero","Marzo","Abril","Mayo","Junio","Julio","Agosto","Setiembre","Octubre","Noviembre","Diciembre"))</f>
        <v/>
      </c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customFormat="false" ht="15" hidden="false" customHeight="false" outlineLevel="0" collapsed="false">
      <c r="A68" s="22"/>
      <c r="B68" s="23"/>
      <c r="C68" s="25" t="str">
        <f aca="false">IF(B68="","",CHOOSE(MONTH(B68),"Enero","Febrero","Marzo","Abril","Mayo","Junio","Julio","Agosto","Setiembre","Octubre","Noviembre","Diciembre"))</f>
        <v/>
      </c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customFormat="false" ht="15" hidden="false" customHeight="false" outlineLevel="0" collapsed="false">
      <c r="A69" s="22"/>
      <c r="B69" s="23"/>
      <c r="C69" s="25" t="str">
        <f aca="false">IF(B69="","",CHOOSE(MONTH(B69),"Enero","Febrero","Marzo","Abril","Mayo","Junio","Julio","Agosto","Setiembre","Octubre","Noviembre","Diciembre"))</f>
        <v/>
      </c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customFormat="false" ht="15" hidden="false" customHeight="false" outlineLevel="0" collapsed="false">
      <c r="A70" s="22"/>
      <c r="B70" s="23"/>
      <c r="C70" s="25" t="str">
        <f aca="false">IF(B70="","",CHOOSE(MONTH(B70),"Enero","Febrero","Marzo","Abril","Mayo","Junio","Julio","Agosto","Setiembre","Octubre","Noviembre","Diciembre"))</f>
        <v/>
      </c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customFormat="false" ht="15" hidden="false" customHeight="false" outlineLevel="0" collapsed="false">
      <c r="A71" s="22"/>
      <c r="B71" s="23"/>
      <c r="C71" s="25" t="str">
        <f aca="false">IF(B71="","",CHOOSE(MONTH(B71),"Enero","Febrero","Marzo","Abril","Mayo","Junio","Julio","Agosto","Setiembre","Octubre","Noviembre","Diciembre"))</f>
        <v/>
      </c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customFormat="false" ht="15" hidden="false" customHeight="false" outlineLevel="0" collapsed="false">
      <c r="A72" s="22"/>
      <c r="B72" s="23"/>
      <c r="C72" s="25" t="str">
        <f aca="false">IF(B72="","",CHOOSE(MONTH(B72),"Enero","Febrero","Marzo","Abril","Mayo","Junio","Julio","Agosto","Setiembre","Octubre","Noviembre","Diciembre"))</f>
        <v/>
      </c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customFormat="false" ht="15" hidden="false" customHeight="false" outlineLevel="0" collapsed="false">
      <c r="A73" s="22"/>
      <c r="B73" s="23"/>
      <c r="C73" s="25" t="str">
        <f aca="false">IF(B73="","",CHOOSE(MONTH(B73),"Enero","Febrero","Marzo","Abril","Mayo","Junio","Julio","Agosto","Setiembre","Octubre","Noviembre","Diciembre"))</f>
        <v/>
      </c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customFormat="false" ht="15" hidden="false" customHeight="false" outlineLevel="0" collapsed="false">
      <c r="A74" s="22"/>
      <c r="B74" s="23"/>
      <c r="C74" s="25" t="str">
        <f aca="false">IF(B74="","",CHOOSE(MONTH(B74),"Enero","Febrero","Marzo","Abril","Mayo","Junio","Julio","Agosto","Setiembre","Octubre","Noviembre","Diciembre"))</f>
        <v/>
      </c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customFormat="false" ht="15" hidden="false" customHeight="false" outlineLevel="0" collapsed="false">
      <c r="A75" s="22"/>
      <c r="B75" s="23"/>
      <c r="C75" s="25" t="str">
        <f aca="false">IF(B75="","",CHOOSE(MONTH(B75),"Enero","Febrero","Marzo","Abril","Mayo","Junio","Julio","Agosto","Setiembre","Octubre","Noviembre","Diciembre"))</f>
        <v/>
      </c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customFormat="false" ht="15" hidden="false" customHeight="false" outlineLevel="0" collapsed="false">
      <c r="A76" s="22"/>
      <c r="B76" s="23"/>
      <c r="C76" s="25" t="str">
        <f aca="false">IF(B76="","",CHOOSE(MONTH(B76),"Enero","Febrero","Marzo","Abril","Mayo","Junio","Julio","Agosto","Setiembre","Octubre","Noviembre","Diciembre"))</f>
        <v/>
      </c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customFormat="false" ht="15" hidden="false" customHeight="false" outlineLevel="0" collapsed="false">
      <c r="A77" s="22"/>
      <c r="B77" s="23"/>
      <c r="C77" s="25" t="str">
        <f aca="false">IF(B77="","",CHOOSE(MONTH(B77),"Enero","Febrero","Marzo","Abril","Mayo","Junio","Julio","Agosto","Setiembre","Octubre","Noviembre","Diciembre"))</f>
        <v/>
      </c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customFormat="false" ht="15" hidden="false" customHeight="false" outlineLevel="0" collapsed="false">
      <c r="A78" s="22"/>
      <c r="B78" s="23"/>
      <c r="C78" s="25" t="str">
        <f aca="false">IF(B78="","",CHOOSE(MONTH(B78),"Enero","Febrero","Marzo","Abril","Mayo","Junio","Julio","Agosto","Setiembre","Octubre","Noviembre","Diciembre"))</f>
        <v/>
      </c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customFormat="false" ht="15" hidden="false" customHeight="false" outlineLevel="0" collapsed="false">
      <c r="A79" s="22"/>
      <c r="B79" s="23"/>
      <c r="C79" s="25" t="str">
        <f aca="false">IF(B79="","",CHOOSE(MONTH(B79),"Enero","Febrero","Marzo","Abril","Mayo","Junio","Julio","Agosto","Setiembre","Octubre","Noviembre","Diciembre"))</f>
        <v/>
      </c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customFormat="false" ht="15" hidden="false" customHeight="false" outlineLevel="0" collapsed="false">
      <c r="A80" s="22"/>
      <c r="B80" s="23"/>
      <c r="C80" s="25" t="str">
        <f aca="false">IF(B80="","",CHOOSE(MONTH(B80),"Enero","Febrero","Marzo","Abril","Mayo","Junio","Julio","Agosto","Setiembre","Octubre","Noviembre","Diciembre"))</f>
        <v/>
      </c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customFormat="false" ht="15" hidden="false" customHeight="false" outlineLevel="0" collapsed="false">
      <c r="A81" s="22"/>
      <c r="B81" s="23"/>
      <c r="C81" s="25" t="str">
        <f aca="false">IF(B81="","",CHOOSE(MONTH(B81),"Enero","Febrero","Marzo","Abril","Mayo","Junio","Julio","Agosto","Setiembre","Octubre","Noviembre","Diciembre"))</f>
        <v/>
      </c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customFormat="false" ht="15" hidden="false" customHeight="false" outlineLevel="0" collapsed="false">
      <c r="A82" s="22"/>
      <c r="B82" s="23"/>
      <c r="C82" s="25" t="str">
        <f aca="false">IF(B82="","",CHOOSE(MONTH(B82),"Enero","Febrero","Marzo","Abril","Mayo","Junio","Julio","Agosto","Setiembre","Octubre","Noviembre","Diciembre"))</f>
        <v/>
      </c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customFormat="false" ht="15" hidden="false" customHeight="false" outlineLevel="0" collapsed="false">
      <c r="A83" s="22"/>
      <c r="B83" s="23"/>
      <c r="C83" s="25" t="str">
        <f aca="false">IF(B83="","",CHOOSE(MONTH(B83),"Enero","Febrero","Marzo","Abril","Mayo","Junio","Julio","Agosto","Setiembre","Octubre","Noviembre","Diciembre"))</f>
        <v/>
      </c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customFormat="false" ht="15" hidden="false" customHeight="false" outlineLevel="0" collapsed="false">
      <c r="A84" s="22"/>
      <c r="B84" s="23"/>
      <c r="C84" s="25" t="str">
        <f aca="false">IF(B84="","",CHOOSE(MONTH(B84),"Enero","Febrero","Marzo","Abril","Mayo","Junio","Julio","Agosto","Setiembre","Octubre","Noviembre","Diciembre"))</f>
        <v/>
      </c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customFormat="false" ht="15" hidden="false" customHeight="false" outlineLevel="0" collapsed="false">
      <c r="A85" s="22"/>
      <c r="B85" s="23"/>
      <c r="C85" s="25" t="str">
        <f aca="false">IF(B85="","",CHOOSE(MONTH(B85),"Enero","Febrero","Marzo","Abril","Mayo","Junio","Julio","Agosto","Setiembre","Octubre","Noviembre","Diciembre"))</f>
        <v/>
      </c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customFormat="false" ht="15" hidden="false" customHeight="false" outlineLevel="0" collapsed="false">
      <c r="A86" s="22"/>
      <c r="B86" s="23"/>
      <c r="C86" s="25" t="str">
        <f aca="false">IF(B86="","",CHOOSE(MONTH(B86),"Enero","Febrero","Marzo","Abril","Mayo","Junio","Julio","Agosto","Setiembre","Octubre","Noviembre","Diciembre"))</f>
        <v/>
      </c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customFormat="false" ht="15" hidden="false" customHeight="false" outlineLevel="0" collapsed="false">
      <c r="A87" s="22"/>
      <c r="B87" s="23"/>
      <c r="C87" s="25" t="str">
        <f aca="false">IF(B87="","",CHOOSE(MONTH(B87),"Enero","Febrero","Marzo","Abril","Mayo","Junio","Julio","Agosto","Setiembre","Octubre","Noviembre","Diciembre"))</f>
        <v/>
      </c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customFormat="false" ht="15" hidden="false" customHeight="false" outlineLevel="0" collapsed="false">
      <c r="A88" s="22"/>
      <c r="B88" s="23"/>
      <c r="C88" s="25" t="str">
        <f aca="false">IF(B88="","",CHOOSE(MONTH(B88),"Enero","Febrero","Marzo","Abril","Mayo","Junio","Julio","Agosto","Setiembre","Octubre","Noviembre","Diciembre"))</f>
        <v/>
      </c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customFormat="false" ht="15" hidden="false" customHeight="false" outlineLevel="0" collapsed="false">
      <c r="A89" s="22"/>
      <c r="B89" s="23"/>
      <c r="C89" s="25" t="str">
        <f aca="false">IF(B89="","",CHOOSE(MONTH(B89),"Enero","Febrero","Marzo","Abril","Mayo","Junio","Julio","Agosto","Setiembre","Octubre","Noviembre","Diciembre"))</f>
        <v/>
      </c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customFormat="false" ht="15" hidden="false" customHeight="false" outlineLevel="0" collapsed="false">
      <c r="A90" s="22"/>
      <c r="B90" s="23"/>
      <c r="C90" s="25" t="str">
        <f aca="false">IF(B90="","",CHOOSE(MONTH(B90),"Enero","Febrero","Marzo","Abril","Mayo","Junio","Julio","Agosto","Setiembre","Octubre","Noviembre","Diciembre"))</f>
        <v/>
      </c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customFormat="false" ht="15" hidden="false" customHeight="false" outlineLevel="0" collapsed="false">
      <c r="A91" s="22"/>
      <c r="B91" s="23"/>
      <c r="C91" s="25" t="str">
        <f aca="false">IF(B91="","",CHOOSE(MONTH(B91),"Enero","Febrero","Marzo","Abril","Mayo","Junio","Julio","Agosto","Setiembre","Octubre","Noviembre","Diciembre"))</f>
        <v/>
      </c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customFormat="false" ht="15" hidden="false" customHeight="false" outlineLevel="0" collapsed="false">
      <c r="A92" s="22"/>
      <c r="B92" s="23"/>
      <c r="C92" s="25" t="str">
        <f aca="false">IF(B92="","",CHOOSE(MONTH(B92),"Enero","Febrero","Marzo","Abril","Mayo","Junio","Julio","Agosto","Setiembre","Octubre","Noviembre","Diciembre"))</f>
        <v/>
      </c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customFormat="false" ht="15" hidden="false" customHeight="false" outlineLevel="0" collapsed="false">
      <c r="A93" s="22"/>
      <c r="B93" s="23"/>
      <c r="C93" s="25" t="str">
        <f aca="false">IF(B93="","",CHOOSE(MONTH(B93),"Enero","Febrero","Marzo","Abril","Mayo","Junio","Julio","Agosto","Setiembre","Octubre","Noviembre","Diciembre"))</f>
        <v/>
      </c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customFormat="false" ht="15" hidden="false" customHeight="false" outlineLevel="0" collapsed="false">
      <c r="A94" s="22"/>
      <c r="B94" s="23"/>
      <c r="C94" s="25" t="str">
        <f aca="false">IF(B94="","",CHOOSE(MONTH(B94),"Enero","Febrero","Marzo","Abril","Mayo","Junio","Julio","Agosto","Setiembre","Octubre","Noviembre","Diciembre"))</f>
        <v/>
      </c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customFormat="false" ht="15" hidden="false" customHeight="false" outlineLevel="0" collapsed="false">
      <c r="A95" s="22"/>
      <c r="B95" s="23"/>
      <c r="C95" s="25" t="str">
        <f aca="false">IF(B95="","",CHOOSE(MONTH(B95),"Enero","Febrero","Marzo","Abril","Mayo","Junio","Julio","Agosto","Setiembre","Octubre","Noviembre","Diciembre"))</f>
        <v/>
      </c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customFormat="false" ht="15" hidden="false" customHeight="false" outlineLevel="0" collapsed="false">
      <c r="A96" s="22"/>
      <c r="B96" s="23"/>
      <c r="C96" s="25" t="str">
        <f aca="false">IF(B96="","",CHOOSE(MONTH(B96),"Enero","Febrero","Marzo","Abril","Mayo","Junio","Julio","Agosto","Setiembre","Octubre","Noviembre","Diciembre"))</f>
        <v/>
      </c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customFormat="false" ht="15" hidden="false" customHeight="false" outlineLevel="0" collapsed="false">
      <c r="A97" s="22"/>
      <c r="B97" s="23"/>
      <c r="C97" s="25" t="str">
        <f aca="false">IF(B97="","",CHOOSE(MONTH(B97),"Enero","Febrero","Marzo","Abril","Mayo","Junio","Julio","Agosto","Setiembre","Octubre","Noviembre","Diciembre"))</f>
        <v/>
      </c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customFormat="false" ht="15" hidden="false" customHeight="false" outlineLevel="0" collapsed="false">
      <c r="A98" s="22"/>
      <c r="B98" s="23"/>
      <c r="C98" s="25" t="str">
        <f aca="false">IF(B98="","",CHOOSE(MONTH(B98),"Enero","Febrero","Marzo","Abril","Mayo","Junio","Julio","Agosto","Setiembre","Octubre","Noviembre","Diciembre"))</f>
        <v/>
      </c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customFormat="false" ht="15" hidden="false" customHeight="false" outlineLevel="0" collapsed="false">
      <c r="A99" s="22"/>
      <c r="B99" s="23"/>
      <c r="C99" s="25" t="str">
        <f aca="false">IF(B99="","",CHOOSE(MONTH(B99),"Enero","Febrero","Marzo","Abril","Mayo","Junio","Julio","Agosto","Setiembre","Octubre","Noviembre","Diciembre"))</f>
        <v/>
      </c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customFormat="false" ht="15" hidden="false" customHeight="false" outlineLevel="0" collapsed="false">
      <c r="A100" s="22"/>
      <c r="B100" s="23"/>
      <c r="C100" s="25" t="str">
        <f aca="false">IF(B100="","",CHOOSE(MONTH(B100),"Enero","Febrero","Marzo","Abril","Mayo","Junio","Julio","Agosto","Setiembre","Octubre","Noviembre","Diciembre"))</f>
        <v/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customFormat="false" ht="15" hidden="false" customHeight="false" outlineLevel="0" collapsed="false">
      <c r="A101" s="22"/>
      <c r="B101" s="23"/>
      <c r="C101" s="25" t="str">
        <f aca="false">IF(B101="","",CHOOSE(MONTH(B101),"Enero","Febrero","Marzo","Abril","Mayo","Junio","Julio","Agosto","Setiembre","Octubre","Noviembre","Diciembre"))</f>
        <v/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 customFormat="false" ht="15" hidden="false" customHeight="false" outlineLevel="0" collapsed="false">
      <c r="A102" s="22"/>
      <c r="B102" s="23"/>
      <c r="C102" s="25" t="str">
        <f aca="false">IF(B102="","",CHOOSE(MONTH(B102),"Enero","Febrero","Marzo","Abril","Mayo","Junio","Julio","Agosto","Setiembre","Octubre","Noviembre","Diciembre"))</f>
        <v/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customFormat="false" ht="15" hidden="false" customHeight="false" outlineLevel="0" collapsed="false">
      <c r="A103" s="22"/>
      <c r="B103" s="23"/>
      <c r="C103" s="25" t="str">
        <f aca="false">IF(B103="","",CHOOSE(MONTH(B103),"Enero","Febrero","Marzo","Abril","Mayo","Junio","Julio","Agosto","Setiembre","Octubre","Noviembre","Diciembre"))</f>
        <v/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customFormat="false" ht="15" hidden="false" customHeight="false" outlineLevel="0" collapsed="false">
      <c r="A104" s="22"/>
      <c r="B104" s="23"/>
      <c r="C104" s="25" t="str">
        <f aca="false">IF(B104="","",CHOOSE(MONTH(B104),"Enero","Febrero","Marzo","Abril","Mayo","Junio","Julio","Agosto","Setiembre","Octubre","Noviembre","Diciembre"))</f>
        <v/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 customFormat="false" ht="15" hidden="false" customHeight="false" outlineLevel="0" collapsed="false">
      <c r="A105" s="22"/>
      <c r="B105" s="23"/>
      <c r="C105" s="25" t="str">
        <f aca="false">IF(B105="","",CHOOSE(MONTH(B105),"Enero","Febrero","Marzo","Abril","Mayo","Junio","Julio","Agosto","Setiembre","Octubre","Noviembre","Diciembre"))</f>
        <v/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 customFormat="false" ht="15" hidden="false" customHeight="false" outlineLevel="0" collapsed="false">
      <c r="A106" s="22"/>
      <c r="B106" s="23"/>
      <c r="C106" s="25" t="str">
        <f aca="false">IF(B106="","",CHOOSE(MONTH(B106),"Enero","Febrero","Marzo","Abril","Mayo","Junio","Julio","Agosto","Setiembre","Octubre","Noviembre","Diciembre"))</f>
        <v/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 customFormat="false" ht="15" hidden="false" customHeight="false" outlineLevel="0" collapsed="false">
      <c r="A107" s="22"/>
      <c r="B107" s="23"/>
      <c r="C107" s="25" t="str">
        <f aca="false">IF(B107="","",CHOOSE(MONTH(B107),"Enero","Febrero","Marzo","Abril","Mayo","Junio","Julio","Agosto","Setiembre","Octubre","Noviembre","Diciembre"))</f>
        <v/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customFormat="false" ht="15" hidden="false" customHeight="false" outlineLevel="0" collapsed="false">
      <c r="A108" s="22"/>
      <c r="B108" s="23"/>
      <c r="C108" s="25" t="str">
        <f aca="false">IF(B108="","",CHOOSE(MONTH(B108),"Enero","Febrero","Marzo","Abril","Mayo","Junio","Julio","Agosto","Setiembre","Octubre","Noviembre","Diciembre"))</f>
        <v/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 customFormat="false" ht="15" hidden="false" customHeight="false" outlineLevel="0" collapsed="false">
      <c r="A109" s="22"/>
      <c r="B109" s="23"/>
      <c r="C109" s="25" t="str">
        <f aca="false">IF(B109="","",CHOOSE(MONTH(B109),"Enero","Febrero","Marzo","Abril","Mayo","Junio","Julio","Agosto","Setiembre","Octubre","Noviembre","Diciembre"))</f>
        <v/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 customFormat="false" ht="15" hidden="false" customHeight="false" outlineLevel="0" collapsed="false">
      <c r="A110" s="22"/>
      <c r="B110" s="23"/>
      <c r="C110" s="25" t="str">
        <f aca="false">IF(B110="","",CHOOSE(MONTH(B110),"Enero","Febrero","Marzo","Abril","Mayo","Junio","Julio","Agosto","Setiembre","Octubre","Noviembre","Diciembre"))</f>
        <v/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customFormat="false" ht="15" hidden="false" customHeight="false" outlineLevel="0" collapsed="false">
      <c r="A111" s="22"/>
      <c r="B111" s="23"/>
      <c r="C111" s="25" t="str">
        <f aca="false">IF(B111="","",CHOOSE(MONTH(B111),"Enero","Febrero","Marzo","Abril","Mayo","Junio","Julio","Agosto","Setiembre","Octubre","Noviembre","Diciembre"))</f>
        <v/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customFormat="false" ht="15" hidden="false" customHeight="false" outlineLevel="0" collapsed="false">
      <c r="A112" s="22"/>
      <c r="B112" s="23"/>
      <c r="C112" s="25" t="str">
        <f aca="false">IF(B112="","",CHOOSE(MONTH(B112),"Enero","Febrero","Marzo","Abril","Mayo","Junio","Julio","Agosto","Setiembre","Octubre","Noviembre","Diciembre"))</f>
        <v/>
      </c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customFormat="false" ht="15" hidden="false" customHeight="false" outlineLevel="0" collapsed="false">
      <c r="A113" s="22"/>
      <c r="B113" s="23"/>
      <c r="C113" s="25" t="str">
        <f aca="false">IF(B113="","",CHOOSE(MONTH(B113),"Enero","Febrero","Marzo","Abril","Mayo","Junio","Julio","Agosto","Setiembre","Octubre","Noviembre","Diciembre"))</f>
        <v/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 customFormat="false" ht="15" hidden="false" customHeight="false" outlineLevel="0" collapsed="false">
      <c r="A114" s="22"/>
      <c r="B114" s="23"/>
      <c r="C114" s="25" t="str">
        <f aca="false">IF(B114="","",CHOOSE(MONTH(B114),"Enero","Febrero","Marzo","Abril","Mayo","Junio","Julio","Agosto","Setiembre","Octubre","Noviembre","Diciembre"))</f>
        <v/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 customFormat="false" ht="15" hidden="false" customHeight="false" outlineLevel="0" collapsed="false">
      <c r="A115" s="22"/>
      <c r="B115" s="23"/>
      <c r="C115" s="25" t="str">
        <f aca="false">IF(B115="","",CHOOSE(MONTH(B115),"Enero","Febrero","Marzo","Abril","Mayo","Junio","Julio","Agosto","Setiembre","Octubre","Noviembre","Diciembre"))</f>
        <v/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customFormat="false" ht="15" hidden="false" customHeight="false" outlineLevel="0" collapsed="false">
      <c r="A116" s="22"/>
      <c r="B116" s="23"/>
      <c r="C116" s="25" t="str">
        <f aca="false">IF(B116="","",CHOOSE(MONTH(B116),"Enero","Febrero","Marzo","Abril","Mayo","Junio","Julio","Agosto","Setiembre","Octubre","Noviembre","Diciembre"))</f>
        <v/>
      </c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 customFormat="false" ht="15" hidden="false" customHeight="false" outlineLevel="0" collapsed="false">
      <c r="A117" s="22"/>
      <c r="B117" s="23"/>
      <c r="C117" s="25" t="str">
        <f aca="false">IF(B117="","",CHOOSE(MONTH(B117),"Enero","Febrero","Marzo","Abril","Mayo","Junio","Julio","Agosto","Setiembre","Octubre","Noviembre","Diciembre"))</f>
        <v/>
      </c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customFormat="false" ht="15" hidden="false" customHeight="false" outlineLevel="0" collapsed="false">
      <c r="A118" s="22"/>
      <c r="B118" s="23"/>
      <c r="C118" s="25" t="str">
        <f aca="false">IF(B118="","",CHOOSE(MONTH(B118),"Enero","Febrero","Marzo","Abril","Mayo","Junio","Julio","Agosto","Setiembre","Octubre","Noviembre","Diciembre"))</f>
        <v/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customFormat="false" ht="15" hidden="false" customHeight="false" outlineLevel="0" collapsed="false">
      <c r="A119" s="22"/>
      <c r="B119" s="23"/>
      <c r="C119" s="25" t="str">
        <f aca="false">IF(B119="","",CHOOSE(MONTH(B119),"Enero","Febrero","Marzo","Abril","Mayo","Junio","Julio","Agosto","Setiembre","Octubre","Noviembre","Diciembre"))</f>
        <v/>
      </c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customFormat="false" ht="15" hidden="false" customHeight="false" outlineLevel="0" collapsed="false">
      <c r="A120" s="22"/>
      <c r="B120" s="23"/>
      <c r="C120" s="25" t="str">
        <f aca="false">IF(B120="","",CHOOSE(MONTH(B120),"Enero","Febrero","Marzo","Abril","Mayo","Junio","Julio","Agosto","Setiembre","Octubre","Noviembre","Diciembre"))</f>
        <v/>
      </c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 customFormat="false" ht="15" hidden="false" customHeight="false" outlineLevel="0" collapsed="false">
      <c r="A121" s="22"/>
      <c r="B121" s="23"/>
      <c r="C121" s="25" t="str">
        <f aca="false">IF(B121="","",CHOOSE(MONTH(B121),"Enero","Febrero","Marzo","Abril","Mayo","Junio","Julio","Agosto","Setiembre","Octubre","Noviembre","Diciembre"))</f>
        <v/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 customFormat="false" ht="15" hidden="false" customHeight="false" outlineLevel="0" collapsed="false">
      <c r="A122" s="22"/>
      <c r="B122" s="23"/>
      <c r="C122" s="25" t="str">
        <f aca="false">IF(B122="","",CHOOSE(MONTH(B122),"Enero","Febrero","Marzo","Abril","Mayo","Junio","Julio","Agosto","Setiembre","Octubre","Noviembre","Diciembre"))</f>
        <v/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 customFormat="false" ht="15" hidden="false" customHeight="false" outlineLevel="0" collapsed="false">
      <c r="A123" s="22"/>
      <c r="B123" s="23"/>
      <c r="C123" s="25" t="str">
        <f aca="false">IF(B123="","",CHOOSE(MONTH(B123),"Enero","Febrero","Marzo","Abril","Mayo","Junio","Julio","Agosto","Setiembre","Octubre","Noviembre","Diciembre"))</f>
        <v/>
      </c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 customFormat="false" ht="15" hidden="false" customHeight="false" outlineLevel="0" collapsed="false">
      <c r="A124" s="22"/>
      <c r="B124" s="23"/>
      <c r="C124" s="25" t="str">
        <f aca="false">IF(B124="","",CHOOSE(MONTH(B124),"Enero","Febrero","Marzo","Abril","Mayo","Junio","Julio","Agosto","Setiembre","Octubre","Noviembre","Diciembre"))</f>
        <v/>
      </c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 customFormat="false" ht="15" hidden="false" customHeight="false" outlineLevel="0" collapsed="false">
      <c r="A125" s="22"/>
      <c r="B125" s="23"/>
      <c r="C125" s="25" t="str">
        <f aca="false">IF(B125="","",CHOOSE(MONTH(B125),"Enero","Febrero","Marzo","Abril","Mayo","Junio","Julio","Agosto","Setiembre","Octubre","Noviembre","Diciembre"))</f>
        <v/>
      </c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 customFormat="false" ht="15" hidden="false" customHeight="false" outlineLevel="0" collapsed="false">
      <c r="A126" s="22"/>
      <c r="B126" s="23"/>
      <c r="C126" s="25" t="str">
        <f aca="false">IF(B126="","",CHOOSE(MONTH(B126),"Enero","Febrero","Marzo","Abril","Mayo","Junio","Julio","Agosto","Setiembre","Octubre","Noviembre","Diciembre"))</f>
        <v/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 customFormat="false" ht="15" hidden="false" customHeight="false" outlineLevel="0" collapsed="false">
      <c r="A127" s="22"/>
      <c r="B127" s="23"/>
      <c r="C127" s="25" t="str">
        <f aca="false">IF(B127="","",CHOOSE(MONTH(B127),"Enero","Febrero","Marzo","Abril","Mayo","Junio","Julio","Agosto","Setiembre","Octubre","Noviembre","Diciembre"))</f>
        <v/>
      </c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 customFormat="false" ht="15" hidden="false" customHeight="false" outlineLevel="0" collapsed="false">
      <c r="A128" s="22"/>
      <c r="B128" s="23"/>
      <c r="C128" s="25" t="str">
        <f aca="false">IF(B128="","",CHOOSE(MONTH(B128),"Enero","Febrero","Marzo","Abril","Mayo","Junio","Julio","Agosto","Setiembre","Octubre","Noviembre","Diciembre"))</f>
        <v/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 customFormat="false" ht="15" hidden="false" customHeight="false" outlineLevel="0" collapsed="false">
      <c r="A129" s="22"/>
      <c r="B129" s="23"/>
      <c r="C129" s="25" t="str">
        <f aca="false">IF(B129="","",CHOOSE(MONTH(B129),"Enero","Febrero","Marzo","Abril","Mayo","Junio","Julio","Agosto","Setiembre","Octubre","Noviembre","Diciembre"))</f>
        <v/>
      </c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 customFormat="false" ht="15" hidden="false" customHeight="false" outlineLevel="0" collapsed="false">
      <c r="A130" s="22"/>
      <c r="B130" s="23"/>
      <c r="C130" s="25" t="str">
        <f aca="false">IF(B130="","",CHOOSE(MONTH(B130),"Enero","Febrero","Marzo","Abril","Mayo","Junio","Julio","Agosto","Setiembre","Octubre","Noviembre","Diciembre"))</f>
        <v/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 customFormat="false" ht="15" hidden="false" customHeight="false" outlineLevel="0" collapsed="false">
      <c r="A131" s="22"/>
      <c r="B131" s="23"/>
      <c r="C131" s="25" t="str">
        <f aca="false">IF(B131="","",CHOOSE(MONTH(B131),"Enero","Febrero","Marzo","Abril","Mayo","Junio","Julio","Agosto","Setiembre","Octubre","Noviembre","Diciembre"))</f>
        <v/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 customFormat="false" ht="15" hidden="false" customHeight="false" outlineLevel="0" collapsed="false">
      <c r="A132" s="22"/>
      <c r="B132" s="23"/>
      <c r="C132" s="25" t="str">
        <f aca="false">IF(B132="","",CHOOSE(MONTH(B132),"Enero","Febrero","Marzo","Abril","Mayo","Junio","Julio","Agosto","Setiembre","Octubre","Noviembre","Diciembre"))</f>
        <v/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 customFormat="false" ht="15" hidden="false" customHeight="false" outlineLevel="0" collapsed="false">
      <c r="A133" s="22"/>
      <c r="B133" s="23"/>
      <c r="C133" s="25" t="str">
        <f aca="false">IF(B133="","",CHOOSE(MONTH(B133),"Enero","Febrero","Marzo","Abril","Mayo","Junio","Julio","Agosto","Setiembre","Octubre","Noviembre","Diciembre"))</f>
        <v/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 customFormat="false" ht="15" hidden="false" customHeight="false" outlineLevel="0" collapsed="false">
      <c r="A134" s="22"/>
      <c r="B134" s="23"/>
      <c r="C134" s="25" t="str">
        <f aca="false">IF(B134="","",CHOOSE(MONTH(B134),"Enero","Febrero","Marzo","Abril","Mayo","Junio","Julio","Agosto","Setiembre","Octubre","Noviembre","Diciembre"))</f>
        <v/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customFormat="false" ht="15" hidden="false" customHeight="false" outlineLevel="0" collapsed="false">
      <c r="A135" s="22"/>
      <c r="B135" s="23"/>
      <c r="C135" s="25" t="str">
        <f aca="false">IF(B135="","",CHOOSE(MONTH(B135),"Enero","Febrero","Marzo","Abril","Mayo","Junio","Julio","Agosto","Setiembre","Octubre","Noviembre","Diciembre"))</f>
        <v/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customFormat="false" ht="15" hidden="false" customHeight="false" outlineLevel="0" collapsed="false">
      <c r="A136" s="22"/>
      <c r="B136" s="23"/>
      <c r="C136" s="25" t="str">
        <f aca="false">IF(B136="","",CHOOSE(MONTH(B136),"Enero","Febrero","Marzo","Abril","Mayo","Junio","Julio","Agosto","Setiembre","Octubre","Noviembre","Diciembre"))</f>
        <v/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 customFormat="false" ht="15" hidden="false" customHeight="false" outlineLevel="0" collapsed="false">
      <c r="A137" s="22"/>
      <c r="B137" s="23"/>
      <c r="C137" s="25" t="str">
        <f aca="false">IF(B137="","",CHOOSE(MONTH(B137),"Enero","Febrero","Marzo","Abril","Mayo","Junio","Julio","Agosto","Setiembre","Octubre","Noviembre","Diciembre"))</f>
        <v/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 customFormat="false" ht="15" hidden="false" customHeight="false" outlineLevel="0" collapsed="false">
      <c r="A138" s="22"/>
      <c r="B138" s="23"/>
      <c r="C138" s="25" t="str">
        <f aca="false">IF(B138="","",CHOOSE(MONTH(B138),"Enero","Febrero","Marzo","Abril","Mayo","Junio","Julio","Agosto","Setiembre","Octubre","Noviembre","Diciembre"))</f>
        <v/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 customFormat="false" ht="15" hidden="false" customHeight="false" outlineLevel="0" collapsed="false">
      <c r="A139" s="22"/>
      <c r="B139" s="23"/>
      <c r="C139" s="25" t="str">
        <f aca="false">IF(B139="","",CHOOSE(MONTH(B139),"Enero","Febrero","Marzo","Abril","Mayo","Junio","Julio","Agosto","Setiembre","Octubre","Noviembre","Diciembre"))</f>
        <v/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 customFormat="false" ht="15" hidden="false" customHeight="false" outlineLevel="0" collapsed="false">
      <c r="A140" s="22"/>
      <c r="B140" s="23"/>
      <c r="C140" s="25" t="str">
        <f aca="false">IF(B140="","",CHOOSE(MONTH(B140),"Enero","Febrero","Marzo","Abril","Mayo","Junio","Julio","Agosto","Setiembre","Octubre","Noviembre","Diciembre"))</f>
        <v/>
      </c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 customFormat="false" ht="15" hidden="false" customHeight="false" outlineLevel="0" collapsed="false">
      <c r="A141" s="22"/>
      <c r="B141" s="23"/>
      <c r="C141" s="25" t="str">
        <f aca="false">IF(B141="","",CHOOSE(MONTH(B141),"Enero","Febrero","Marzo","Abril","Mayo","Junio","Julio","Agosto","Setiembre","Octubre","Noviembre","Diciembre"))</f>
        <v/>
      </c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 customFormat="false" ht="15" hidden="false" customHeight="false" outlineLevel="0" collapsed="false">
      <c r="A142" s="22"/>
      <c r="B142" s="23"/>
      <c r="C142" s="25" t="str">
        <f aca="false">IF(B142="","",CHOOSE(MONTH(B142),"Enero","Febrero","Marzo","Abril","Mayo","Junio","Julio","Agosto","Setiembre","Octubre","Noviembre","Diciembre"))</f>
        <v/>
      </c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 customFormat="false" ht="15" hidden="false" customHeight="false" outlineLevel="0" collapsed="false">
      <c r="A143" s="22"/>
      <c r="B143" s="23"/>
      <c r="C143" s="25" t="str">
        <f aca="false">IF(B143="","",CHOOSE(MONTH(B143),"Enero","Febrero","Marzo","Abril","Mayo","Junio","Julio","Agosto","Setiembre","Octubre","Noviembre","Diciembre"))</f>
        <v/>
      </c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 customFormat="false" ht="15" hidden="false" customHeight="false" outlineLevel="0" collapsed="false">
      <c r="A144" s="22"/>
      <c r="B144" s="23"/>
      <c r="C144" s="25" t="str">
        <f aca="false">IF(B144="","",CHOOSE(MONTH(B144),"Enero","Febrero","Marzo","Abril","Mayo","Junio","Julio","Agosto","Setiembre","Octubre","Noviembre","Diciembre"))</f>
        <v/>
      </c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 customFormat="false" ht="15" hidden="false" customHeight="false" outlineLevel="0" collapsed="false">
      <c r="A145" s="22"/>
      <c r="B145" s="23"/>
      <c r="C145" s="25" t="str">
        <f aca="false">IF(B145="","",CHOOSE(MONTH(B145),"Enero","Febrero","Marzo","Abril","Mayo","Junio","Julio","Agosto","Setiembre","Octubre","Noviembre","Diciembre"))</f>
        <v/>
      </c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 customFormat="false" ht="15" hidden="false" customHeight="false" outlineLevel="0" collapsed="false">
      <c r="A146" s="22"/>
      <c r="B146" s="23"/>
      <c r="C146" s="25" t="str">
        <f aca="false">IF(B146="","",CHOOSE(MONTH(B146),"Enero","Febrero","Marzo","Abril","Mayo","Junio","Julio","Agosto","Setiembre","Octubre","Noviembre","Diciembre"))</f>
        <v/>
      </c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 customFormat="false" ht="15" hidden="false" customHeight="false" outlineLevel="0" collapsed="false">
      <c r="A147" s="22"/>
      <c r="B147" s="23"/>
      <c r="C147" s="25" t="str">
        <f aca="false">IF(B147="","",CHOOSE(MONTH(B147),"Enero","Febrero","Marzo","Abril","Mayo","Junio","Julio","Agosto","Setiembre","Octubre","Noviembre","Diciembre"))</f>
        <v/>
      </c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 customFormat="false" ht="15" hidden="false" customHeight="false" outlineLevel="0" collapsed="false">
      <c r="A148" s="22"/>
      <c r="B148" s="23"/>
      <c r="C148" s="25" t="str">
        <f aca="false">IF(B148="","",CHOOSE(MONTH(B148),"Enero","Febrero","Marzo","Abril","Mayo","Junio","Julio","Agosto","Setiembre","Octubre","Noviembre","Diciembre"))</f>
        <v/>
      </c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 customFormat="false" ht="15" hidden="false" customHeight="false" outlineLevel="0" collapsed="false">
      <c r="A149" s="22"/>
      <c r="B149" s="23"/>
      <c r="C149" s="25" t="str">
        <f aca="false">IF(B149="","",CHOOSE(MONTH(B149),"Enero","Febrero","Marzo","Abril","Mayo","Junio","Julio","Agosto","Setiembre","Octubre","Noviembre","Diciembre"))</f>
        <v/>
      </c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 customFormat="false" ht="15" hidden="false" customHeight="false" outlineLevel="0" collapsed="false">
      <c r="A150" s="22"/>
      <c r="B150" s="23"/>
      <c r="C150" s="25" t="str">
        <f aca="false">IF(B150="","",CHOOSE(MONTH(B150),"Enero","Febrero","Marzo","Abril","Mayo","Junio","Julio","Agosto","Setiembre","Octubre","Noviembre","Diciembre"))</f>
        <v/>
      </c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 customFormat="false" ht="15" hidden="false" customHeight="false" outlineLevel="0" collapsed="false">
      <c r="A151" s="22"/>
      <c r="B151" s="23"/>
      <c r="C151" s="25" t="str">
        <f aca="false">IF(B151="","",CHOOSE(MONTH(B151),"Enero","Febrero","Marzo","Abril","Mayo","Junio","Julio","Agosto","Setiembre","Octubre","Noviembre","Diciembre"))</f>
        <v/>
      </c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 customFormat="false" ht="15" hidden="false" customHeight="false" outlineLevel="0" collapsed="false">
      <c r="A152" s="22"/>
      <c r="B152" s="23"/>
      <c r="C152" s="25" t="str">
        <f aca="false">IF(B152="","",CHOOSE(MONTH(B152),"Enero","Febrero","Marzo","Abril","Mayo","Junio","Julio","Agosto","Setiembre","Octubre","Noviembre","Diciembre"))</f>
        <v/>
      </c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 customFormat="false" ht="15" hidden="false" customHeight="false" outlineLevel="0" collapsed="false">
      <c r="A153" s="22"/>
      <c r="B153" s="23"/>
      <c r="C153" s="25" t="str">
        <f aca="false">IF(B153="","",CHOOSE(MONTH(B153),"Enero","Febrero","Marzo","Abril","Mayo","Junio","Julio","Agosto","Setiembre","Octubre","Noviembre","Diciembre"))</f>
        <v/>
      </c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 customFormat="false" ht="15" hidden="false" customHeight="false" outlineLevel="0" collapsed="false">
      <c r="A154" s="22"/>
      <c r="B154" s="23"/>
      <c r="C154" s="25" t="str">
        <f aca="false">IF(B154="","",CHOOSE(MONTH(B154),"Enero","Febrero","Marzo","Abril","Mayo","Junio","Julio","Agosto","Setiembre","Octubre","Noviembre","Diciembre"))</f>
        <v/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 customFormat="false" ht="15" hidden="false" customHeight="false" outlineLevel="0" collapsed="false">
      <c r="A155" s="22"/>
      <c r="B155" s="23"/>
      <c r="C155" s="25" t="str">
        <f aca="false">IF(B155="","",CHOOSE(MONTH(B155),"Enero","Febrero","Marzo","Abril","Mayo","Junio","Julio","Agosto","Setiembre","Octubre","Noviembre","Diciembre"))</f>
        <v/>
      </c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 customFormat="false" ht="15" hidden="false" customHeight="false" outlineLevel="0" collapsed="false">
      <c r="A156" s="22"/>
      <c r="B156" s="23"/>
      <c r="C156" s="25" t="str">
        <f aca="false">IF(B156="","",CHOOSE(MONTH(B156),"Enero","Febrero","Marzo","Abril","Mayo","Junio","Julio","Agosto","Setiembre","Octubre","Noviembre","Diciembre"))</f>
        <v/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 customFormat="false" ht="15" hidden="false" customHeight="false" outlineLevel="0" collapsed="false">
      <c r="A157" s="22"/>
      <c r="B157" s="23"/>
      <c r="C157" s="25" t="str">
        <f aca="false">IF(B157="","",CHOOSE(MONTH(B157),"Enero","Febrero","Marzo","Abril","Mayo","Junio","Julio","Agosto","Setiembre","Octubre","Noviembre","Diciembre"))</f>
        <v/>
      </c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 customFormat="false" ht="15" hidden="false" customHeight="false" outlineLevel="0" collapsed="false">
      <c r="A158" s="22"/>
      <c r="B158" s="23"/>
      <c r="C158" s="25" t="str">
        <f aca="false">IF(B158="","",CHOOSE(MONTH(B158),"Enero","Febrero","Marzo","Abril","Mayo","Junio","Julio","Agosto","Setiembre","Octubre","Noviembre","Diciembre"))</f>
        <v/>
      </c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 customFormat="false" ht="15" hidden="false" customHeight="false" outlineLevel="0" collapsed="false">
      <c r="A159" s="22"/>
      <c r="B159" s="23"/>
      <c r="C159" s="25" t="str">
        <f aca="false">IF(B159="","",CHOOSE(MONTH(B159),"Enero","Febrero","Marzo","Abril","Mayo","Junio","Julio","Agosto","Setiembre","Octubre","Noviembre","Diciembre"))</f>
        <v/>
      </c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 customFormat="false" ht="15" hidden="false" customHeight="false" outlineLevel="0" collapsed="false">
      <c r="A160" s="22"/>
      <c r="B160" s="23"/>
      <c r="C160" s="25" t="str">
        <f aca="false">IF(B160="","",CHOOSE(MONTH(B160),"Enero","Febrero","Marzo","Abril","Mayo","Junio","Julio","Agosto","Setiembre","Octubre","Noviembre","Diciembre"))</f>
        <v/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 customFormat="false" ht="15" hidden="false" customHeight="false" outlineLevel="0" collapsed="false">
      <c r="A161" s="22"/>
      <c r="B161" s="23"/>
      <c r="C161" s="25" t="str">
        <f aca="false">IF(B161="","",CHOOSE(MONTH(B161),"Enero","Febrero","Marzo","Abril","Mayo","Junio","Julio","Agosto","Setiembre","Octubre","Noviembre","Diciembre"))</f>
        <v/>
      </c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 customFormat="false" ht="15" hidden="false" customHeight="false" outlineLevel="0" collapsed="false">
      <c r="A162" s="22"/>
      <c r="B162" s="23"/>
      <c r="C162" s="25" t="str">
        <f aca="false">IF(B162="","",CHOOSE(MONTH(B162),"Enero","Febrero","Marzo","Abril","Mayo","Junio","Julio","Agosto","Setiembre","Octubre","Noviembre","Diciembre"))</f>
        <v/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 customFormat="false" ht="15" hidden="false" customHeight="false" outlineLevel="0" collapsed="false">
      <c r="A163" s="22"/>
      <c r="B163" s="23"/>
      <c r="C163" s="25" t="str">
        <f aca="false">IF(B163="","",CHOOSE(MONTH(B163),"Enero","Febrero","Marzo","Abril","Mayo","Junio","Julio","Agosto","Setiembre","Octubre","Noviembre","Diciembre"))</f>
        <v/>
      </c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 customFormat="false" ht="15" hidden="false" customHeight="false" outlineLevel="0" collapsed="false">
      <c r="A164" s="22"/>
      <c r="B164" s="23"/>
      <c r="C164" s="25" t="str">
        <f aca="false">IF(B164="","",CHOOSE(MONTH(B164),"Enero","Febrero","Marzo","Abril","Mayo","Junio","Julio","Agosto","Setiembre","Octubre","Noviembre","Diciembre"))</f>
        <v/>
      </c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 customFormat="false" ht="15" hidden="false" customHeight="false" outlineLevel="0" collapsed="false">
      <c r="A165" s="22"/>
      <c r="B165" s="23"/>
      <c r="C165" s="25" t="str">
        <f aca="false">IF(B165="","",CHOOSE(MONTH(B165),"Enero","Febrero","Marzo","Abril","Mayo","Junio","Julio","Agosto","Setiembre","Octubre","Noviembre","Diciembre"))</f>
        <v/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 customFormat="false" ht="15" hidden="false" customHeight="false" outlineLevel="0" collapsed="false">
      <c r="A166" s="22"/>
      <c r="B166" s="23"/>
      <c r="C166" s="25" t="str">
        <f aca="false">IF(B166="","",CHOOSE(MONTH(B166),"Enero","Febrero","Marzo","Abril","Mayo","Junio","Julio","Agosto","Setiembre","Octubre","Noviembre","Diciembre"))</f>
        <v/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 customFormat="false" ht="15" hidden="false" customHeight="false" outlineLevel="0" collapsed="false">
      <c r="A167" s="22"/>
      <c r="B167" s="23"/>
      <c r="C167" s="25" t="str">
        <f aca="false">IF(B167="","",CHOOSE(MONTH(B167),"Enero","Febrero","Marzo","Abril","Mayo","Junio","Julio","Agosto","Setiembre","Octubre","Noviembre","Diciembre"))</f>
        <v/>
      </c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 customFormat="false" ht="15" hidden="false" customHeight="false" outlineLevel="0" collapsed="false">
      <c r="A168" s="22"/>
      <c r="B168" s="23"/>
      <c r="C168" s="25" t="str">
        <f aca="false">IF(B168="","",CHOOSE(MONTH(B168),"Enero","Febrero","Marzo","Abril","Mayo","Junio","Julio","Agosto","Setiembre","Octubre","Noviembre","Diciembre"))</f>
        <v/>
      </c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 customFormat="false" ht="15" hidden="false" customHeight="false" outlineLevel="0" collapsed="false">
      <c r="A169" s="22"/>
      <c r="B169" s="23"/>
      <c r="C169" s="25" t="str">
        <f aca="false">IF(B169="","",CHOOSE(MONTH(B169),"Enero","Febrero","Marzo","Abril","Mayo","Junio","Julio","Agosto","Setiembre","Octubre","Noviembre","Diciembre"))</f>
        <v/>
      </c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 customFormat="false" ht="15" hidden="false" customHeight="false" outlineLevel="0" collapsed="false">
      <c r="A170" s="22"/>
      <c r="B170" s="23"/>
      <c r="C170" s="25" t="str">
        <f aca="false">IF(B170="","",CHOOSE(MONTH(B170),"Enero","Febrero","Marzo","Abril","Mayo","Junio","Julio","Agosto","Setiembre","Octubre","Noviembre","Diciembre"))</f>
        <v/>
      </c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 customFormat="false" ht="15" hidden="false" customHeight="false" outlineLevel="0" collapsed="false">
      <c r="A171" s="22"/>
      <c r="B171" s="23"/>
      <c r="C171" s="25" t="str">
        <f aca="false">IF(B171="","",CHOOSE(MONTH(B171),"Enero","Febrero","Marzo","Abril","Mayo","Junio","Julio","Agosto","Setiembre","Octubre","Noviembre","Diciembre"))</f>
        <v/>
      </c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 customFormat="false" ht="15" hidden="false" customHeight="false" outlineLevel="0" collapsed="false">
      <c r="A172" s="22"/>
      <c r="B172" s="23"/>
      <c r="C172" s="25" t="str">
        <f aca="false">IF(B172="","",CHOOSE(MONTH(B172),"Enero","Febrero","Marzo","Abril","Mayo","Junio","Julio","Agosto","Setiembre","Octubre","Noviembre","Diciembre"))</f>
        <v/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 customFormat="false" ht="15" hidden="false" customHeight="false" outlineLevel="0" collapsed="false">
      <c r="A173" s="22"/>
      <c r="B173" s="23"/>
      <c r="C173" s="25" t="str">
        <f aca="false">IF(B173="","",CHOOSE(MONTH(B173),"Enero","Febrero","Marzo","Abril","Mayo","Junio","Julio","Agosto","Setiembre","Octubre","Noviembre","Diciembre"))</f>
        <v/>
      </c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 customFormat="false" ht="15" hidden="false" customHeight="false" outlineLevel="0" collapsed="false">
      <c r="A174" s="22"/>
      <c r="B174" s="23"/>
      <c r="C174" s="25" t="str">
        <f aca="false">IF(B174="","",CHOOSE(MONTH(B174),"Enero","Febrero","Marzo","Abril","Mayo","Junio","Julio","Agosto","Setiembre","Octubre","Noviembre","Diciembre"))</f>
        <v/>
      </c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 customFormat="false" ht="15" hidden="false" customHeight="false" outlineLevel="0" collapsed="false">
      <c r="A175" s="22"/>
      <c r="B175" s="23"/>
      <c r="C175" s="25" t="str">
        <f aca="false">IF(B175="","",CHOOSE(MONTH(B175),"Enero","Febrero","Marzo","Abril","Mayo","Junio","Julio","Agosto","Setiembre","Octubre","Noviembre","Diciembre"))</f>
        <v/>
      </c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 customFormat="false" ht="15" hidden="false" customHeight="false" outlineLevel="0" collapsed="false">
      <c r="A176" s="22"/>
      <c r="B176" s="23"/>
      <c r="C176" s="25" t="str">
        <f aca="false">IF(B176="","",CHOOSE(MONTH(B176),"Enero","Febrero","Marzo","Abril","Mayo","Junio","Julio","Agosto","Setiembre","Octubre","Noviembre","Diciembre"))</f>
        <v/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 customFormat="false" ht="15" hidden="false" customHeight="false" outlineLevel="0" collapsed="false">
      <c r="A177" s="22"/>
      <c r="B177" s="23"/>
      <c r="C177" s="25" t="str">
        <f aca="false">IF(B177="","",CHOOSE(MONTH(B177),"Enero","Febrero","Marzo","Abril","Mayo","Junio","Julio","Agosto","Setiembre","Octubre","Noviembre","Diciembre"))</f>
        <v/>
      </c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 customFormat="false" ht="15" hidden="false" customHeight="false" outlineLevel="0" collapsed="false">
      <c r="A178" s="22"/>
      <c r="B178" s="23"/>
      <c r="C178" s="25" t="str">
        <f aca="false">IF(B178="","",CHOOSE(MONTH(B178),"Enero","Febrero","Marzo","Abril","Mayo","Junio","Julio","Agosto","Setiembre","Octubre","Noviembre","Diciembre"))</f>
        <v/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 customFormat="false" ht="15" hidden="false" customHeight="false" outlineLevel="0" collapsed="false">
      <c r="A179" s="22"/>
      <c r="B179" s="23"/>
      <c r="C179" s="25" t="str">
        <f aca="false">IF(B179="","",CHOOSE(MONTH(B179),"Enero","Febrero","Marzo","Abril","Mayo","Junio","Julio","Agosto","Setiembre","Octubre","Noviembre","Diciembre"))</f>
        <v/>
      </c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 customFormat="false" ht="15" hidden="false" customHeight="false" outlineLevel="0" collapsed="false">
      <c r="A180" s="22"/>
      <c r="B180" s="23"/>
      <c r="C180" s="25" t="str">
        <f aca="false">IF(B180="","",CHOOSE(MONTH(B180),"Enero","Febrero","Marzo","Abril","Mayo","Junio","Julio","Agosto","Setiembre","Octubre","Noviembre","Diciembre"))</f>
        <v/>
      </c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 customFormat="false" ht="15" hidden="false" customHeight="false" outlineLevel="0" collapsed="false">
      <c r="A181" s="22"/>
      <c r="B181" s="23"/>
      <c r="C181" s="25" t="str">
        <f aca="false">IF(B181="","",CHOOSE(MONTH(B181),"Enero","Febrero","Marzo","Abril","Mayo","Junio","Julio","Agosto","Setiembre","Octubre","Noviembre","Diciembre"))</f>
        <v/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 customFormat="false" ht="15" hidden="false" customHeight="false" outlineLevel="0" collapsed="false">
      <c r="A182" s="22"/>
      <c r="B182" s="23"/>
      <c r="C182" s="25" t="str">
        <f aca="false">IF(B182="","",CHOOSE(MONTH(B182),"Enero","Febrero","Marzo","Abril","Mayo","Junio","Julio","Agosto","Setiembre","Octubre","Noviembre","Diciembre"))</f>
        <v/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 customFormat="false" ht="15" hidden="false" customHeight="false" outlineLevel="0" collapsed="false">
      <c r="A183" s="22"/>
      <c r="B183" s="23"/>
      <c r="C183" s="25" t="str">
        <f aca="false">IF(B183="","",CHOOSE(MONTH(B183),"Enero","Febrero","Marzo","Abril","Mayo","Junio","Julio","Agosto","Setiembre","Octubre","Noviembre","Diciembre"))</f>
        <v/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 customFormat="false" ht="15" hidden="false" customHeight="false" outlineLevel="0" collapsed="false">
      <c r="A184" s="22"/>
      <c r="B184" s="23"/>
      <c r="C184" s="25" t="str">
        <f aca="false">IF(B184="","",CHOOSE(MONTH(B184),"Enero","Febrero","Marzo","Abril","Mayo","Junio","Julio","Agosto","Setiembre","Octubre","Noviembre","Diciembre"))</f>
        <v/>
      </c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 customFormat="false" ht="15" hidden="false" customHeight="false" outlineLevel="0" collapsed="false">
      <c r="A185" s="22"/>
      <c r="B185" s="23"/>
      <c r="C185" s="25" t="str">
        <f aca="false">IF(B185="","",CHOOSE(MONTH(B185),"Enero","Febrero","Marzo","Abril","Mayo","Junio","Julio","Agosto","Setiembre","Octubre","Noviembre","Diciembre"))</f>
        <v/>
      </c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 customFormat="false" ht="15" hidden="false" customHeight="false" outlineLevel="0" collapsed="false">
      <c r="A186" s="22"/>
      <c r="B186" s="23"/>
      <c r="C186" s="25" t="str">
        <f aca="false">IF(B186="","",CHOOSE(MONTH(B186),"Enero","Febrero","Marzo","Abril","Mayo","Junio","Julio","Agosto","Setiembre","Octubre","Noviembre","Diciembre"))</f>
        <v/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 customFormat="false" ht="15" hidden="false" customHeight="false" outlineLevel="0" collapsed="false">
      <c r="A187" s="22"/>
      <c r="B187" s="23"/>
      <c r="C187" s="25" t="str">
        <f aca="false">IF(B187="","",CHOOSE(MONTH(B187),"Enero","Febrero","Marzo","Abril","Mayo","Junio","Julio","Agosto","Setiembre","Octubre","Noviembre","Diciembre"))</f>
        <v/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 customFormat="false" ht="15" hidden="false" customHeight="false" outlineLevel="0" collapsed="false">
      <c r="A188" s="22"/>
      <c r="B188" s="23"/>
      <c r="C188" s="25" t="str">
        <f aca="false">IF(B188="","",CHOOSE(MONTH(B188),"Enero","Febrero","Marzo","Abril","Mayo","Junio","Julio","Agosto","Setiembre","Octubre","Noviembre","Diciembre"))</f>
        <v/>
      </c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 customFormat="false" ht="15" hidden="false" customHeight="false" outlineLevel="0" collapsed="false">
      <c r="A189" s="22"/>
      <c r="B189" s="23"/>
      <c r="C189" s="25" t="str">
        <f aca="false">IF(B189="","",CHOOSE(MONTH(B189),"Enero","Febrero","Marzo","Abril","Mayo","Junio","Julio","Agosto","Setiembre","Octubre","Noviembre","Diciembre"))</f>
        <v/>
      </c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 customFormat="false" ht="15" hidden="false" customHeight="false" outlineLevel="0" collapsed="false">
      <c r="A190" s="22"/>
      <c r="B190" s="23"/>
      <c r="C190" s="25" t="str">
        <f aca="false">IF(B190="","",CHOOSE(MONTH(B190),"Enero","Febrero","Marzo","Abril","Mayo","Junio","Julio","Agosto","Setiembre","Octubre","Noviembre","Diciembre"))</f>
        <v/>
      </c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 customFormat="false" ht="15" hidden="false" customHeight="false" outlineLevel="0" collapsed="false">
      <c r="A191" s="22"/>
      <c r="B191" s="23"/>
      <c r="C191" s="25" t="str">
        <f aca="false">IF(B191="","",CHOOSE(MONTH(B191),"Enero","Febrero","Marzo","Abril","Mayo","Junio","Julio","Agosto","Setiembre","Octubre","Noviembre","Diciembre"))</f>
        <v/>
      </c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 customFormat="false" ht="15" hidden="false" customHeight="false" outlineLevel="0" collapsed="false">
      <c r="A192" s="22"/>
      <c r="B192" s="23"/>
      <c r="C192" s="25" t="str">
        <f aca="false">IF(B192="","",CHOOSE(MONTH(B192),"Enero","Febrero","Marzo","Abril","Mayo","Junio","Julio","Agosto","Setiembre","Octubre","Noviembre","Diciembre"))</f>
        <v/>
      </c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 customFormat="false" ht="15" hidden="false" customHeight="false" outlineLevel="0" collapsed="false">
      <c r="A193" s="22"/>
      <c r="B193" s="23"/>
      <c r="C193" s="25" t="str">
        <f aca="false">IF(B193="","",CHOOSE(MONTH(B193),"Enero","Febrero","Marzo","Abril","Mayo","Junio","Julio","Agosto","Setiembre","Octubre","Noviembre","Diciembre"))</f>
        <v/>
      </c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 customFormat="false" ht="15" hidden="false" customHeight="false" outlineLevel="0" collapsed="false">
      <c r="A194" s="22"/>
      <c r="B194" s="23"/>
      <c r="C194" s="25" t="str">
        <f aca="false">IF(B194="","",CHOOSE(MONTH(B194),"Enero","Febrero","Marzo","Abril","Mayo","Junio","Julio","Agosto","Setiembre","Octubre","Noviembre","Diciembre"))</f>
        <v/>
      </c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 customFormat="false" ht="15" hidden="false" customHeight="false" outlineLevel="0" collapsed="false">
      <c r="A195" s="22"/>
      <c r="B195" s="23"/>
      <c r="C195" s="25" t="str">
        <f aca="false">IF(B195="","",CHOOSE(MONTH(B195),"Enero","Febrero","Marzo","Abril","Mayo","Junio","Julio","Agosto","Setiembre","Octubre","Noviembre","Diciembre"))</f>
        <v/>
      </c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 customFormat="false" ht="15" hidden="false" customHeight="false" outlineLevel="0" collapsed="false">
      <c r="A196" s="22"/>
      <c r="B196" s="23"/>
      <c r="C196" s="25" t="str">
        <f aca="false">IF(B196="","",CHOOSE(MONTH(B196),"Enero","Febrero","Marzo","Abril","Mayo","Junio","Julio","Agosto","Setiembre","Octubre","Noviembre","Diciembre"))</f>
        <v/>
      </c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 customFormat="false" ht="15" hidden="false" customHeight="false" outlineLevel="0" collapsed="false">
      <c r="A197" s="22"/>
      <c r="B197" s="23"/>
      <c r="C197" s="25" t="str">
        <f aca="false">IF(B197="","",CHOOSE(MONTH(B197),"Enero","Febrero","Marzo","Abril","Mayo","Junio","Julio","Agosto","Setiembre","Octubre","Noviembre","Diciembre"))</f>
        <v/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 customFormat="false" ht="15" hidden="false" customHeight="false" outlineLevel="0" collapsed="false">
      <c r="A198" s="22"/>
      <c r="B198" s="23"/>
      <c r="C198" s="25" t="str">
        <f aca="false">IF(B198="","",CHOOSE(MONTH(B198),"Enero","Febrero","Marzo","Abril","Mayo","Junio","Julio","Agosto","Setiembre","Octubre","Noviembre","Diciembre"))</f>
        <v/>
      </c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 customFormat="false" ht="15" hidden="false" customHeight="false" outlineLevel="0" collapsed="false">
      <c r="A199" s="22"/>
      <c r="B199" s="23"/>
      <c r="C199" s="25" t="str">
        <f aca="false">IF(B199="","",CHOOSE(MONTH(B199),"Enero","Febrero","Marzo","Abril","Mayo","Junio","Julio","Agosto","Setiembre","Octubre","Noviembre","Diciembre"))</f>
        <v/>
      </c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 customFormat="false" ht="15" hidden="false" customHeight="false" outlineLevel="0" collapsed="false">
      <c r="A200" s="22"/>
      <c r="B200" s="23"/>
      <c r="C200" s="25" t="str">
        <f aca="false">IF(B200="","",CHOOSE(MONTH(B200),"Enero","Febrero","Marzo","Abril","Mayo","Junio","Julio","Agosto","Setiembre","Octubre","Noviembre","Diciembre"))</f>
        <v/>
      </c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 customFormat="false" ht="15" hidden="false" customHeight="false" outlineLevel="0" collapsed="false">
      <c r="A201" s="22"/>
      <c r="B201" s="23"/>
      <c r="C201" s="25" t="str">
        <f aca="false">IF(B201="","",CHOOSE(MONTH(B201),"Enero","Febrero","Marzo","Abril","Mayo","Junio","Julio","Agosto","Setiembre","Octubre","Noviembre","Diciembre"))</f>
        <v/>
      </c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 customFormat="false" ht="15" hidden="false" customHeight="false" outlineLevel="0" collapsed="false">
      <c r="A202" s="22"/>
      <c r="B202" s="23"/>
      <c r="C202" s="25" t="str">
        <f aca="false">IF(B202="","",CHOOSE(MONTH(B202),"Enero","Febrero","Marzo","Abril","Mayo","Junio","Julio","Agosto","Setiembre","Octubre","Noviembre","Diciembre"))</f>
        <v/>
      </c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 customFormat="false" ht="15" hidden="false" customHeight="false" outlineLevel="0" collapsed="false">
      <c r="A203" s="22"/>
      <c r="B203" s="23"/>
      <c r="C203" s="25" t="str">
        <f aca="false">IF(B203="","",CHOOSE(MONTH(B203),"Enero","Febrero","Marzo","Abril","Mayo","Junio","Julio","Agosto","Setiembre","Octubre","Noviembre","Diciembre"))</f>
        <v/>
      </c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 customFormat="false" ht="15" hidden="false" customHeight="false" outlineLevel="0" collapsed="false">
      <c r="A204" s="22"/>
      <c r="B204" s="23"/>
      <c r="C204" s="25" t="str">
        <f aca="false">IF(B204="","",CHOOSE(MONTH(B204),"Enero","Febrero","Marzo","Abril","Mayo","Junio","Julio","Agosto","Setiembre","Octubre","Noviembre","Diciembre"))</f>
        <v/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 customFormat="false" ht="15" hidden="false" customHeight="false" outlineLevel="0" collapsed="false">
      <c r="A205" s="22"/>
      <c r="B205" s="23"/>
      <c r="C205" s="25" t="str">
        <f aca="false">IF(B205="","",CHOOSE(MONTH(B205),"Enero","Febrero","Marzo","Abril","Mayo","Junio","Julio","Agosto","Setiembre","Octubre","Noviembre","Diciembre"))</f>
        <v/>
      </c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 customFormat="false" ht="15" hidden="false" customHeight="false" outlineLevel="0" collapsed="false">
      <c r="A206" s="22"/>
      <c r="B206" s="23"/>
      <c r="C206" s="25" t="str">
        <f aca="false">IF(B206="","",CHOOSE(MONTH(B206),"Enero","Febrero","Marzo","Abril","Mayo","Junio","Julio","Agosto","Setiembre","Octubre","Noviembre","Diciembre"))</f>
        <v/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 customFormat="false" ht="15" hidden="false" customHeight="false" outlineLevel="0" collapsed="false">
      <c r="A207" s="22"/>
      <c r="B207" s="23"/>
      <c r="C207" s="25" t="str">
        <f aca="false">IF(B207="","",CHOOSE(MONTH(B207),"Enero","Febrero","Marzo","Abril","Mayo","Junio","Julio","Agosto","Setiembre","Octubre","Noviembre","Diciembre"))</f>
        <v/>
      </c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 customFormat="false" ht="15" hidden="false" customHeight="false" outlineLevel="0" collapsed="false">
      <c r="A208" s="22"/>
      <c r="B208" s="23"/>
      <c r="C208" s="25" t="str">
        <f aca="false">IF(B208="","",CHOOSE(MONTH(B208),"Enero","Febrero","Marzo","Abril","Mayo","Junio","Julio","Agosto","Setiembre","Octubre","Noviembre","Diciembre"))</f>
        <v/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 customFormat="false" ht="15" hidden="false" customHeight="false" outlineLevel="0" collapsed="false">
      <c r="A209" s="22"/>
      <c r="B209" s="23"/>
      <c r="C209" s="25" t="str">
        <f aca="false">IF(B209="","",CHOOSE(MONTH(B209),"Enero","Febrero","Marzo","Abril","Mayo","Junio","Julio","Agosto","Setiembre","Octubre","Noviembre","Diciembre"))</f>
        <v/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 customFormat="false" ht="15" hidden="false" customHeight="false" outlineLevel="0" collapsed="false">
      <c r="A210" s="22"/>
      <c r="B210" s="23"/>
      <c r="C210" s="25" t="str">
        <f aca="false">IF(B210="","",CHOOSE(MONTH(B210),"Enero","Febrero","Marzo","Abril","Mayo","Junio","Julio","Agosto","Setiembre","Octubre","Noviembre","Diciembre"))</f>
        <v/>
      </c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 customFormat="false" ht="15" hidden="false" customHeight="false" outlineLevel="0" collapsed="false">
      <c r="A211" s="22"/>
      <c r="B211" s="23"/>
      <c r="C211" s="25" t="str">
        <f aca="false">IF(B211="","",CHOOSE(MONTH(B211),"Enero","Febrero","Marzo","Abril","Mayo","Junio","Julio","Agosto","Setiembre","Octubre","Noviembre","Diciembre"))</f>
        <v/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 customFormat="false" ht="15" hidden="false" customHeight="false" outlineLevel="0" collapsed="false">
      <c r="A212" s="22"/>
      <c r="B212" s="23"/>
      <c r="C212" s="25" t="str">
        <f aca="false">IF(B212="","",CHOOSE(MONTH(B212),"Enero","Febrero","Marzo","Abril","Mayo","Junio","Julio","Agosto","Setiembre","Octubre","Noviembre","Diciembre"))</f>
        <v/>
      </c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 customFormat="false" ht="15" hidden="false" customHeight="false" outlineLevel="0" collapsed="false">
      <c r="A213" s="22"/>
      <c r="B213" s="23"/>
      <c r="C213" s="25" t="str">
        <f aca="false">IF(B213="","",CHOOSE(MONTH(B213),"Enero","Febrero","Marzo","Abril","Mayo","Junio","Julio","Agosto","Setiembre","Octubre","Noviembre","Diciembre"))</f>
        <v/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 customFormat="false" ht="15" hidden="false" customHeight="false" outlineLevel="0" collapsed="false">
      <c r="A214" s="22"/>
      <c r="B214" s="23"/>
      <c r="C214" s="25" t="str">
        <f aca="false">IF(B214="","",CHOOSE(MONTH(B214),"Enero","Febrero","Marzo","Abril","Mayo","Junio","Julio","Agosto","Setiembre","Octubre","Noviembre","Diciembre"))</f>
        <v/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 customFormat="false" ht="15" hidden="false" customHeight="false" outlineLevel="0" collapsed="false">
      <c r="A215" s="22"/>
      <c r="B215" s="23"/>
      <c r="C215" s="25" t="str">
        <f aca="false">IF(B215="","",CHOOSE(MONTH(B215),"Enero","Febrero","Marzo","Abril","Mayo","Junio","Julio","Agosto","Setiembre","Octubre","Noviembre","Diciembre"))</f>
        <v/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 customFormat="false" ht="15" hidden="false" customHeight="false" outlineLevel="0" collapsed="false">
      <c r="A216" s="22"/>
      <c r="B216" s="23"/>
      <c r="C216" s="25" t="str">
        <f aca="false">IF(B216="","",CHOOSE(MONTH(B216),"Enero","Febrero","Marzo","Abril","Mayo","Junio","Julio","Agosto","Setiembre","Octubre","Noviembre","Diciembre"))</f>
        <v/>
      </c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 customFormat="false" ht="15" hidden="false" customHeight="false" outlineLevel="0" collapsed="false">
      <c r="A217" s="22"/>
      <c r="B217" s="23"/>
      <c r="C217" s="25" t="str">
        <f aca="false">IF(B217="","",CHOOSE(MONTH(B217),"Enero","Febrero","Marzo","Abril","Mayo","Junio","Julio","Agosto","Setiembre","Octubre","Noviembre","Diciembre"))</f>
        <v/>
      </c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 customFormat="false" ht="15" hidden="false" customHeight="false" outlineLevel="0" collapsed="false">
      <c r="A218" s="22"/>
      <c r="B218" s="23"/>
      <c r="C218" s="25" t="str">
        <f aca="false">IF(B218="","",CHOOSE(MONTH(B218),"Enero","Febrero","Marzo","Abril","Mayo","Junio","Julio","Agosto","Setiembre","Octubre","Noviembre","Diciembre"))</f>
        <v/>
      </c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 customFormat="false" ht="15" hidden="false" customHeight="false" outlineLevel="0" collapsed="false">
      <c r="A219" s="22"/>
      <c r="B219" s="23"/>
      <c r="C219" s="25" t="str">
        <f aca="false">IF(B219="","",CHOOSE(MONTH(B219),"Enero","Febrero","Marzo","Abril","Mayo","Junio","Julio","Agosto","Setiembre","Octubre","Noviembre","Diciembre"))</f>
        <v/>
      </c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 customFormat="false" ht="15" hidden="false" customHeight="false" outlineLevel="0" collapsed="false">
      <c r="A220" s="22"/>
      <c r="B220" s="23"/>
      <c r="C220" s="25" t="str">
        <f aca="false">IF(B220="","",CHOOSE(MONTH(B220),"Enero","Febrero","Marzo","Abril","Mayo","Junio","Julio","Agosto","Setiembre","Octubre","Noviembre","Diciembre"))</f>
        <v/>
      </c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 customFormat="false" ht="15" hidden="false" customHeight="false" outlineLevel="0" collapsed="false">
      <c r="A221" s="22"/>
      <c r="B221" s="23"/>
      <c r="C221" s="25" t="str">
        <f aca="false">IF(B221="","",CHOOSE(MONTH(B221),"Enero","Febrero","Marzo","Abril","Mayo","Junio","Julio","Agosto","Setiembre","Octubre","Noviembre","Diciembre"))</f>
        <v/>
      </c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 customFormat="false" ht="15" hidden="false" customHeight="false" outlineLevel="0" collapsed="false">
      <c r="A222" s="22"/>
      <c r="B222" s="23"/>
      <c r="C222" s="25" t="str">
        <f aca="false">IF(B222="","",CHOOSE(MONTH(B222),"Enero","Febrero","Marzo","Abril","Mayo","Junio","Julio","Agosto","Setiembre","Octubre","Noviembre","Diciembre"))</f>
        <v/>
      </c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 customFormat="false" ht="15" hidden="false" customHeight="false" outlineLevel="0" collapsed="false">
      <c r="A223" s="22"/>
      <c r="B223" s="23"/>
      <c r="C223" s="25" t="str">
        <f aca="false">IF(B223="","",CHOOSE(MONTH(B223),"Enero","Febrero","Marzo","Abril","Mayo","Junio","Julio","Agosto","Setiembre","Octubre","Noviembre","Diciembre"))</f>
        <v/>
      </c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 customFormat="false" ht="15" hidden="false" customHeight="false" outlineLevel="0" collapsed="false">
      <c r="A224" s="22"/>
      <c r="B224" s="23"/>
      <c r="C224" s="25" t="str">
        <f aca="false">IF(B224="","",CHOOSE(MONTH(B224),"Enero","Febrero","Marzo","Abril","Mayo","Junio","Julio","Agosto","Setiembre","Octubre","Noviembre","Diciembre"))</f>
        <v/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 customFormat="false" ht="15" hidden="false" customHeight="false" outlineLevel="0" collapsed="false">
      <c r="A225" s="22"/>
      <c r="B225" s="23"/>
      <c r="C225" s="25" t="str">
        <f aca="false">IF(B225="","",CHOOSE(MONTH(B225),"Enero","Febrero","Marzo","Abril","Mayo","Junio","Julio","Agosto","Setiembre","Octubre","Noviembre","Diciembre"))</f>
        <v/>
      </c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 customFormat="false" ht="15" hidden="false" customHeight="false" outlineLevel="0" collapsed="false">
      <c r="A226" s="22"/>
      <c r="B226" s="23"/>
      <c r="C226" s="25" t="str">
        <f aca="false">IF(B226="","",CHOOSE(MONTH(B226),"Enero","Febrero","Marzo","Abril","Mayo","Junio","Julio","Agosto","Setiembre","Octubre","Noviembre","Diciembre"))</f>
        <v/>
      </c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 customFormat="false" ht="15" hidden="false" customHeight="false" outlineLevel="0" collapsed="false">
      <c r="A227" s="22"/>
      <c r="B227" s="23"/>
      <c r="C227" s="25" t="str">
        <f aca="false">IF(B227="","",CHOOSE(MONTH(B227),"Enero","Febrero","Marzo","Abril","Mayo","Junio","Julio","Agosto","Setiembre","Octubre","Noviembre","Diciembre"))</f>
        <v/>
      </c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 customFormat="false" ht="15" hidden="false" customHeight="false" outlineLevel="0" collapsed="false">
      <c r="A228" s="22"/>
      <c r="B228" s="23"/>
      <c r="C228" s="25" t="str">
        <f aca="false">IF(B228="","",CHOOSE(MONTH(B228),"Enero","Febrero","Marzo","Abril","Mayo","Junio","Julio","Agosto","Setiembre","Octubre","Noviembre","Diciembre"))</f>
        <v/>
      </c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 customFormat="false" ht="15" hidden="false" customHeight="false" outlineLevel="0" collapsed="false">
      <c r="A229" s="22"/>
      <c r="B229" s="23"/>
      <c r="C229" s="25" t="str">
        <f aca="false">IF(B229="","",CHOOSE(MONTH(B229),"Enero","Febrero","Marzo","Abril","Mayo","Junio","Julio","Agosto","Setiembre","Octubre","Noviembre","Diciembre"))</f>
        <v/>
      </c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 customFormat="false" ht="15" hidden="false" customHeight="false" outlineLevel="0" collapsed="false">
      <c r="A230" s="22"/>
      <c r="B230" s="23"/>
      <c r="C230" s="25" t="str">
        <f aca="false">IF(B230="","",CHOOSE(MONTH(B230),"Enero","Febrero","Marzo","Abril","Mayo","Junio","Julio","Agosto","Setiembre","Octubre","Noviembre","Diciembre"))</f>
        <v/>
      </c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 customFormat="false" ht="15" hidden="false" customHeight="false" outlineLevel="0" collapsed="false">
      <c r="A231" s="22"/>
      <c r="B231" s="23"/>
      <c r="C231" s="25" t="str">
        <f aca="false">IF(B231="","",CHOOSE(MONTH(B231),"Enero","Febrero","Marzo","Abril","Mayo","Junio","Julio","Agosto","Setiembre","Octubre","Noviembre","Diciembre"))</f>
        <v/>
      </c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 customFormat="false" ht="15" hidden="false" customHeight="false" outlineLevel="0" collapsed="false">
      <c r="A232" s="22"/>
      <c r="B232" s="23"/>
      <c r="C232" s="25" t="str">
        <f aca="false">IF(B232="","",CHOOSE(MONTH(B232),"Enero","Febrero","Marzo","Abril","Mayo","Junio","Julio","Agosto","Setiembre","Octubre","Noviembre","Diciembre"))</f>
        <v/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 customFormat="false" ht="15" hidden="false" customHeight="false" outlineLevel="0" collapsed="false">
      <c r="A233" s="22"/>
      <c r="B233" s="23"/>
      <c r="C233" s="25" t="str">
        <f aca="false">IF(B233="","",CHOOSE(MONTH(B233),"Enero","Febrero","Marzo","Abril","Mayo","Junio","Julio","Agosto","Setiembre","Octubre","Noviembre","Diciembre"))</f>
        <v/>
      </c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 customFormat="false" ht="15" hidden="false" customHeight="false" outlineLevel="0" collapsed="false">
      <c r="A234" s="22"/>
      <c r="B234" s="23"/>
      <c r="C234" s="25" t="str">
        <f aca="false">IF(B234="","",CHOOSE(MONTH(B234),"Enero","Febrero","Marzo","Abril","Mayo","Junio","Julio","Agosto","Setiembre","Octubre","Noviembre","Diciembre"))</f>
        <v/>
      </c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 customFormat="false" ht="15" hidden="false" customHeight="false" outlineLevel="0" collapsed="false">
      <c r="A235" s="22"/>
      <c r="B235" s="23"/>
      <c r="C235" s="25" t="str">
        <f aca="false">IF(B235="","",CHOOSE(MONTH(B235),"Enero","Febrero","Marzo","Abril","Mayo","Junio","Julio","Agosto","Setiembre","Octubre","Noviembre","Diciembre"))</f>
        <v/>
      </c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 customFormat="false" ht="15" hidden="false" customHeight="false" outlineLevel="0" collapsed="false">
      <c r="A236" s="22"/>
      <c r="B236" s="23"/>
      <c r="C236" s="25" t="str">
        <f aca="false">IF(B236="","",CHOOSE(MONTH(B236),"Enero","Febrero","Marzo","Abril","Mayo","Junio","Julio","Agosto","Setiembre","Octubre","Noviembre","Diciembre"))</f>
        <v/>
      </c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 customFormat="false" ht="15" hidden="false" customHeight="false" outlineLevel="0" collapsed="false">
      <c r="A237" s="22"/>
      <c r="B237" s="23"/>
      <c r="C237" s="25" t="str">
        <f aca="false">IF(B237="","",CHOOSE(MONTH(B237),"Enero","Febrero","Marzo","Abril","Mayo","Junio","Julio","Agosto","Setiembre","Octubre","Noviembre","Diciembre"))</f>
        <v/>
      </c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 customFormat="false" ht="15" hidden="false" customHeight="false" outlineLevel="0" collapsed="false">
      <c r="A238" s="22"/>
      <c r="B238" s="23"/>
      <c r="C238" s="25" t="str">
        <f aca="false">IF(B238="","",CHOOSE(MONTH(B238),"Enero","Febrero","Marzo","Abril","Mayo","Junio","Julio","Agosto","Setiembre","Octubre","Noviembre","Diciembre"))</f>
        <v/>
      </c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 customFormat="false" ht="15" hidden="false" customHeight="false" outlineLevel="0" collapsed="false">
      <c r="A239" s="22"/>
      <c r="B239" s="23"/>
      <c r="C239" s="25" t="str">
        <f aca="false">IF(B239="","",CHOOSE(MONTH(B239),"Enero","Febrero","Marzo","Abril","Mayo","Junio","Julio","Agosto","Setiembre","Octubre","Noviembre","Diciembre"))</f>
        <v/>
      </c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 customFormat="false" ht="15" hidden="false" customHeight="false" outlineLevel="0" collapsed="false">
      <c r="A240" s="22"/>
      <c r="B240" s="23"/>
      <c r="C240" s="25" t="str">
        <f aca="false">IF(B240="","",CHOOSE(MONTH(B240),"Enero","Febrero","Marzo","Abril","Mayo","Junio","Julio","Agosto","Setiembre","Octubre","Noviembre","Diciembre"))</f>
        <v/>
      </c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 customFormat="false" ht="15" hidden="false" customHeight="false" outlineLevel="0" collapsed="false">
      <c r="A241" s="22"/>
      <c r="B241" s="23"/>
      <c r="C241" s="25" t="str">
        <f aca="false">IF(B241="","",CHOOSE(MONTH(B241),"Enero","Febrero","Marzo","Abril","Mayo","Junio","Julio","Agosto","Setiembre","Octubre","Noviembre","Diciembre"))</f>
        <v/>
      </c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 customFormat="false" ht="15" hidden="false" customHeight="false" outlineLevel="0" collapsed="false">
      <c r="A242" s="22"/>
      <c r="B242" s="23"/>
      <c r="C242" s="25" t="str">
        <f aca="false">IF(B242="","",CHOOSE(MONTH(B242),"Enero","Febrero","Marzo","Abril","Mayo","Junio","Julio","Agosto","Setiembre","Octubre","Noviembre","Diciembre"))</f>
        <v/>
      </c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 customFormat="false" ht="15" hidden="false" customHeight="false" outlineLevel="0" collapsed="false">
      <c r="A243" s="22"/>
      <c r="B243" s="23"/>
      <c r="C243" s="25" t="str">
        <f aca="false">IF(B243="","",CHOOSE(MONTH(B243),"Enero","Febrero","Marzo","Abril","Mayo","Junio","Julio","Agosto","Setiembre","Octubre","Noviembre","Diciembre"))</f>
        <v/>
      </c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 customFormat="false" ht="15" hidden="false" customHeight="false" outlineLevel="0" collapsed="false">
      <c r="A244" s="22"/>
      <c r="B244" s="23"/>
      <c r="C244" s="25" t="str">
        <f aca="false">IF(B244="","",CHOOSE(MONTH(B244),"Enero","Febrero","Marzo","Abril","Mayo","Junio","Julio","Agosto","Setiembre","Octubre","Noviembre","Diciembre"))</f>
        <v/>
      </c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 customFormat="false" ht="15" hidden="false" customHeight="false" outlineLevel="0" collapsed="false">
      <c r="A245" s="22"/>
      <c r="B245" s="23"/>
      <c r="C245" s="25" t="str">
        <f aca="false">IF(B245="","",CHOOSE(MONTH(B245),"Enero","Febrero","Marzo","Abril","Mayo","Junio","Julio","Agosto","Setiembre","Octubre","Noviembre","Diciembre"))</f>
        <v/>
      </c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 customFormat="false" ht="15" hidden="false" customHeight="false" outlineLevel="0" collapsed="false">
      <c r="A246" s="22"/>
      <c r="B246" s="23"/>
      <c r="C246" s="25" t="str">
        <f aca="false">IF(B246="","",CHOOSE(MONTH(B246),"Enero","Febrero","Marzo","Abril","Mayo","Junio","Julio","Agosto","Setiembre","Octubre","Noviembre","Diciembre"))</f>
        <v/>
      </c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 customFormat="false" ht="15" hidden="false" customHeight="false" outlineLevel="0" collapsed="false">
      <c r="A247" s="22"/>
      <c r="B247" s="23"/>
      <c r="C247" s="25" t="str">
        <f aca="false">IF(B247="","",CHOOSE(MONTH(B247),"Enero","Febrero","Marzo","Abril","Mayo","Junio","Julio","Agosto","Setiembre","Octubre","Noviembre","Diciembre"))</f>
        <v/>
      </c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 customFormat="false" ht="15" hidden="false" customHeight="false" outlineLevel="0" collapsed="false">
      <c r="A248" s="22"/>
      <c r="B248" s="23"/>
      <c r="C248" s="25" t="str">
        <f aca="false">IF(B248="","",CHOOSE(MONTH(B248),"Enero","Febrero","Marzo","Abril","Mayo","Junio","Julio","Agosto","Setiembre","Octubre","Noviembre","Diciembre"))</f>
        <v/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 customFormat="false" ht="15" hidden="false" customHeight="false" outlineLevel="0" collapsed="false">
      <c r="A249" s="22"/>
      <c r="B249" s="23"/>
      <c r="C249" s="25" t="str">
        <f aca="false">IF(B249="","",CHOOSE(MONTH(B249),"Enero","Febrero","Marzo","Abril","Mayo","Junio","Julio","Agosto","Setiembre","Octubre","Noviembre","Diciembre"))</f>
        <v/>
      </c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 customFormat="false" ht="15" hidden="false" customHeight="false" outlineLevel="0" collapsed="false">
      <c r="A250" s="22"/>
      <c r="B250" s="23"/>
      <c r="C250" s="25" t="str">
        <f aca="false">IF(B250="","",CHOOSE(MONTH(B250),"Enero","Febrero","Marzo","Abril","Mayo","Junio","Julio","Agosto","Setiembre","Octubre","Noviembre","Diciembre"))</f>
        <v/>
      </c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 customFormat="false" ht="15" hidden="false" customHeight="false" outlineLevel="0" collapsed="false">
      <c r="A251" s="22"/>
      <c r="B251" s="23"/>
      <c r="C251" s="25" t="str">
        <f aca="false">IF(B251="","",CHOOSE(MONTH(B251),"Enero","Febrero","Marzo","Abril","Mayo","Junio","Julio","Agosto","Setiembre","Octubre","Noviembre","Diciembre"))</f>
        <v/>
      </c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 customFormat="false" ht="15" hidden="false" customHeight="false" outlineLevel="0" collapsed="false">
      <c r="A252" s="22"/>
      <c r="B252" s="23"/>
      <c r="C252" s="25" t="str">
        <f aca="false">IF(B252="","",CHOOSE(MONTH(B252),"Enero","Febrero","Marzo","Abril","Mayo","Junio","Julio","Agosto","Setiembre","Octubre","Noviembre","Diciembre"))</f>
        <v/>
      </c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 customFormat="false" ht="15" hidden="false" customHeight="false" outlineLevel="0" collapsed="false">
      <c r="A253" s="22"/>
      <c r="B253" s="23"/>
      <c r="C253" s="25" t="str">
        <f aca="false">IF(B253="","",CHOOSE(MONTH(B253),"Enero","Febrero","Marzo","Abril","Mayo","Junio","Julio","Agosto","Setiembre","Octubre","Noviembre","Diciembre"))</f>
        <v/>
      </c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 customFormat="false" ht="15" hidden="false" customHeight="false" outlineLevel="0" collapsed="false">
      <c r="A254" s="22"/>
      <c r="B254" s="23"/>
      <c r="C254" s="25" t="str">
        <f aca="false">IF(B254="","",CHOOSE(MONTH(B254),"Enero","Febrero","Marzo","Abril","Mayo","Junio","Julio","Agosto","Setiembre","Octubre","Noviembre","Diciembre"))</f>
        <v/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 customFormat="false" ht="15" hidden="false" customHeight="false" outlineLevel="0" collapsed="false">
      <c r="A255" s="22"/>
      <c r="B255" s="23"/>
      <c r="C255" s="25" t="str">
        <f aca="false">IF(B255="","",CHOOSE(MONTH(B255),"Enero","Febrero","Marzo","Abril","Mayo","Junio","Julio","Agosto","Setiembre","Octubre","Noviembre","Diciembre"))</f>
        <v/>
      </c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 customFormat="false" ht="15" hidden="false" customHeight="false" outlineLevel="0" collapsed="false">
      <c r="A256" s="22"/>
      <c r="B256" s="23"/>
      <c r="C256" s="25" t="str">
        <f aca="false">IF(B256="","",CHOOSE(MONTH(B256),"Enero","Febrero","Marzo","Abril","Mayo","Junio","Julio","Agosto","Setiembre","Octubre","Noviembre","Diciembre"))</f>
        <v/>
      </c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 customFormat="false" ht="15" hidden="false" customHeight="false" outlineLevel="0" collapsed="false">
      <c r="A257" s="22"/>
      <c r="B257" s="23"/>
      <c r="C257" s="25" t="str">
        <f aca="false">IF(B257="","",CHOOSE(MONTH(B257),"Enero","Febrero","Marzo","Abril","Mayo","Junio","Julio","Agosto","Setiembre","Octubre","Noviembre","Diciembre"))</f>
        <v/>
      </c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 customFormat="false" ht="15" hidden="false" customHeight="false" outlineLevel="0" collapsed="false">
      <c r="A258" s="22"/>
      <c r="B258" s="23"/>
      <c r="C258" s="25" t="str">
        <f aca="false">IF(B258="","",CHOOSE(MONTH(B258),"Enero","Febrero","Marzo","Abril","Mayo","Junio","Julio","Agosto","Setiembre","Octubre","Noviembre","Diciembre"))</f>
        <v/>
      </c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 customFormat="false" ht="15" hidden="false" customHeight="false" outlineLevel="0" collapsed="false">
      <c r="A259" s="22"/>
      <c r="B259" s="23"/>
      <c r="C259" s="25" t="str">
        <f aca="false">IF(B259="","",CHOOSE(MONTH(B259),"Enero","Febrero","Marzo","Abril","Mayo","Junio","Julio","Agosto","Setiembre","Octubre","Noviembre","Diciembre"))</f>
        <v/>
      </c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 customFormat="false" ht="15" hidden="false" customHeight="false" outlineLevel="0" collapsed="false">
      <c r="A260" s="22"/>
      <c r="B260" s="23"/>
      <c r="C260" s="25" t="str">
        <f aca="false">IF(B260="","",CHOOSE(MONTH(B260),"Enero","Febrero","Marzo","Abril","Mayo","Junio","Julio","Agosto","Setiembre","Octubre","Noviembre","Diciembre"))</f>
        <v/>
      </c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 customFormat="false" ht="15" hidden="false" customHeight="false" outlineLevel="0" collapsed="false">
      <c r="A261" s="22"/>
      <c r="B261" s="23"/>
      <c r="C261" s="25" t="str">
        <f aca="false">IF(B261="","",CHOOSE(MONTH(B261),"Enero","Febrero","Marzo","Abril","Mayo","Junio","Julio","Agosto","Setiembre","Octubre","Noviembre","Diciembre"))</f>
        <v/>
      </c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 customFormat="false" ht="15" hidden="false" customHeight="false" outlineLevel="0" collapsed="false">
      <c r="A262" s="22"/>
      <c r="B262" s="23"/>
      <c r="C262" s="25" t="str">
        <f aca="false">IF(B262="","",CHOOSE(MONTH(B262),"Enero","Febrero","Marzo","Abril","Mayo","Junio","Julio","Agosto","Setiembre","Octubre","Noviembre","Diciembre"))</f>
        <v/>
      </c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 customFormat="false" ht="15" hidden="false" customHeight="false" outlineLevel="0" collapsed="false">
      <c r="A263" s="22"/>
      <c r="B263" s="23"/>
      <c r="C263" s="25" t="str">
        <f aca="false">IF(B263="","",CHOOSE(MONTH(B263),"Enero","Febrero","Marzo","Abril","Mayo","Junio","Julio","Agosto","Setiembre","Octubre","Noviembre","Diciembre"))</f>
        <v/>
      </c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 customFormat="false" ht="15" hidden="false" customHeight="false" outlineLevel="0" collapsed="false">
      <c r="A264" s="22"/>
      <c r="B264" s="23"/>
      <c r="C264" s="25" t="str">
        <f aca="false">IF(B264="","",CHOOSE(MONTH(B264),"Enero","Febrero","Marzo","Abril","Mayo","Junio","Julio","Agosto","Setiembre","Octubre","Noviembre","Diciembre"))</f>
        <v/>
      </c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 customFormat="false" ht="15" hidden="false" customHeight="false" outlineLevel="0" collapsed="false">
      <c r="A265" s="22"/>
      <c r="B265" s="23"/>
      <c r="C265" s="25" t="str">
        <f aca="false">IF(B265="","",CHOOSE(MONTH(B265),"Enero","Febrero","Marzo","Abril","Mayo","Junio","Julio","Agosto","Setiembre","Octubre","Noviembre","Diciembre"))</f>
        <v/>
      </c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 customFormat="false" ht="15" hidden="false" customHeight="false" outlineLevel="0" collapsed="false">
      <c r="A266" s="22"/>
      <c r="B266" s="23"/>
      <c r="C266" s="25" t="str">
        <f aca="false">IF(B266="","",CHOOSE(MONTH(B266),"Enero","Febrero","Marzo","Abril","Mayo","Junio","Julio","Agosto","Setiembre","Octubre","Noviembre","Diciembre"))</f>
        <v/>
      </c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 customFormat="false" ht="15" hidden="false" customHeight="false" outlineLevel="0" collapsed="false">
      <c r="A267" s="22"/>
      <c r="B267" s="23"/>
      <c r="C267" s="25" t="str">
        <f aca="false">IF(B267="","",CHOOSE(MONTH(B267),"Enero","Febrero","Marzo","Abril","Mayo","Junio","Julio","Agosto","Setiembre","Octubre","Noviembre","Diciembre"))</f>
        <v/>
      </c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 customFormat="false" ht="15" hidden="false" customHeight="false" outlineLevel="0" collapsed="false">
      <c r="A268" s="22"/>
      <c r="B268" s="23"/>
      <c r="C268" s="25" t="str">
        <f aca="false">IF(B268="","",CHOOSE(MONTH(B268),"Enero","Febrero","Marzo","Abril","Mayo","Junio","Julio","Agosto","Setiembre","Octubre","Noviembre","Diciembre"))</f>
        <v/>
      </c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 customFormat="false" ht="15" hidden="false" customHeight="false" outlineLevel="0" collapsed="false">
      <c r="A269" s="22"/>
      <c r="B269" s="23"/>
      <c r="C269" s="25" t="str">
        <f aca="false">IF(B269="","",CHOOSE(MONTH(B269),"Enero","Febrero","Marzo","Abril","Mayo","Junio","Julio","Agosto","Setiembre","Octubre","Noviembre","Diciembre"))</f>
        <v/>
      </c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 customFormat="false" ht="15" hidden="false" customHeight="false" outlineLevel="0" collapsed="false">
      <c r="A270" s="22"/>
      <c r="B270" s="23"/>
      <c r="C270" s="25" t="str">
        <f aca="false">IF(B270="","",CHOOSE(MONTH(B270),"Enero","Febrero","Marzo","Abril","Mayo","Junio","Julio","Agosto","Setiembre","Octubre","Noviembre","Diciembre"))</f>
        <v/>
      </c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 customFormat="false" ht="15" hidden="false" customHeight="false" outlineLevel="0" collapsed="false">
      <c r="A271" s="22"/>
      <c r="B271" s="23"/>
      <c r="C271" s="25" t="str">
        <f aca="false">IF(B271="","",CHOOSE(MONTH(B271),"Enero","Febrero","Marzo","Abril","Mayo","Junio","Julio","Agosto","Setiembre","Octubre","Noviembre","Diciembre"))</f>
        <v/>
      </c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 customFormat="false" ht="15" hidden="false" customHeight="false" outlineLevel="0" collapsed="false">
      <c r="A272" s="22"/>
      <c r="B272" s="23"/>
      <c r="C272" s="25" t="str">
        <f aca="false">IF(B272="","",CHOOSE(MONTH(B272),"Enero","Febrero","Marzo","Abril","Mayo","Junio","Julio","Agosto","Setiembre","Octubre","Noviembre","Diciembre"))</f>
        <v/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 customFormat="false" ht="15" hidden="false" customHeight="false" outlineLevel="0" collapsed="false">
      <c r="A273" s="22"/>
      <c r="B273" s="23"/>
      <c r="C273" s="25" t="str">
        <f aca="false">IF(B273="","",CHOOSE(MONTH(B273),"Enero","Febrero","Marzo","Abril","Mayo","Junio","Julio","Agosto","Setiembre","Octubre","Noviembre","Diciembre"))</f>
        <v/>
      </c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 customFormat="false" ht="15" hidden="false" customHeight="false" outlineLevel="0" collapsed="false">
      <c r="A274" s="22"/>
      <c r="B274" s="23"/>
      <c r="C274" s="25" t="str">
        <f aca="false">IF(B274="","",CHOOSE(MONTH(B274),"Enero","Febrero","Marzo","Abril","Mayo","Junio","Julio","Agosto","Setiembre","Octubre","Noviembre","Diciembre"))</f>
        <v/>
      </c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 customFormat="false" ht="15" hidden="false" customHeight="false" outlineLevel="0" collapsed="false">
      <c r="A275" s="22"/>
      <c r="B275" s="23"/>
      <c r="C275" s="25" t="str">
        <f aca="false">IF(B275="","",CHOOSE(MONTH(B275),"Enero","Febrero","Marzo","Abril","Mayo","Junio","Julio","Agosto","Setiembre","Octubre","Noviembre","Diciembre"))</f>
        <v/>
      </c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 customFormat="false" ht="15" hidden="false" customHeight="false" outlineLevel="0" collapsed="false">
      <c r="A276" s="22"/>
      <c r="B276" s="23"/>
      <c r="C276" s="25" t="str">
        <f aca="false">IF(B276="","",CHOOSE(MONTH(B276),"Enero","Febrero","Marzo","Abril","Mayo","Junio","Julio","Agosto","Setiembre","Octubre","Noviembre","Diciembre"))</f>
        <v/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 customFormat="false" ht="15" hidden="false" customHeight="false" outlineLevel="0" collapsed="false">
      <c r="A277" s="22"/>
      <c r="B277" s="23"/>
      <c r="C277" s="25" t="str">
        <f aca="false">IF(B277="","",CHOOSE(MONTH(B277),"Enero","Febrero","Marzo","Abril","Mayo","Junio","Julio","Agosto","Setiembre","Octubre","Noviembre","Diciembre"))</f>
        <v/>
      </c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 customFormat="false" ht="15" hidden="false" customHeight="false" outlineLevel="0" collapsed="false">
      <c r="A278" s="22"/>
      <c r="B278" s="23"/>
      <c r="C278" s="25" t="str">
        <f aca="false">IF(B278="","",CHOOSE(MONTH(B278),"Enero","Febrero","Marzo","Abril","Mayo","Junio","Julio","Agosto","Setiembre","Octubre","Noviembre","Diciembre"))</f>
        <v/>
      </c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 customFormat="false" ht="15" hidden="false" customHeight="false" outlineLevel="0" collapsed="false">
      <c r="A279" s="22"/>
      <c r="B279" s="23"/>
      <c r="C279" s="25" t="str">
        <f aca="false">IF(B279="","",CHOOSE(MONTH(B279),"Enero","Febrero","Marzo","Abril","Mayo","Junio","Julio","Agosto","Setiembre","Octubre","Noviembre","Diciembre"))</f>
        <v/>
      </c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 customFormat="false" ht="15" hidden="false" customHeight="false" outlineLevel="0" collapsed="false">
      <c r="A280" s="22"/>
      <c r="B280" s="23"/>
      <c r="C280" s="25" t="str">
        <f aca="false">IF(B280="","",CHOOSE(MONTH(B280),"Enero","Febrero","Marzo","Abril","Mayo","Junio","Julio","Agosto","Setiembre","Octubre","Noviembre","Diciembre"))</f>
        <v/>
      </c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 customFormat="false" ht="15" hidden="false" customHeight="false" outlineLevel="0" collapsed="false">
      <c r="A281" s="22"/>
      <c r="B281" s="23"/>
      <c r="C281" s="25" t="str">
        <f aca="false">IF(B281="","",CHOOSE(MONTH(B281),"Enero","Febrero","Marzo","Abril","Mayo","Junio","Julio","Agosto","Setiembre","Octubre","Noviembre","Diciembre"))</f>
        <v/>
      </c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 customFormat="false" ht="15" hidden="false" customHeight="false" outlineLevel="0" collapsed="false">
      <c r="A282" s="22"/>
      <c r="B282" s="23"/>
      <c r="C282" s="25" t="str">
        <f aca="false">IF(B282="","",CHOOSE(MONTH(B282),"Enero","Febrero","Marzo","Abril","Mayo","Junio","Julio","Agosto","Setiembre","Octubre","Noviembre","Diciembre"))</f>
        <v/>
      </c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 customFormat="false" ht="15" hidden="false" customHeight="false" outlineLevel="0" collapsed="false">
      <c r="A283" s="22"/>
      <c r="B283" s="23"/>
      <c r="C283" s="25" t="str">
        <f aca="false">IF(B283="","",CHOOSE(MONTH(B283),"Enero","Febrero","Marzo","Abril","Mayo","Junio","Julio","Agosto","Setiembre","Octubre","Noviembre","Diciembre"))</f>
        <v/>
      </c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 customFormat="false" ht="15" hidden="false" customHeight="false" outlineLevel="0" collapsed="false">
      <c r="A284" s="22"/>
      <c r="B284" s="23"/>
      <c r="C284" s="25" t="str">
        <f aca="false">IF(B284="","",CHOOSE(MONTH(B284),"Enero","Febrero","Marzo","Abril","Mayo","Junio","Julio","Agosto","Setiembre","Octubre","Noviembre","Diciembre"))</f>
        <v/>
      </c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 customFormat="false" ht="15" hidden="false" customHeight="false" outlineLevel="0" collapsed="false">
      <c r="A285" s="22"/>
      <c r="B285" s="23"/>
      <c r="C285" s="25" t="str">
        <f aca="false">IF(B285="","",CHOOSE(MONTH(B285),"Enero","Febrero","Marzo","Abril","Mayo","Junio","Julio","Agosto","Setiembre","Octubre","Noviembre","Diciembre"))</f>
        <v/>
      </c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 customFormat="false" ht="15" hidden="false" customHeight="false" outlineLevel="0" collapsed="false">
      <c r="A286" s="22"/>
      <c r="B286" s="23"/>
      <c r="C286" s="25" t="str">
        <f aca="false">IF(B286="","",CHOOSE(MONTH(B286),"Enero","Febrero","Marzo","Abril","Mayo","Junio","Julio","Agosto","Setiembre","Octubre","Noviembre","Diciembre"))</f>
        <v/>
      </c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 customFormat="false" ht="15" hidden="false" customHeight="false" outlineLevel="0" collapsed="false">
      <c r="A287" s="22"/>
      <c r="B287" s="23"/>
      <c r="C287" s="25" t="str">
        <f aca="false">IF(B287="","",CHOOSE(MONTH(B287),"Enero","Febrero","Marzo","Abril","Mayo","Junio","Julio","Agosto","Setiembre","Octubre","Noviembre","Diciembre"))</f>
        <v/>
      </c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 customFormat="false" ht="15" hidden="false" customHeight="false" outlineLevel="0" collapsed="false">
      <c r="A288" s="22"/>
      <c r="B288" s="23"/>
      <c r="C288" s="25" t="str">
        <f aca="false">IF(B288="","",CHOOSE(MONTH(B288),"Enero","Febrero","Marzo","Abril","Mayo","Junio","Julio","Agosto","Setiembre","Octubre","Noviembre","Diciembre"))</f>
        <v/>
      </c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 customFormat="false" ht="15" hidden="false" customHeight="false" outlineLevel="0" collapsed="false">
      <c r="A289" s="22"/>
      <c r="B289" s="23"/>
      <c r="C289" s="25" t="str">
        <f aca="false">IF(B289="","",CHOOSE(MONTH(B289),"Enero","Febrero","Marzo","Abril","Mayo","Junio","Julio","Agosto","Setiembre","Octubre","Noviembre","Diciembre"))</f>
        <v/>
      </c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 customFormat="false" ht="15" hidden="false" customHeight="false" outlineLevel="0" collapsed="false">
      <c r="A290" s="22"/>
      <c r="B290" s="23"/>
      <c r="C290" s="25" t="str">
        <f aca="false">IF(B290="","",CHOOSE(MONTH(B290),"Enero","Febrero","Marzo","Abril","Mayo","Junio","Julio","Agosto","Setiembre","Octubre","Noviembre","Diciembre"))</f>
        <v/>
      </c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 customFormat="false" ht="15" hidden="false" customHeight="false" outlineLevel="0" collapsed="false">
      <c r="A291" s="22"/>
      <c r="B291" s="23"/>
      <c r="C291" s="25" t="str">
        <f aca="false">IF(B291="","",CHOOSE(MONTH(B291),"Enero","Febrero","Marzo","Abril","Mayo","Junio","Julio","Agosto","Setiembre","Octubre","Noviembre","Diciembre"))</f>
        <v/>
      </c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 customFormat="false" ht="15" hidden="false" customHeight="false" outlineLevel="0" collapsed="false">
      <c r="A292" s="22"/>
      <c r="B292" s="23"/>
      <c r="C292" s="25" t="str">
        <f aca="false">IF(B292="","",CHOOSE(MONTH(B292),"Enero","Febrero","Marzo","Abril","Mayo","Junio","Julio","Agosto","Setiembre","Octubre","Noviembre","Diciembre"))</f>
        <v/>
      </c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 customFormat="false" ht="15" hidden="false" customHeight="false" outlineLevel="0" collapsed="false">
      <c r="A293" s="22"/>
      <c r="B293" s="23"/>
      <c r="C293" s="25" t="str">
        <f aca="false">IF(B293="","",CHOOSE(MONTH(B293),"Enero","Febrero","Marzo","Abril","Mayo","Junio","Julio","Agosto","Setiembre","Octubre","Noviembre","Diciembre"))</f>
        <v/>
      </c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 customFormat="false" ht="15" hidden="false" customHeight="false" outlineLevel="0" collapsed="false">
      <c r="A294" s="22"/>
      <c r="B294" s="23"/>
      <c r="C294" s="25" t="str">
        <f aca="false">IF(B294="","",CHOOSE(MONTH(B294),"Enero","Febrero","Marzo","Abril","Mayo","Junio","Julio","Agosto","Setiembre","Octubre","Noviembre","Diciembre"))</f>
        <v/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 customFormat="false" ht="15" hidden="false" customHeight="false" outlineLevel="0" collapsed="false">
      <c r="A295" s="22"/>
      <c r="B295" s="23"/>
      <c r="C295" s="25" t="str">
        <f aca="false">IF(B295="","",CHOOSE(MONTH(B295),"Enero","Febrero","Marzo","Abril","Mayo","Junio","Julio","Agosto","Setiembre","Octubre","Noviembre","Diciembre"))</f>
        <v/>
      </c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 customFormat="false" ht="15" hidden="false" customHeight="false" outlineLevel="0" collapsed="false">
      <c r="A296" s="22"/>
      <c r="B296" s="23"/>
      <c r="C296" s="25" t="str">
        <f aca="false">IF(B296="","",CHOOSE(MONTH(B296),"Enero","Febrero","Marzo","Abril","Mayo","Junio","Julio","Agosto","Setiembre","Octubre","Noviembre","Diciembre"))</f>
        <v/>
      </c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 customFormat="false" ht="15" hidden="false" customHeight="false" outlineLevel="0" collapsed="false">
      <c r="A297" s="22"/>
      <c r="B297" s="23"/>
      <c r="C297" s="25" t="str">
        <f aca="false">IF(B297="","",CHOOSE(MONTH(B297),"Enero","Febrero","Marzo","Abril","Mayo","Junio","Julio","Agosto","Setiembre","Octubre","Noviembre","Diciembre"))</f>
        <v/>
      </c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 customFormat="false" ht="15" hidden="false" customHeight="false" outlineLevel="0" collapsed="false">
      <c r="A298" s="22"/>
      <c r="B298" s="23"/>
      <c r="C298" s="25" t="str">
        <f aca="false">IF(B298="","",CHOOSE(MONTH(B298),"Enero","Febrero","Marzo","Abril","Mayo","Junio","Julio","Agosto","Setiembre","Octubre","Noviembre","Diciembre"))</f>
        <v/>
      </c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 customFormat="false" ht="15" hidden="false" customHeight="false" outlineLevel="0" collapsed="false">
      <c r="A299" s="22"/>
      <c r="B299" s="23"/>
      <c r="C299" s="25" t="str">
        <f aca="false">IF(B299="","",CHOOSE(MONTH(B299),"Enero","Febrero","Marzo","Abril","Mayo","Junio","Julio","Agosto","Setiembre","Octubre","Noviembre","Diciembre"))</f>
        <v/>
      </c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 customFormat="false" ht="15" hidden="false" customHeight="false" outlineLevel="0" collapsed="false">
      <c r="A300" s="22"/>
      <c r="B300" s="23"/>
      <c r="C300" s="25" t="str">
        <f aca="false">IF(B300="","",CHOOSE(MONTH(B300),"Enero","Febrero","Marzo","Abril","Mayo","Junio","Julio","Agosto","Setiembre","Octubre","Noviembre","Diciembre"))</f>
        <v/>
      </c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</sheetData>
  <dataValidations count="4">
    <dataValidation allowBlank="true" errorStyle="stop" operator="between" showDropDown="false" showErrorMessage="false" showInputMessage="false" sqref="E2:E300" type="list">
      <formula1>Listas!$K$2:$K$9</formula1>
      <formula2>0</formula2>
    </dataValidation>
    <dataValidation allowBlank="true" errorStyle="stop" operator="between" showDropDown="false" showErrorMessage="false" showInputMessage="false" sqref="F2:F300" type="list">
      <formula1>Listas!$M$2:$M$6</formula1>
      <formula2>0</formula2>
    </dataValidation>
    <dataValidation allowBlank="true" errorStyle="stop" operator="between" showDropDown="false" showErrorMessage="false" showInputMessage="false" sqref="H2:H300" type="list">
      <formula1>Listas!$E$2:$E$3</formula1>
      <formula2>0</formula2>
    </dataValidation>
    <dataValidation allowBlank="true" errorStyle="stop" operator="between" showDropDown="false" showErrorMessage="false" showInputMessage="false" sqref="I2:I300" type="list">
      <formula1>Listas!$L$2:$L$5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6" min="6" style="0" width="44"/>
    <col collapsed="false" customWidth="true" hidden="false" outlineLevel="0" max="7" min="7" style="0" width="48"/>
    <col collapsed="false" customWidth="true" hidden="false" outlineLevel="0" max="8" min="8" style="0" width="44"/>
  </cols>
  <sheetData>
    <row r="1" customFormat="false" ht="35.05" hidden="false" customHeight="false" outlineLevel="0" collapsed="false">
      <c r="A1" s="16" t="s">
        <v>4229</v>
      </c>
      <c r="B1" s="16" t="s">
        <v>4188</v>
      </c>
      <c r="C1" s="16" t="s">
        <v>4230</v>
      </c>
      <c r="D1" s="16" t="s">
        <v>122</v>
      </c>
      <c r="E1" s="16" t="s">
        <v>4231</v>
      </c>
      <c r="F1" s="16" t="s">
        <v>4232</v>
      </c>
      <c r="G1" s="16" t="s">
        <v>4233</v>
      </c>
      <c r="H1" s="16" t="s">
        <v>4234</v>
      </c>
    </row>
    <row r="2" customFormat="false" ht="15" hidden="false" customHeight="false" outlineLevel="0" collapsed="false">
      <c r="A2" s="17" t="s">
        <v>183</v>
      </c>
      <c r="B2" s="28" t="n">
        <v>45964</v>
      </c>
      <c r="C2" s="17" t="s">
        <v>4235</v>
      </c>
      <c r="D2" s="17" t="s">
        <v>4236</v>
      </c>
      <c r="E2" s="17" t="n">
        <v>2026</v>
      </c>
      <c r="F2" s="17" t="s">
        <v>4237</v>
      </c>
      <c r="G2" s="17" t="s">
        <v>4238</v>
      </c>
      <c r="H2" s="17" t="s">
        <v>4239</v>
      </c>
    </row>
    <row r="3" customFormat="false" ht="15" hidden="false" customHeight="false" outlineLevel="0" collapsed="false">
      <c r="A3" s="17" t="s">
        <v>183</v>
      </c>
      <c r="B3" s="28" t="n">
        <v>45971</v>
      </c>
      <c r="C3" s="17" t="s">
        <v>4240</v>
      </c>
      <c r="D3" s="17" t="s">
        <v>4241</v>
      </c>
      <c r="E3" s="17" t="n">
        <v>2017</v>
      </c>
      <c r="F3" s="17" t="s">
        <v>4242</v>
      </c>
      <c r="G3" s="17" t="s">
        <v>4243</v>
      </c>
      <c r="H3" s="17" t="s">
        <v>4239</v>
      </c>
    </row>
    <row r="4" customFormat="false" ht="15" hidden="false" customHeight="false" outlineLevel="0" collapsed="false">
      <c r="A4" s="17" t="s">
        <v>183</v>
      </c>
      <c r="B4" s="28" t="n">
        <v>45974</v>
      </c>
      <c r="C4" s="17" t="s">
        <v>4244</v>
      </c>
      <c r="D4" s="17" t="s">
        <v>4245</v>
      </c>
      <c r="E4" s="17" t="n">
        <v>2017</v>
      </c>
      <c r="F4" s="17" t="s">
        <v>4246</v>
      </c>
      <c r="G4" s="17" t="s">
        <v>4243</v>
      </c>
      <c r="H4" s="17" t="s">
        <v>4239</v>
      </c>
    </row>
    <row r="5" customFormat="false" ht="15" hidden="false" customHeight="false" outlineLevel="0" collapsed="false">
      <c r="A5" s="17" t="s">
        <v>183</v>
      </c>
      <c r="B5" s="28" t="n">
        <v>45974</v>
      </c>
      <c r="C5" s="17" t="s">
        <v>4247</v>
      </c>
      <c r="D5" s="17" t="s">
        <v>322</v>
      </c>
      <c r="E5" s="17" t="n">
        <v>2017</v>
      </c>
      <c r="F5" s="17" t="s">
        <v>4248</v>
      </c>
      <c r="G5" s="17" t="s">
        <v>4243</v>
      </c>
      <c r="H5" s="17" t="s">
        <v>4239</v>
      </c>
    </row>
    <row r="6" customFormat="false" ht="15" hidden="false" customHeight="false" outlineLevel="0" collapsed="false">
      <c r="A6" s="17" t="s">
        <v>1633</v>
      </c>
      <c r="B6" s="28" t="n">
        <v>46244</v>
      </c>
      <c r="C6" s="17" t="s">
        <v>4249</v>
      </c>
      <c r="D6" s="17" t="s">
        <v>4250</v>
      </c>
      <c r="E6" s="17" t="n">
        <v>2016</v>
      </c>
      <c r="F6" s="17" t="s">
        <v>4251</v>
      </c>
      <c r="G6" s="17" t="s">
        <v>4243</v>
      </c>
      <c r="H6" s="17" t="s">
        <v>4239</v>
      </c>
    </row>
    <row r="7" customFormat="false" ht="15" hidden="false" customHeight="false" outlineLevel="0" collapsed="false">
      <c r="A7" s="17" t="s">
        <v>1633</v>
      </c>
      <c r="B7" s="28" t="n">
        <v>46244</v>
      </c>
      <c r="C7" s="17" t="s">
        <v>4252</v>
      </c>
      <c r="D7" s="17" t="s">
        <v>4253</v>
      </c>
      <c r="E7" s="17" t="n">
        <v>1999</v>
      </c>
      <c r="F7" s="17" t="s">
        <v>4254</v>
      </c>
      <c r="G7" s="17" t="s">
        <v>4243</v>
      </c>
      <c r="H7" s="17" t="s">
        <v>4239</v>
      </c>
    </row>
    <row r="8" customFormat="false" ht="15" hidden="false" customHeight="false" outlineLevel="0" collapsed="false">
      <c r="A8" s="17" t="s">
        <v>1633</v>
      </c>
      <c r="B8" s="28" t="n">
        <v>46244</v>
      </c>
      <c r="C8" s="17" t="s">
        <v>4255</v>
      </c>
      <c r="D8" s="17" t="s">
        <v>4245</v>
      </c>
      <c r="E8" s="17" t="n">
        <v>2017</v>
      </c>
      <c r="F8" s="17" t="s">
        <v>4256</v>
      </c>
      <c r="G8" s="17" t="s">
        <v>4243</v>
      </c>
      <c r="H8" s="17" t="s">
        <v>4239</v>
      </c>
    </row>
    <row r="9" customFormat="false" ht="15" hidden="false" customHeight="false" outlineLevel="0" collapsed="false">
      <c r="A9" s="17" t="s">
        <v>1633</v>
      </c>
      <c r="B9" s="28" t="n">
        <v>46244</v>
      </c>
      <c r="C9" s="17" t="s">
        <v>4257</v>
      </c>
      <c r="D9" s="17" t="s">
        <v>4258</v>
      </c>
      <c r="E9" s="17" t="n">
        <v>2007</v>
      </c>
      <c r="F9" s="17" t="s">
        <v>4259</v>
      </c>
      <c r="G9" s="17" t="s">
        <v>4243</v>
      </c>
      <c r="H9" s="17" t="s">
        <v>4239</v>
      </c>
    </row>
    <row r="10" customFormat="false" ht="15" hidden="false" customHeight="false" outlineLevel="0" collapsed="false">
      <c r="A10" s="17" t="s">
        <v>1633</v>
      </c>
      <c r="B10" s="28" t="n">
        <v>46244</v>
      </c>
      <c r="C10" s="17" t="s">
        <v>4260</v>
      </c>
      <c r="D10" s="17" t="s">
        <v>4261</v>
      </c>
      <c r="E10" s="17" t="n">
        <v>2004</v>
      </c>
      <c r="F10" s="17" t="s">
        <v>4262</v>
      </c>
      <c r="G10" s="17" t="s">
        <v>4243</v>
      </c>
      <c r="H10" s="17" t="s">
        <v>4239</v>
      </c>
    </row>
    <row r="11" customFormat="false" ht="15" hidden="false" customHeight="false" outlineLevel="0" collapsed="false">
      <c r="A11" s="17" t="s">
        <v>1633</v>
      </c>
      <c r="B11" s="28" t="n">
        <v>46244</v>
      </c>
      <c r="C11" s="17" t="s">
        <v>4263</v>
      </c>
      <c r="D11" s="17" t="s">
        <v>4264</v>
      </c>
      <c r="E11" s="17" t="n">
        <v>2011</v>
      </c>
      <c r="F11" s="17" t="s">
        <v>4265</v>
      </c>
      <c r="G11" s="17" t="s">
        <v>4243</v>
      </c>
      <c r="H11" s="17" t="s">
        <v>4239</v>
      </c>
    </row>
    <row r="12" customFormat="false" ht="15" hidden="false" customHeight="false" outlineLevel="0" collapsed="false">
      <c r="A12" s="17" t="s">
        <v>1633</v>
      </c>
      <c r="B12" s="28" t="n">
        <v>46244</v>
      </c>
      <c r="C12" s="17" t="s">
        <v>4266</v>
      </c>
      <c r="D12" s="17" t="s">
        <v>4267</v>
      </c>
      <c r="E12" s="17" t="n">
        <v>2026</v>
      </c>
      <c r="F12" s="17" t="s">
        <v>4268</v>
      </c>
      <c r="G12" s="17" t="s">
        <v>4238</v>
      </c>
      <c r="H12" s="17" t="s">
        <v>4239</v>
      </c>
    </row>
    <row r="13" customFormat="false" ht="15" hidden="false" customHeight="false" outlineLevel="0" collapsed="false">
      <c r="A13" s="17" t="s">
        <v>1633</v>
      </c>
      <c r="B13" s="28" t="n">
        <v>46244</v>
      </c>
      <c r="C13" s="17" t="s">
        <v>4269</v>
      </c>
      <c r="D13" s="17" t="s">
        <v>4270</v>
      </c>
      <c r="E13" s="17" t="n">
        <v>2018</v>
      </c>
      <c r="F13" s="17" t="s">
        <v>4271</v>
      </c>
      <c r="G13" s="17" t="s">
        <v>4272</v>
      </c>
      <c r="H13" s="17" t="s">
        <v>4239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35.05" hidden="false" customHeight="false" outlineLevel="0" collapsed="false">
      <c r="A1" s="16" t="s">
        <v>4229</v>
      </c>
      <c r="B1" s="16" t="s">
        <v>4273</v>
      </c>
      <c r="C1" s="16" t="s">
        <v>4274</v>
      </c>
      <c r="D1" s="16" t="s">
        <v>4275</v>
      </c>
      <c r="E1" s="16" t="s">
        <v>4276</v>
      </c>
      <c r="F1" s="16" t="s">
        <v>4277</v>
      </c>
    </row>
    <row r="2" customFormat="false" ht="23.85" hidden="false" customHeight="false" outlineLevel="0" collapsed="false">
      <c r="A2" s="29" t="s">
        <v>4278</v>
      </c>
      <c r="B2" s="29" t="s">
        <v>4279</v>
      </c>
      <c r="C2" s="29" t="s">
        <v>4280</v>
      </c>
      <c r="D2" s="29" t="n">
        <v>976</v>
      </c>
      <c r="E2" s="29" t="n">
        <v>976</v>
      </c>
      <c r="F2" s="29" t="s">
        <v>4281</v>
      </c>
    </row>
    <row r="3" customFormat="false" ht="23.85" hidden="false" customHeight="false" outlineLevel="0" collapsed="false">
      <c r="A3" s="29" t="s">
        <v>4282</v>
      </c>
      <c r="B3" s="29" t="s">
        <v>4283</v>
      </c>
      <c r="C3" s="29" t="s">
        <v>4110</v>
      </c>
      <c r="D3" s="29" t="n">
        <v>829</v>
      </c>
      <c r="E3" s="29" t="n">
        <v>829</v>
      </c>
      <c r="F3" s="29" t="s">
        <v>4284</v>
      </c>
    </row>
    <row r="4" customFormat="false" ht="15" hidden="false" customHeight="false" outlineLevel="0" collapsed="false">
      <c r="A4" s="29" t="s">
        <v>843</v>
      </c>
      <c r="B4" s="29" t="s">
        <v>4285</v>
      </c>
      <c r="C4" s="29" t="s">
        <v>4286</v>
      </c>
      <c r="D4" s="29" t="n">
        <v>59</v>
      </c>
      <c r="E4" s="29" t="n">
        <v>59</v>
      </c>
      <c r="F4" s="29" t="s">
        <v>4287</v>
      </c>
    </row>
    <row r="5" customFormat="false" ht="15" hidden="false" customHeight="false" outlineLevel="0" collapsed="false">
      <c r="A5" s="29" t="s">
        <v>4288</v>
      </c>
      <c r="B5" s="29" t="s">
        <v>4289</v>
      </c>
      <c r="C5" s="29" t="s">
        <v>4110</v>
      </c>
      <c r="D5" s="29" t="n">
        <v>97</v>
      </c>
      <c r="E5" s="29" t="n">
        <v>97</v>
      </c>
      <c r="F5" s="29" t="s">
        <v>4290</v>
      </c>
    </row>
    <row r="6" customFormat="false" ht="15" hidden="false" customHeight="false" outlineLevel="0" collapsed="false">
      <c r="A6" s="29" t="s">
        <v>4291</v>
      </c>
      <c r="B6" s="29" t="s">
        <v>4292</v>
      </c>
      <c r="C6" s="29" t="s">
        <v>4110</v>
      </c>
      <c r="D6" s="29" t="n">
        <v>202</v>
      </c>
      <c r="E6" s="29" t="n">
        <v>202</v>
      </c>
      <c r="F6" s="29" t="s">
        <v>4293</v>
      </c>
    </row>
    <row r="7" customFormat="false" ht="23.85" hidden="false" customHeight="false" outlineLevel="0" collapsed="false">
      <c r="A7" s="29" t="s">
        <v>2265</v>
      </c>
      <c r="B7" s="29" t="s">
        <v>4294</v>
      </c>
      <c r="C7" s="29" t="s">
        <v>4295</v>
      </c>
      <c r="D7" s="29" t="n">
        <v>36</v>
      </c>
      <c r="E7" s="29" t="n">
        <v>36</v>
      </c>
      <c r="F7" s="29" t="s">
        <v>4296</v>
      </c>
    </row>
    <row r="8" customFormat="false" ht="23.85" hidden="false" customHeight="false" outlineLevel="0" collapsed="false">
      <c r="A8" s="29" t="s">
        <v>183</v>
      </c>
      <c r="B8" s="29" t="s">
        <v>4297</v>
      </c>
      <c r="C8" s="29" t="s">
        <v>4298</v>
      </c>
      <c r="D8" s="29" t="n">
        <v>92</v>
      </c>
      <c r="E8" s="29" t="n">
        <v>88</v>
      </c>
      <c r="F8" s="29" t="s">
        <v>4299</v>
      </c>
    </row>
    <row r="9" customFormat="false" ht="23.85" hidden="false" customHeight="false" outlineLevel="0" collapsed="false">
      <c r="A9" s="29" t="s">
        <v>3497</v>
      </c>
      <c r="B9" s="29" t="s">
        <v>4300</v>
      </c>
      <c r="C9" s="29" t="s">
        <v>4301</v>
      </c>
      <c r="D9" s="29" t="n">
        <v>13</v>
      </c>
      <c r="E9" s="29" t="n">
        <v>13</v>
      </c>
      <c r="F9" s="29" t="s">
        <v>4302</v>
      </c>
    </row>
    <row r="10" customFormat="false" ht="23.85" hidden="false" customHeight="false" outlineLevel="0" collapsed="false">
      <c r="A10" s="29" t="s">
        <v>1633</v>
      </c>
      <c r="B10" s="29" t="s">
        <v>4303</v>
      </c>
      <c r="C10" s="29" t="s">
        <v>4304</v>
      </c>
      <c r="D10" s="29" t="n">
        <v>11</v>
      </c>
      <c r="E10" s="29" t="n">
        <v>3</v>
      </c>
      <c r="F10" s="29" t="s">
        <v>4305</v>
      </c>
    </row>
    <row r="11" customFormat="false" ht="15" hidden="false" customHeight="false" outlineLevel="0" collapsed="false">
      <c r="A11" s="29" t="s">
        <v>4306</v>
      </c>
      <c r="B11" s="29" t="s">
        <v>4223</v>
      </c>
      <c r="C11" s="29" t="s">
        <v>4307</v>
      </c>
      <c r="D11" s="29" t="n">
        <v>158</v>
      </c>
      <c r="E11" s="29" t="n">
        <v>158</v>
      </c>
      <c r="F11" s="29" t="s">
        <v>4308</v>
      </c>
    </row>
    <row r="12" customFormat="false" ht="15" hidden="false" customHeight="false" outlineLevel="0" collapsed="false">
      <c r="A12" s="29" t="s">
        <v>4309</v>
      </c>
      <c r="B12" s="29" t="s">
        <v>4310</v>
      </c>
      <c r="C12" s="29" t="s">
        <v>4110</v>
      </c>
      <c r="D12" s="29"/>
      <c r="E12" s="29"/>
      <c r="F12" s="29" t="s">
        <v>4311</v>
      </c>
    </row>
    <row r="14" customFormat="false" ht="15" hidden="false" customHeight="false" outlineLevel="0" collapsed="false">
      <c r="A14" s="12" t="s">
        <v>4312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6" t="s">
        <v>65</v>
      </c>
      <c r="B1" s="16" t="s">
        <v>66</v>
      </c>
      <c r="C1" s="16" t="s">
        <v>4313</v>
      </c>
      <c r="D1" s="16" t="s">
        <v>4314</v>
      </c>
      <c r="E1" s="16" t="s">
        <v>49</v>
      </c>
      <c r="F1" s="16" t="s">
        <v>4229</v>
      </c>
      <c r="G1" s="16" t="s">
        <v>4315</v>
      </c>
      <c r="H1" s="16" t="s">
        <v>4316</v>
      </c>
    </row>
    <row r="2" customFormat="false" ht="23.85" hidden="false" customHeight="false" outlineLevel="0" collapsed="false">
      <c r="A2" s="29" t="s">
        <v>69</v>
      </c>
      <c r="B2" s="29" t="s">
        <v>4317</v>
      </c>
      <c r="C2" s="29" t="s">
        <v>4318</v>
      </c>
      <c r="D2" s="29" t="s">
        <v>4319</v>
      </c>
      <c r="E2" s="29" t="s">
        <v>4320</v>
      </c>
      <c r="F2" s="29" t="s">
        <v>4321</v>
      </c>
      <c r="G2" s="29" t="s">
        <v>4322</v>
      </c>
      <c r="H2" s="29" t="s">
        <v>28</v>
      </c>
    </row>
    <row r="3" customFormat="false" ht="23.85" hidden="false" customHeight="false" outlineLevel="0" collapsed="false">
      <c r="A3" s="29" t="s">
        <v>71</v>
      </c>
      <c r="B3" s="29" t="s">
        <v>4323</v>
      </c>
      <c r="C3" s="29" t="s">
        <v>4324</v>
      </c>
      <c r="D3" s="29" t="s">
        <v>4325</v>
      </c>
      <c r="E3" s="29" t="s">
        <v>4326</v>
      </c>
      <c r="F3" s="29" t="s">
        <v>4321</v>
      </c>
      <c r="G3" s="29" t="s">
        <v>4327</v>
      </c>
      <c r="H3" s="29" t="s">
        <v>28</v>
      </c>
    </row>
    <row r="4" customFormat="false" ht="23.85" hidden="false" customHeight="false" outlineLevel="0" collapsed="false">
      <c r="A4" s="29" t="s">
        <v>4328</v>
      </c>
      <c r="B4" s="29" t="s">
        <v>4329</v>
      </c>
      <c r="C4" s="29" t="s">
        <v>4330</v>
      </c>
      <c r="D4" s="29" t="s">
        <v>4331</v>
      </c>
      <c r="E4" s="29" t="s">
        <v>4332</v>
      </c>
      <c r="F4" s="29" t="s">
        <v>4321</v>
      </c>
      <c r="G4" s="29" t="s">
        <v>4327</v>
      </c>
      <c r="H4" s="29" t="s">
        <v>28</v>
      </c>
    </row>
    <row r="5" customFormat="false" ht="23.85" hidden="false" customHeight="false" outlineLevel="0" collapsed="false">
      <c r="A5" s="29" t="s">
        <v>73</v>
      </c>
      <c r="B5" s="29" t="s">
        <v>4333</v>
      </c>
      <c r="C5" s="29" t="s">
        <v>4334</v>
      </c>
      <c r="D5" s="29" t="s">
        <v>4335</v>
      </c>
      <c r="E5" s="29" t="s">
        <v>4336</v>
      </c>
      <c r="F5" s="29" t="s">
        <v>4337</v>
      </c>
      <c r="G5" s="29" t="s">
        <v>4327</v>
      </c>
      <c r="H5" s="29" t="s">
        <v>4338</v>
      </c>
    </row>
    <row r="6" customFormat="false" ht="23.85" hidden="false" customHeight="false" outlineLevel="0" collapsed="false">
      <c r="A6" s="29" t="s">
        <v>75</v>
      </c>
      <c r="B6" s="29" t="s">
        <v>4339</v>
      </c>
      <c r="C6" s="29" t="s">
        <v>4340</v>
      </c>
      <c r="D6" s="29" t="s">
        <v>4325</v>
      </c>
      <c r="E6" s="29" t="s">
        <v>4341</v>
      </c>
      <c r="F6" s="29" t="s">
        <v>4321</v>
      </c>
      <c r="G6" s="29" t="s">
        <v>4327</v>
      </c>
      <c r="H6" s="29" t="s">
        <v>28</v>
      </c>
    </row>
    <row r="7" customFormat="false" ht="23.85" hidden="false" customHeight="false" outlineLevel="0" collapsed="false">
      <c r="A7" s="29" t="s">
        <v>77</v>
      </c>
      <c r="B7" s="29" t="s">
        <v>4342</v>
      </c>
      <c r="C7" s="29" t="s">
        <v>4343</v>
      </c>
      <c r="D7" s="29" t="s">
        <v>4344</v>
      </c>
      <c r="E7" s="29" t="s">
        <v>4345</v>
      </c>
      <c r="F7" s="29" t="s">
        <v>4346</v>
      </c>
      <c r="G7" s="29" t="s">
        <v>4327</v>
      </c>
      <c r="H7" s="29" t="s">
        <v>4338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16" t="s">
        <v>124</v>
      </c>
      <c r="B1" s="16" t="s">
        <v>59</v>
      </c>
      <c r="C1" s="16" t="s">
        <v>60</v>
      </c>
      <c r="E1" s="30" t="s">
        <v>4347</v>
      </c>
      <c r="F1" s="30" t="s">
        <v>119</v>
      </c>
      <c r="G1" s="30" t="s">
        <v>116</v>
      </c>
      <c r="H1" s="30" t="s">
        <v>115</v>
      </c>
      <c r="I1" s="30" t="s">
        <v>4093</v>
      </c>
      <c r="J1" s="30" t="s">
        <v>4092</v>
      </c>
      <c r="K1" s="30" t="s">
        <v>4191</v>
      </c>
      <c r="L1" s="30" t="s">
        <v>4195</v>
      </c>
      <c r="M1" s="30" t="s">
        <v>4192</v>
      </c>
      <c r="N1" s="30" t="s">
        <v>4348</v>
      </c>
    </row>
    <row r="2" customFormat="false" ht="15" hidden="false" customHeight="false" outlineLevel="0" collapsed="false">
      <c r="A2" s="8" t="s">
        <v>85</v>
      </c>
      <c r="B2" s="8" t="s">
        <v>181</v>
      </c>
      <c r="C2" s="8" t="s">
        <v>181</v>
      </c>
      <c r="E2" s="8" t="s">
        <v>181</v>
      </c>
      <c r="F2" s="8" t="s">
        <v>2639</v>
      </c>
      <c r="G2" s="8" t="s">
        <v>139</v>
      </c>
      <c r="H2" s="8" t="s">
        <v>138</v>
      </c>
      <c r="I2" s="8" t="s">
        <v>4105</v>
      </c>
      <c r="J2" s="8" t="s">
        <v>4104</v>
      </c>
      <c r="K2" s="8" t="s">
        <v>4211</v>
      </c>
      <c r="L2" s="8" t="s">
        <v>4349</v>
      </c>
      <c r="M2" s="8" t="s">
        <v>4212</v>
      </c>
      <c r="N2" s="8" t="s">
        <v>4350</v>
      </c>
    </row>
    <row r="3" customFormat="false" ht="15" hidden="false" customHeight="false" outlineLevel="0" collapsed="false">
      <c r="A3" s="8" t="s">
        <v>81</v>
      </c>
      <c r="B3" s="8" t="s">
        <v>181</v>
      </c>
      <c r="C3" s="8" t="s">
        <v>181</v>
      </c>
      <c r="E3" s="8" t="s">
        <v>4351</v>
      </c>
      <c r="F3" s="8" t="s">
        <v>166</v>
      </c>
      <c r="G3" s="8" t="s">
        <v>4352</v>
      </c>
      <c r="H3" s="8" t="s">
        <v>149</v>
      </c>
      <c r="I3" s="8" t="s">
        <v>4118</v>
      </c>
      <c r="J3" s="8" t="s">
        <v>4121</v>
      </c>
      <c r="K3" s="8" t="s">
        <v>4353</v>
      </c>
      <c r="L3" s="8" t="s">
        <v>4202</v>
      </c>
      <c r="M3" s="8" t="s">
        <v>52</v>
      </c>
      <c r="N3" s="8" t="s">
        <v>4354</v>
      </c>
    </row>
    <row r="4" customFormat="false" ht="15" hidden="false" customHeight="false" outlineLevel="0" collapsed="false">
      <c r="A4" s="8" t="s">
        <v>86</v>
      </c>
      <c r="B4" s="8" t="s">
        <v>181</v>
      </c>
      <c r="C4" s="8" t="s">
        <v>181</v>
      </c>
      <c r="F4" s="8" t="s">
        <v>140</v>
      </c>
      <c r="G4" s="8" t="s">
        <v>4355</v>
      </c>
      <c r="I4" s="8" t="s">
        <v>4109</v>
      </c>
      <c r="J4" s="8" t="s">
        <v>4108</v>
      </c>
      <c r="K4" s="8" t="s">
        <v>4356</v>
      </c>
      <c r="L4" s="8" t="s">
        <v>4357</v>
      </c>
      <c r="M4" s="8" t="s">
        <v>53</v>
      </c>
      <c r="N4" s="8" t="s">
        <v>4358</v>
      </c>
    </row>
    <row r="5" customFormat="false" ht="15" hidden="false" customHeight="false" outlineLevel="0" collapsed="false">
      <c r="A5" s="8" t="s">
        <v>87</v>
      </c>
      <c r="B5" s="8" t="s">
        <v>181</v>
      </c>
      <c r="C5" s="8" t="s">
        <v>181</v>
      </c>
      <c r="G5" s="8" t="s">
        <v>4359</v>
      </c>
      <c r="I5" s="8" t="s">
        <v>4156</v>
      </c>
      <c r="J5" s="8" t="s">
        <v>4182</v>
      </c>
      <c r="K5" s="8" t="s">
        <v>4200</v>
      </c>
      <c r="L5" s="8" t="s">
        <v>4360</v>
      </c>
      <c r="M5" s="8" t="s">
        <v>54</v>
      </c>
      <c r="N5" s="8" t="s">
        <v>4361</v>
      </c>
    </row>
    <row r="6" customFormat="false" ht="15" hidden="false" customHeight="false" outlineLevel="0" collapsed="false">
      <c r="A6" s="8" t="s">
        <v>88</v>
      </c>
      <c r="B6" s="8" t="s">
        <v>181</v>
      </c>
      <c r="C6" s="8" t="s">
        <v>4351</v>
      </c>
      <c r="I6" s="8" t="s">
        <v>4362</v>
      </c>
      <c r="J6" s="8" t="s">
        <v>4115</v>
      </c>
      <c r="K6" s="8" t="s">
        <v>4206</v>
      </c>
      <c r="M6" s="8" t="s">
        <v>55</v>
      </c>
      <c r="N6" s="8" t="s">
        <v>4363</v>
      </c>
    </row>
    <row r="7" customFormat="false" ht="15" hidden="false" customHeight="false" outlineLevel="0" collapsed="false">
      <c r="A7" s="8" t="s">
        <v>89</v>
      </c>
      <c r="B7" s="8" t="s">
        <v>4351</v>
      </c>
      <c r="C7" s="8" t="s">
        <v>4351</v>
      </c>
      <c r="I7" s="8" t="s">
        <v>4115</v>
      </c>
      <c r="J7" s="8" t="s">
        <v>4112</v>
      </c>
      <c r="K7" s="8" t="s">
        <v>4364</v>
      </c>
    </row>
    <row r="8" customFormat="false" ht="15" hidden="false" customHeight="false" outlineLevel="0" collapsed="false">
      <c r="A8" s="8" t="s">
        <v>90</v>
      </c>
      <c r="B8" s="8" t="s">
        <v>4351</v>
      </c>
      <c r="C8" s="8" t="s">
        <v>4351</v>
      </c>
      <c r="I8" s="8" t="s">
        <v>4112</v>
      </c>
      <c r="K8" s="8" t="s">
        <v>4365</v>
      </c>
    </row>
    <row r="9" customFormat="false" ht="15" hidden="false" customHeight="false" outlineLevel="0" collapsed="false">
      <c r="A9" s="8" t="s">
        <v>63</v>
      </c>
      <c r="B9" s="8"/>
      <c r="C9" s="8"/>
      <c r="K9" s="8" t="s">
        <v>4112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2026-10-01T18:05:57Z</dcterms:created>
  <dc:creator>openpyxl</dc:creator>
  <dc:description/>
  <dc:language>en-US</dc:language>
  <cp:lastModifiedBy/>
  <dcterms:modified xsi:type="dcterms:W3CDTF">2026-10-01T18:06:01Z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